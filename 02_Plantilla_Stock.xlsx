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roductos" sheetId="2" state="visible" r:id="rId4"/>
    <sheet name="Zonas" sheetId="3" state="visible" r:id="rId5"/>
    <sheet name="Categorias" sheetId="4" state="visible" r:id="rId6"/>
    <sheet name="Obras" sheetId="5" state="visible" r:id="rId7"/>
    <sheet name="Movimientos" sheetId="6" state="visible" r:id="rId8"/>
    <sheet name="Stock_Actua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Sistema</author>
  </authors>
  <commentList>
    <comment ref="E1" authorId="0">
      <text>
        <r>
          <rPr>
            <sz val="10"/>
            <rFont val="Arial"/>
            <family val="2"/>
          </rPr>
          <t xml:space="preserve">Link de Google Maps. Abrí el lugar en Maps → Compartir → Copiar link → pegalo acá.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Sistema</author>
  </authors>
  <commentList>
    <comment ref="G1" authorId="0">
      <text>
        <r>
          <rPr>
            <sz val="10"/>
            <rFont val="Arial"/>
            <family val="2"/>
          </rPr>
          <t xml:space="preserve">Link de Google Maps. Abrí la obra en Maps → Compartir → Copiar link.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Sistema</author>
  </authors>
  <commentList>
    <comment ref="E1" authorId="0">
      <text>
        <r>
          <rPr>
            <sz val="10"/>
            <rFont val="Arial"/>
            <family val="2"/>
          </rPr>
          <t xml:space="preserve">Siempre positivo. El signo lo da el Tipo. (Salvo Ajuste, que admite negativos para restar.)</t>
        </r>
      </text>
    </comment>
    <comment ref="F1" authorId="0">
      <text>
        <r>
          <rPr>
            <sz val="10"/>
            <rFont val="Arial"/>
            <family val="2"/>
          </rPr>
          <t xml:space="preserve">Requerido para Traslado, Egreso, Ajuste, Reserva, Libera_Reserva.</t>
        </r>
      </text>
    </comment>
    <comment ref="G1" authorId="0">
      <text>
        <r>
          <rPr>
            <sz val="10"/>
            <rFont val="Arial"/>
            <family val="2"/>
          </rPr>
          <t xml:space="preserve">Requerido para Ingreso y Traslado.</t>
        </r>
      </text>
    </comment>
    <comment ref="H1" authorId="0">
      <text>
        <r>
          <rPr>
            <sz val="10"/>
            <rFont val="Arial"/>
            <family val="2"/>
          </rPr>
          <t xml:space="preserve">Requerido para Egreso, Reserva, Libera_Reserva.</t>
        </r>
      </text>
    </comment>
    <comment ref="I1" authorId="0">
      <text>
        <r>
          <rPr>
            <sz val="10"/>
            <rFont val="Arial"/>
            <family val="2"/>
          </rPr>
          <t xml:space="preserve">Solo para Ajuste.</t>
        </r>
      </text>
    </comment>
  </commentList>
</comments>
</file>

<file path=xl/sharedStrings.xml><?xml version="1.0" encoding="utf-8"?>
<sst xmlns="http://schemas.openxmlformats.org/spreadsheetml/2006/main" count="163" uniqueCount="112">
  <si>
    <t xml:space="preserve">Sistema de Stock Centralizado — Plantilla v2</t>
  </si>
  <si>
    <t xml:space="preserve">Cómo usar esta plantilla:</t>
  </si>
  <si>
    <t xml:space="preserve">1. Subí este archivo a Google Drive y abrilo con Google Sheets.</t>
  </si>
  <si>
    <t xml:space="preserve">2. Guardalo como Google Sheet (Archivo → Guardar como Hojas de cálculo de Google).</t>
  </si>
  <si>
    <t xml:space="preserve">3. Completá las hojas en este orden: Zonas → Categorías → Obras → Productos.</t>
  </si>
  <si>
    <t xml:space="preserve">4. Para el inventario inicial, cargá en Movimientos un "Ajuste" con motivo "Inventario inicial" por cada producto × zona, o hacelo desde la app.</t>
  </si>
  <si>
    <t xml:space="preserve">Novedades v2:</t>
  </si>
  <si>
    <t xml:space="preserve">   • Columna Ubicacion en Zonas (E) y Obras (G): pegá el link de Google Maps y aparece como botón en la app.</t>
  </si>
  <si>
    <t xml:space="preserve">   • SKU automático: si no lo ponés al crear un producto, se genera como CAT-SUB-### (ej: REV-POR-001).</t>
  </si>
  <si>
    <t xml:space="preserve">   • La app permite crear productos, subir fotos y generar QRs (se guardan en Drive automáticamente).</t>
  </si>
  <si>
    <t xml:space="preserve">   • Pestaña Obras con vista de consumo por obra.</t>
  </si>
  <si>
    <t xml:space="preserve">Reglas importantes:</t>
  </si>
  <si>
    <t xml:space="preserve">   • NO borrar filas de Movimientos: para anular, cargá un movimiento inverso.</t>
  </si>
  <si>
    <t xml:space="preserve">   • El SKU de cada producto es ÚNICO.</t>
  </si>
  <si>
    <t xml:space="preserve">   • El stock se calcula solo. No edites Stock_Actual a mano.</t>
  </si>
  <si>
    <t xml:space="preserve">Tipos de movimiento:</t>
  </si>
  <si>
    <t xml:space="preserve">   • Ingreso         → Cantidad entra al Zona_Destino</t>
  </si>
  <si>
    <t xml:space="preserve">   • Traslado        → Sale de Zona_Origen y entra a Zona_Destino</t>
  </si>
  <si>
    <t xml:space="preserve">   • Egreso          → Sale de Zona_Origen hacia una Obra</t>
  </si>
  <si>
    <t xml:space="preserve">   • Ajuste          → Corrige stock en Zona_Origen (positivo o negativo) con motivo</t>
  </si>
  <si>
    <t xml:space="preserve">   • Reserva         → Aparta stock para una Obra sin retirarlo físicamente</t>
  </si>
  <si>
    <t xml:space="preserve">   • Libera_Reserva  → Cancela una reserva previa</t>
  </si>
  <si>
    <t xml:space="preserve">SKU</t>
  </si>
  <si>
    <t xml:space="preserve">Nombre</t>
  </si>
  <si>
    <t xml:space="preserve">Categoria</t>
  </si>
  <si>
    <t xml:space="preserve">Subcategoria</t>
  </si>
  <si>
    <t xml:space="preserve">Unidad</t>
  </si>
  <si>
    <t xml:space="preserve">Foto_URL</t>
  </si>
  <si>
    <t xml:space="preserve">Stock_Minimo_Total</t>
  </si>
  <si>
    <t xml:space="preserve">Notas</t>
  </si>
  <si>
    <t xml:space="preserve">Activo</t>
  </si>
  <si>
    <t xml:space="preserve">PORC-001</t>
  </si>
  <si>
    <t xml:space="preserve">Porcelanato símil madera 20x120</t>
  </si>
  <si>
    <t xml:space="preserve">Revestimientos</t>
  </si>
  <si>
    <t xml:space="preserve">Porcelanato</t>
  </si>
  <si>
    <t xml:space="preserve">m²</t>
  </si>
  <si>
    <t xml:space="preserve">Ejemplo — borrar</t>
  </si>
  <si>
    <t xml:space="preserve">Sí</t>
  </si>
  <si>
    <t xml:space="preserve">AA-SPLIT-3000</t>
  </si>
  <si>
    <t xml:space="preserve">Aire acondicionado split 3000 frig.</t>
  </si>
  <si>
    <t xml:space="preserve">Climatización</t>
  </si>
  <si>
    <t xml:space="preserve">Aire acondicionado split</t>
  </si>
  <si>
    <t xml:space="preserve">u.</t>
  </si>
  <si>
    <t xml:space="preserve">Codigo</t>
  </si>
  <si>
    <t xml:space="preserve">Descripcion</t>
  </si>
  <si>
    <t xml:space="preserve">Ubicacion</t>
  </si>
  <si>
    <t xml:space="preserve">TIN</t>
  </si>
  <si>
    <t xml:space="preserve">Tinglado</t>
  </si>
  <si>
    <t xml:space="preserve">G1000</t>
  </si>
  <si>
    <t xml:space="preserve">Galpón 1000</t>
  </si>
  <si>
    <t xml:space="preserve">G710</t>
  </si>
  <si>
    <t xml:space="preserve">Galpón 710</t>
  </si>
  <si>
    <t xml:space="preserve">G5000</t>
  </si>
  <si>
    <t xml:space="preserve">Galpón 5000</t>
  </si>
  <si>
    <t xml:space="preserve">G3</t>
  </si>
  <si>
    <t xml:space="preserve">Galpón 3</t>
  </si>
  <si>
    <t xml:space="preserve">Cerámico</t>
  </si>
  <si>
    <t xml:space="preserve">Piedra natural</t>
  </si>
  <si>
    <t xml:space="preserve">Pisos vinílicos</t>
  </si>
  <si>
    <t xml:space="preserve">Aire acondicionado central</t>
  </si>
  <si>
    <t xml:space="preserve">Calefacción</t>
  </si>
  <si>
    <t xml:space="preserve">Ventilación</t>
  </si>
  <si>
    <t xml:space="preserve">Sanitarios</t>
  </si>
  <si>
    <t xml:space="preserve">Bañera</t>
  </si>
  <si>
    <t xml:space="preserve">Jacuzzi</t>
  </si>
  <si>
    <t xml:space="preserve">Ducha</t>
  </si>
  <si>
    <t xml:space="preserve">Inodoro</t>
  </si>
  <si>
    <t xml:space="preserve">Bidet</t>
  </si>
  <si>
    <t xml:space="preserve">Lavatorio</t>
  </si>
  <si>
    <t xml:space="preserve">Grifería</t>
  </si>
  <si>
    <t xml:space="preserve">Cocina</t>
  </si>
  <si>
    <t xml:space="preserve">Baño</t>
  </si>
  <si>
    <t xml:space="preserve">Accesorios</t>
  </si>
  <si>
    <t xml:space="preserve">Aberturas</t>
  </si>
  <si>
    <t xml:space="preserve">Puerta interior</t>
  </si>
  <si>
    <t xml:space="preserve">Puerta exterior</t>
  </si>
  <si>
    <t xml:space="preserve">Ventana</t>
  </si>
  <si>
    <t xml:space="preserve">Mosquitero</t>
  </si>
  <si>
    <t xml:space="preserve">Eléctricos</t>
  </si>
  <si>
    <t xml:space="preserve">Cable</t>
  </si>
  <si>
    <t xml:space="preserve">Tablero</t>
  </si>
  <si>
    <t xml:space="preserve">Iluminación</t>
  </si>
  <si>
    <t xml:space="preserve">Pinturas</t>
  </si>
  <si>
    <t xml:space="preserve">Interior</t>
  </si>
  <si>
    <t xml:space="preserve">Exterior</t>
  </si>
  <si>
    <t xml:space="preserve">Esmaltes</t>
  </si>
  <si>
    <t xml:space="preserve">Herrajes</t>
  </si>
  <si>
    <t xml:space="preserve">Cerraduras</t>
  </si>
  <si>
    <t xml:space="preserve">Manijas</t>
  </si>
  <si>
    <t xml:space="preserve">Varios</t>
  </si>
  <si>
    <t xml:space="preserve">Direccion</t>
  </si>
  <si>
    <t xml:space="preserve">Estado</t>
  </si>
  <si>
    <t xml:space="preserve">Fecha_Inicio</t>
  </si>
  <si>
    <t xml:space="preserve">OBR-001</t>
  </si>
  <si>
    <t xml:space="preserve">Obra de ejemplo — borrar</t>
  </si>
  <si>
    <t xml:space="preserve">Av. Siempre Viva 123</t>
  </si>
  <si>
    <t xml:space="preserve">Activa</t>
  </si>
  <si>
    <t xml:space="preserve">2026-04-01</t>
  </si>
  <si>
    <t xml:space="preserve">ID</t>
  </si>
  <si>
    <t xml:space="preserve">Fecha</t>
  </si>
  <si>
    <t xml:space="preserve">Tipo</t>
  </si>
  <si>
    <t xml:space="preserve">Cantidad</t>
  </si>
  <si>
    <t xml:space="preserve">Zona_Origen</t>
  </si>
  <si>
    <t xml:space="preserve">Zona_Destino</t>
  </si>
  <si>
    <t xml:space="preserve">Obra</t>
  </si>
  <si>
    <t xml:space="preserve">Motivo_Ajuste</t>
  </si>
  <si>
    <t xml:space="preserve">Usuario</t>
  </si>
  <si>
    <t xml:space="preserve">Total_Fisico</t>
  </si>
  <si>
    <t xml:space="preserve">Reservado</t>
  </si>
  <si>
    <t xml:space="preserve">Disponible</t>
  </si>
  <si>
    <t xml:space="preserve">Minimo</t>
  </si>
  <si>
    <t xml:space="preserve">Alerta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</si>
</sst>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1"/>
      <color rgb="FF262626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10"/>
  </cols>
  <sheetData>
    <row r="1" customFormat="false" ht="30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</row>
    <row r="2" customFormat="false" ht="15" hidden="false" customHeight="false" outlineLevel="0" collapsed="false">
      <c r="A2" s="0" t="s">
        <v>31</v>
      </c>
      <c r="B2" s="0" t="s">
        <v>32</v>
      </c>
      <c r="C2" s="5" t="s">
        <v>33</v>
      </c>
      <c r="D2" s="0" t="s">
        <v>34</v>
      </c>
      <c r="E2" s="5" t="s">
        <v>35</v>
      </c>
      <c r="G2" s="0" t="n">
        <v>50</v>
      </c>
      <c r="H2" s="0" t="s">
        <v>36</v>
      </c>
      <c r="I2" s="5" t="s">
        <v>37</v>
      </c>
    </row>
    <row r="3" customFormat="false" ht="15" hidden="false" customHeight="false" outlineLevel="0" collapsed="false">
      <c r="A3" s="0" t="s">
        <v>38</v>
      </c>
      <c r="B3" s="0" t="s">
        <v>39</v>
      </c>
      <c r="C3" s="5" t="s">
        <v>40</v>
      </c>
      <c r="D3" s="0" t="s">
        <v>41</v>
      </c>
      <c r="E3" s="5" t="s">
        <v>42</v>
      </c>
      <c r="G3" s="0" t="n">
        <v>2</v>
      </c>
      <c r="H3" s="0" t="s">
        <v>36</v>
      </c>
      <c r="I3" s="5" t="s">
        <v>37</v>
      </c>
    </row>
    <row r="4" customFormat="false" ht="15" hidden="false" customHeight="false" outlineLevel="0" collapsed="false">
      <c r="C4" s="5"/>
      <c r="E4" s="5"/>
      <c r="I4" s="5"/>
    </row>
    <row r="5" customFormat="false" ht="15" hidden="false" customHeight="false" outlineLevel="0" collapsed="false">
      <c r="C5" s="5"/>
      <c r="E5" s="5"/>
      <c r="I5" s="5"/>
    </row>
    <row r="6" customFormat="false" ht="15" hidden="false" customHeight="false" outlineLevel="0" collapsed="false">
      <c r="C6" s="5"/>
      <c r="E6" s="5"/>
      <c r="I6" s="5"/>
    </row>
    <row r="7" customFormat="false" ht="15" hidden="false" customHeight="false" outlineLevel="0" collapsed="false">
      <c r="C7" s="5"/>
      <c r="E7" s="5"/>
      <c r="I7" s="5"/>
    </row>
    <row r="8" customFormat="false" ht="15" hidden="false" customHeight="false" outlineLevel="0" collapsed="false">
      <c r="C8" s="5"/>
      <c r="E8" s="5"/>
      <c r="I8" s="5"/>
    </row>
    <row r="9" customFormat="false" ht="15" hidden="false" customHeight="false" outlineLevel="0" collapsed="false">
      <c r="C9" s="5"/>
      <c r="E9" s="5"/>
      <c r="I9" s="5"/>
    </row>
    <row r="10" customFormat="false" ht="15" hidden="false" customHeight="false" outlineLevel="0" collapsed="false">
      <c r="C10" s="5"/>
      <c r="E10" s="5"/>
      <c r="I10" s="5"/>
    </row>
    <row r="11" customFormat="false" ht="15" hidden="false" customHeight="false" outlineLevel="0" collapsed="false">
      <c r="C11" s="5"/>
      <c r="E11" s="5"/>
      <c r="I11" s="5"/>
    </row>
    <row r="12" customFormat="false" ht="15" hidden="false" customHeight="false" outlineLevel="0" collapsed="false">
      <c r="C12" s="5"/>
      <c r="E12" s="5"/>
      <c r="I12" s="5"/>
    </row>
    <row r="13" customFormat="false" ht="15" hidden="false" customHeight="false" outlineLevel="0" collapsed="false">
      <c r="C13" s="5"/>
      <c r="E13" s="5"/>
      <c r="I13" s="5"/>
    </row>
    <row r="14" customFormat="false" ht="15" hidden="false" customHeight="false" outlineLevel="0" collapsed="false">
      <c r="C14" s="5"/>
      <c r="E14" s="5"/>
      <c r="I14" s="5"/>
    </row>
    <row r="15" customFormat="false" ht="15" hidden="false" customHeight="false" outlineLevel="0" collapsed="false">
      <c r="C15" s="5"/>
      <c r="E15" s="5"/>
      <c r="I15" s="5"/>
    </row>
    <row r="16" customFormat="false" ht="15" hidden="false" customHeight="false" outlineLevel="0" collapsed="false">
      <c r="C16" s="5"/>
      <c r="E16" s="5"/>
      <c r="I16" s="5"/>
    </row>
    <row r="17" customFormat="false" ht="15" hidden="false" customHeight="false" outlineLevel="0" collapsed="false">
      <c r="C17" s="5"/>
      <c r="E17" s="5"/>
      <c r="I17" s="5"/>
    </row>
    <row r="18" customFormat="false" ht="15" hidden="false" customHeight="false" outlineLevel="0" collapsed="false">
      <c r="C18" s="5"/>
      <c r="E18" s="5"/>
      <c r="I18" s="5"/>
    </row>
    <row r="19" customFormat="false" ht="15" hidden="false" customHeight="false" outlineLevel="0" collapsed="false">
      <c r="C19" s="5"/>
      <c r="E19" s="5"/>
      <c r="I19" s="5"/>
    </row>
    <row r="20" customFormat="false" ht="15" hidden="false" customHeight="false" outlineLevel="0" collapsed="false">
      <c r="C20" s="5"/>
      <c r="E20" s="5"/>
      <c r="I20" s="5"/>
    </row>
    <row r="21" customFormat="false" ht="15" hidden="false" customHeight="false" outlineLevel="0" collapsed="false">
      <c r="C21" s="5"/>
      <c r="E21" s="5"/>
      <c r="I21" s="5"/>
    </row>
    <row r="22" customFormat="false" ht="15" hidden="false" customHeight="false" outlineLevel="0" collapsed="false">
      <c r="C22" s="5"/>
      <c r="E22" s="5"/>
      <c r="I22" s="5"/>
    </row>
    <row r="23" customFormat="false" ht="15" hidden="false" customHeight="false" outlineLevel="0" collapsed="false">
      <c r="C23" s="5"/>
      <c r="E23" s="5"/>
      <c r="I23" s="5"/>
    </row>
    <row r="24" customFormat="false" ht="15" hidden="false" customHeight="false" outlineLevel="0" collapsed="false">
      <c r="C24" s="5"/>
      <c r="E24" s="5"/>
      <c r="I24" s="5"/>
    </row>
    <row r="25" customFormat="false" ht="15" hidden="false" customHeight="false" outlineLevel="0" collapsed="false">
      <c r="C25" s="5"/>
      <c r="E25" s="5"/>
      <c r="I25" s="5"/>
    </row>
    <row r="26" customFormat="false" ht="15" hidden="false" customHeight="false" outlineLevel="0" collapsed="false">
      <c r="C26" s="5"/>
      <c r="E26" s="5"/>
      <c r="I26" s="5"/>
    </row>
    <row r="27" customFormat="false" ht="15" hidden="false" customHeight="false" outlineLevel="0" collapsed="false">
      <c r="C27" s="5"/>
      <c r="E27" s="5"/>
      <c r="I27" s="5"/>
    </row>
    <row r="28" customFormat="false" ht="15" hidden="false" customHeight="false" outlineLevel="0" collapsed="false">
      <c r="C28" s="5"/>
      <c r="E28" s="5"/>
      <c r="I28" s="5"/>
    </row>
    <row r="29" customFormat="false" ht="15" hidden="false" customHeight="false" outlineLevel="0" collapsed="false">
      <c r="C29" s="5"/>
      <c r="E29" s="5"/>
      <c r="I29" s="5"/>
    </row>
    <row r="30" customFormat="false" ht="15" hidden="false" customHeight="false" outlineLevel="0" collapsed="false">
      <c r="C30" s="5"/>
      <c r="E30" s="5"/>
      <c r="I30" s="5"/>
    </row>
    <row r="31" customFormat="false" ht="15" hidden="false" customHeight="false" outlineLevel="0" collapsed="false">
      <c r="C31" s="5"/>
      <c r="E31" s="5"/>
      <c r="I31" s="5"/>
    </row>
    <row r="32" customFormat="false" ht="15" hidden="false" customHeight="false" outlineLevel="0" collapsed="false">
      <c r="C32" s="5"/>
      <c r="E32" s="5"/>
      <c r="I32" s="5"/>
    </row>
    <row r="33" customFormat="false" ht="15" hidden="false" customHeight="false" outlineLevel="0" collapsed="false">
      <c r="C33" s="5"/>
      <c r="E33" s="5"/>
      <c r="I33" s="5"/>
    </row>
    <row r="34" customFormat="false" ht="15" hidden="false" customHeight="false" outlineLevel="0" collapsed="false">
      <c r="C34" s="5"/>
      <c r="E34" s="5"/>
      <c r="I34" s="5"/>
    </row>
    <row r="35" customFormat="false" ht="15" hidden="false" customHeight="false" outlineLevel="0" collapsed="false">
      <c r="C35" s="5"/>
      <c r="E35" s="5"/>
      <c r="I35" s="5"/>
    </row>
    <row r="36" customFormat="false" ht="15" hidden="false" customHeight="false" outlineLevel="0" collapsed="false">
      <c r="C36" s="5"/>
      <c r="E36" s="5"/>
      <c r="I36" s="5"/>
    </row>
    <row r="37" customFormat="false" ht="15" hidden="false" customHeight="false" outlineLevel="0" collapsed="false">
      <c r="C37" s="5"/>
      <c r="E37" s="5"/>
      <c r="I37" s="5"/>
    </row>
    <row r="38" customFormat="false" ht="15" hidden="false" customHeight="false" outlineLevel="0" collapsed="false">
      <c r="C38" s="5"/>
      <c r="E38" s="5"/>
      <c r="I38" s="5"/>
    </row>
    <row r="39" customFormat="false" ht="15" hidden="false" customHeight="false" outlineLevel="0" collapsed="false">
      <c r="C39" s="5"/>
      <c r="E39" s="5"/>
      <c r="I39" s="5"/>
    </row>
    <row r="40" customFormat="false" ht="15" hidden="false" customHeight="false" outlineLevel="0" collapsed="false">
      <c r="C40" s="5"/>
      <c r="E40" s="5"/>
      <c r="I40" s="5"/>
    </row>
    <row r="41" customFormat="false" ht="15" hidden="false" customHeight="false" outlineLevel="0" collapsed="false">
      <c r="C41" s="5"/>
      <c r="E41" s="5"/>
      <c r="I41" s="5"/>
    </row>
    <row r="42" customFormat="false" ht="15" hidden="false" customHeight="false" outlineLevel="0" collapsed="false">
      <c r="C42" s="5"/>
      <c r="E42" s="5"/>
      <c r="I42" s="5"/>
    </row>
    <row r="43" customFormat="false" ht="15" hidden="false" customHeight="false" outlineLevel="0" collapsed="false">
      <c r="C43" s="5"/>
      <c r="E43" s="5"/>
      <c r="I43" s="5"/>
    </row>
    <row r="44" customFormat="false" ht="15" hidden="false" customHeight="false" outlineLevel="0" collapsed="false">
      <c r="C44" s="5"/>
      <c r="E44" s="5"/>
      <c r="I44" s="5"/>
    </row>
    <row r="45" customFormat="false" ht="15" hidden="false" customHeight="false" outlineLevel="0" collapsed="false">
      <c r="C45" s="5"/>
      <c r="E45" s="5"/>
      <c r="I45" s="5"/>
    </row>
    <row r="46" customFormat="false" ht="15" hidden="false" customHeight="false" outlineLevel="0" collapsed="false">
      <c r="C46" s="5"/>
      <c r="E46" s="5"/>
      <c r="I46" s="5"/>
    </row>
    <row r="47" customFormat="false" ht="15" hidden="false" customHeight="false" outlineLevel="0" collapsed="false">
      <c r="C47" s="5"/>
      <c r="E47" s="5"/>
      <c r="I47" s="5"/>
    </row>
    <row r="48" customFormat="false" ht="15" hidden="false" customHeight="false" outlineLevel="0" collapsed="false">
      <c r="C48" s="5"/>
      <c r="E48" s="5"/>
      <c r="I48" s="5"/>
    </row>
    <row r="49" customFormat="false" ht="15" hidden="false" customHeight="false" outlineLevel="0" collapsed="false">
      <c r="C49" s="5"/>
      <c r="E49" s="5"/>
      <c r="I49" s="5"/>
    </row>
    <row r="50" customFormat="false" ht="15" hidden="false" customHeight="false" outlineLevel="0" collapsed="false">
      <c r="C50" s="5"/>
      <c r="E50" s="5"/>
      <c r="I50" s="5"/>
    </row>
    <row r="51" customFormat="false" ht="15" hidden="false" customHeight="false" outlineLevel="0" collapsed="false">
      <c r="C51" s="5"/>
      <c r="E51" s="5"/>
      <c r="I51" s="5"/>
    </row>
    <row r="52" customFormat="false" ht="15" hidden="false" customHeight="false" outlineLevel="0" collapsed="false">
      <c r="C52" s="5"/>
      <c r="E52" s="5"/>
      <c r="I52" s="5"/>
    </row>
    <row r="53" customFormat="false" ht="15" hidden="false" customHeight="false" outlineLevel="0" collapsed="false">
      <c r="C53" s="5"/>
      <c r="E53" s="5"/>
      <c r="I53" s="5"/>
    </row>
    <row r="54" customFormat="false" ht="15" hidden="false" customHeight="false" outlineLevel="0" collapsed="false">
      <c r="C54" s="5"/>
      <c r="E54" s="5"/>
      <c r="I54" s="5"/>
    </row>
    <row r="55" customFormat="false" ht="15" hidden="false" customHeight="false" outlineLevel="0" collapsed="false">
      <c r="C55" s="5"/>
      <c r="E55" s="5"/>
      <c r="I55" s="5"/>
    </row>
    <row r="56" customFormat="false" ht="15" hidden="false" customHeight="false" outlineLevel="0" collapsed="false">
      <c r="C56" s="5"/>
      <c r="E56" s="5"/>
      <c r="I56" s="5"/>
    </row>
    <row r="57" customFormat="false" ht="15" hidden="false" customHeight="false" outlineLevel="0" collapsed="false">
      <c r="C57" s="5"/>
      <c r="E57" s="5"/>
      <c r="I57" s="5"/>
    </row>
    <row r="58" customFormat="false" ht="15" hidden="false" customHeight="false" outlineLevel="0" collapsed="false">
      <c r="C58" s="5"/>
      <c r="E58" s="5"/>
      <c r="I58" s="5"/>
    </row>
    <row r="59" customFormat="false" ht="15" hidden="false" customHeight="false" outlineLevel="0" collapsed="false">
      <c r="C59" s="5"/>
      <c r="E59" s="5"/>
      <c r="I59" s="5"/>
    </row>
    <row r="60" customFormat="false" ht="15" hidden="false" customHeight="false" outlineLevel="0" collapsed="false">
      <c r="C60" s="5"/>
      <c r="E60" s="5"/>
      <c r="I60" s="5"/>
    </row>
    <row r="61" customFormat="false" ht="15" hidden="false" customHeight="false" outlineLevel="0" collapsed="false">
      <c r="C61" s="5"/>
      <c r="E61" s="5"/>
      <c r="I61" s="5"/>
    </row>
    <row r="62" customFormat="false" ht="15" hidden="false" customHeight="false" outlineLevel="0" collapsed="false">
      <c r="C62" s="5"/>
      <c r="E62" s="5"/>
      <c r="I62" s="5"/>
    </row>
    <row r="63" customFormat="false" ht="15" hidden="false" customHeight="false" outlineLevel="0" collapsed="false">
      <c r="C63" s="5"/>
      <c r="E63" s="5"/>
      <c r="I63" s="5"/>
    </row>
    <row r="64" customFormat="false" ht="15" hidden="false" customHeight="false" outlineLevel="0" collapsed="false">
      <c r="C64" s="5"/>
      <c r="E64" s="5"/>
      <c r="I64" s="5"/>
    </row>
    <row r="65" customFormat="false" ht="15" hidden="false" customHeight="false" outlineLevel="0" collapsed="false">
      <c r="C65" s="5"/>
      <c r="E65" s="5"/>
      <c r="I65" s="5"/>
    </row>
    <row r="66" customFormat="false" ht="15" hidden="false" customHeight="false" outlineLevel="0" collapsed="false">
      <c r="C66" s="5"/>
      <c r="E66" s="5"/>
      <c r="I66" s="5"/>
    </row>
    <row r="67" customFormat="false" ht="15" hidden="false" customHeight="false" outlineLevel="0" collapsed="false">
      <c r="C67" s="5"/>
      <c r="E67" s="5"/>
      <c r="I67" s="5"/>
    </row>
    <row r="68" customFormat="false" ht="15" hidden="false" customHeight="false" outlineLevel="0" collapsed="false">
      <c r="C68" s="5"/>
      <c r="E68" s="5"/>
      <c r="I68" s="5"/>
    </row>
    <row r="69" customFormat="false" ht="15" hidden="false" customHeight="false" outlineLevel="0" collapsed="false">
      <c r="C69" s="5"/>
      <c r="E69" s="5"/>
      <c r="I69" s="5"/>
    </row>
    <row r="70" customFormat="false" ht="15" hidden="false" customHeight="false" outlineLevel="0" collapsed="false">
      <c r="C70" s="5"/>
      <c r="E70" s="5"/>
      <c r="I70" s="5"/>
    </row>
    <row r="71" customFormat="false" ht="15" hidden="false" customHeight="false" outlineLevel="0" collapsed="false">
      <c r="C71" s="5"/>
      <c r="E71" s="5"/>
      <c r="I71" s="5"/>
    </row>
    <row r="72" customFormat="false" ht="15" hidden="false" customHeight="false" outlineLevel="0" collapsed="false">
      <c r="C72" s="5"/>
      <c r="E72" s="5"/>
      <c r="I72" s="5"/>
    </row>
    <row r="73" customFormat="false" ht="15" hidden="false" customHeight="false" outlineLevel="0" collapsed="false">
      <c r="C73" s="5"/>
      <c r="E73" s="5"/>
      <c r="I73" s="5"/>
    </row>
    <row r="74" customFormat="false" ht="15" hidden="false" customHeight="false" outlineLevel="0" collapsed="false">
      <c r="C74" s="5"/>
      <c r="E74" s="5"/>
      <c r="I74" s="5"/>
    </row>
    <row r="75" customFormat="false" ht="15" hidden="false" customHeight="false" outlineLevel="0" collapsed="false">
      <c r="C75" s="5"/>
      <c r="E75" s="5"/>
      <c r="I75" s="5"/>
    </row>
    <row r="76" customFormat="false" ht="15" hidden="false" customHeight="false" outlineLevel="0" collapsed="false">
      <c r="C76" s="5"/>
      <c r="E76" s="5"/>
      <c r="I76" s="5"/>
    </row>
    <row r="77" customFormat="false" ht="15" hidden="false" customHeight="false" outlineLevel="0" collapsed="false">
      <c r="C77" s="5"/>
      <c r="E77" s="5"/>
      <c r="I77" s="5"/>
    </row>
    <row r="78" customFormat="false" ht="15" hidden="false" customHeight="false" outlineLevel="0" collapsed="false">
      <c r="C78" s="5"/>
      <c r="E78" s="5"/>
      <c r="I78" s="5"/>
    </row>
    <row r="79" customFormat="false" ht="15" hidden="false" customHeight="false" outlineLevel="0" collapsed="false">
      <c r="C79" s="5"/>
      <c r="E79" s="5"/>
      <c r="I79" s="5"/>
    </row>
    <row r="80" customFormat="false" ht="15" hidden="false" customHeight="false" outlineLevel="0" collapsed="false">
      <c r="C80" s="5"/>
      <c r="E80" s="5"/>
      <c r="I80" s="5"/>
    </row>
    <row r="81" customFormat="false" ht="15" hidden="false" customHeight="false" outlineLevel="0" collapsed="false">
      <c r="C81" s="5"/>
      <c r="E81" s="5"/>
      <c r="I81" s="5"/>
    </row>
    <row r="82" customFormat="false" ht="15" hidden="false" customHeight="false" outlineLevel="0" collapsed="false">
      <c r="C82" s="5"/>
      <c r="E82" s="5"/>
      <c r="I82" s="5"/>
    </row>
    <row r="83" customFormat="false" ht="15" hidden="false" customHeight="false" outlineLevel="0" collapsed="false">
      <c r="C83" s="5"/>
      <c r="E83" s="5"/>
      <c r="I83" s="5"/>
    </row>
    <row r="84" customFormat="false" ht="15" hidden="false" customHeight="false" outlineLevel="0" collapsed="false">
      <c r="C84" s="5"/>
      <c r="E84" s="5"/>
      <c r="I84" s="5"/>
    </row>
    <row r="85" customFormat="false" ht="15" hidden="false" customHeight="false" outlineLevel="0" collapsed="false">
      <c r="C85" s="5"/>
      <c r="E85" s="5"/>
      <c r="I85" s="5"/>
    </row>
    <row r="86" customFormat="false" ht="15" hidden="false" customHeight="false" outlineLevel="0" collapsed="false">
      <c r="C86" s="5"/>
      <c r="E86" s="5"/>
      <c r="I86" s="5"/>
    </row>
    <row r="87" customFormat="false" ht="15" hidden="false" customHeight="false" outlineLevel="0" collapsed="false">
      <c r="C87" s="5"/>
      <c r="E87" s="5"/>
      <c r="I87" s="5"/>
    </row>
    <row r="88" customFormat="false" ht="15" hidden="false" customHeight="false" outlineLevel="0" collapsed="false">
      <c r="C88" s="5"/>
      <c r="E88" s="5"/>
      <c r="I88" s="5"/>
    </row>
    <row r="89" customFormat="false" ht="15" hidden="false" customHeight="false" outlineLevel="0" collapsed="false">
      <c r="C89" s="5"/>
      <c r="E89" s="5"/>
      <c r="I89" s="5"/>
    </row>
    <row r="90" customFormat="false" ht="15" hidden="false" customHeight="false" outlineLevel="0" collapsed="false">
      <c r="C90" s="5"/>
      <c r="E90" s="5"/>
      <c r="I90" s="5"/>
    </row>
    <row r="91" customFormat="false" ht="15" hidden="false" customHeight="false" outlineLevel="0" collapsed="false">
      <c r="C91" s="5"/>
      <c r="E91" s="5"/>
      <c r="I91" s="5"/>
    </row>
    <row r="92" customFormat="false" ht="15" hidden="false" customHeight="false" outlineLevel="0" collapsed="false">
      <c r="C92" s="5"/>
      <c r="E92" s="5"/>
      <c r="I92" s="5"/>
    </row>
    <row r="93" customFormat="false" ht="15" hidden="false" customHeight="false" outlineLevel="0" collapsed="false">
      <c r="C93" s="5"/>
      <c r="E93" s="5"/>
      <c r="I93" s="5"/>
    </row>
    <row r="94" customFormat="false" ht="15" hidden="false" customHeight="false" outlineLevel="0" collapsed="false">
      <c r="C94" s="5"/>
      <c r="E94" s="5"/>
      <c r="I94" s="5"/>
    </row>
    <row r="95" customFormat="false" ht="15" hidden="false" customHeight="false" outlineLevel="0" collapsed="false">
      <c r="C95" s="5"/>
      <c r="E95" s="5"/>
      <c r="I95" s="5"/>
    </row>
    <row r="96" customFormat="false" ht="15" hidden="false" customHeight="false" outlineLevel="0" collapsed="false">
      <c r="C96" s="5"/>
      <c r="E96" s="5"/>
      <c r="I96" s="5"/>
    </row>
    <row r="97" customFormat="false" ht="15" hidden="false" customHeight="false" outlineLevel="0" collapsed="false">
      <c r="C97" s="5"/>
      <c r="E97" s="5"/>
      <c r="I97" s="5"/>
    </row>
    <row r="98" customFormat="false" ht="15" hidden="false" customHeight="false" outlineLevel="0" collapsed="false">
      <c r="C98" s="5"/>
      <c r="E98" s="5"/>
      <c r="I98" s="5"/>
    </row>
    <row r="99" customFormat="false" ht="15" hidden="false" customHeight="false" outlineLevel="0" collapsed="false">
      <c r="C99" s="5"/>
      <c r="E99" s="5"/>
      <c r="I99" s="5"/>
    </row>
    <row r="100" customFormat="false" ht="15" hidden="false" customHeight="false" outlineLevel="0" collapsed="false">
      <c r="C100" s="5"/>
      <c r="E100" s="5"/>
      <c r="I100" s="5"/>
    </row>
    <row r="101" customFormat="false" ht="15" hidden="false" customHeight="false" outlineLevel="0" collapsed="false">
      <c r="C101" s="5"/>
      <c r="E101" s="5"/>
      <c r="I101" s="5"/>
    </row>
    <row r="102" customFormat="false" ht="15" hidden="false" customHeight="false" outlineLevel="0" collapsed="false">
      <c r="C102" s="5"/>
      <c r="E102" s="5"/>
      <c r="I102" s="5"/>
    </row>
    <row r="103" customFormat="false" ht="15" hidden="false" customHeight="false" outlineLevel="0" collapsed="false">
      <c r="C103" s="5"/>
      <c r="E103" s="5"/>
      <c r="I103" s="5"/>
    </row>
    <row r="104" customFormat="false" ht="15" hidden="false" customHeight="false" outlineLevel="0" collapsed="false">
      <c r="C104" s="5"/>
      <c r="E104" s="5"/>
      <c r="I104" s="5"/>
    </row>
    <row r="105" customFormat="false" ht="15" hidden="false" customHeight="false" outlineLevel="0" collapsed="false">
      <c r="C105" s="5"/>
      <c r="E105" s="5"/>
      <c r="I105" s="5"/>
    </row>
    <row r="106" customFormat="false" ht="15" hidden="false" customHeight="false" outlineLevel="0" collapsed="false">
      <c r="C106" s="5"/>
      <c r="E106" s="5"/>
      <c r="I106" s="5"/>
    </row>
    <row r="107" customFormat="false" ht="15" hidden="false" customHeight="false" outlineLevel="0" collapsed="false">
      <c r="C107" s="5"/>
      <c r="E107" s="5"/>
      <c r="I107" s="5"/>
    </row>
    <row r="108" customFormat="false" ht="15" hidden="false" customHeight="false" outlineLevel="0" collapsed="false">
      <c r="C108" s="5"/>
      <c r="E108" s="5"/>
      <c r="I108" s="5"/>
    </row>
    <row r="109" customFormat="false" ht="15" hidden="false" customHeight="false" outlineLevel="0" collapsed="false">
      <c r="C109" s="5"/>
      <c r="E109" s="5"/>
      <c r="I109" s="5"/>
    </row>
    <row r="110" customFormat="false" ht="15" hidden="false" customHeight="false" outlineLevel="0" collapsed="false">
      <c r="C110" s="5"/>
      <c r="E110" s="5"/>
      <c r="I110" s="5"/>
    </row>
    <row r="111" customFormat="false" ht="15" hidden="false" customHeight="false" outlineLevel="0" collapsed="false">
      <c r="C111" s="5"/>
      <c r="E111" s="5"/>
      <c r="I111" s="5"/>
    </row>
    <row r="112" customFormat="false" ht="15" hidden="false" customHeight="false" outlineLevel="0" collapsed="false">
      <c r="C112" s="5"/>
      <c r="E112" s="5"/>
      <c r="I112" s="5"/>
    </row>
    <row r="113" customFormat="false" ht="15" hidden="false" customHeight="false" outlineLevel="0" collapsed="false">
      <c r="C113" s="5"/>
      <c r="E113" s="5"/>
      <c r="I113" s="5"/>
    </row>
    <row r="114" customFormat="false" ht="15" hidden="false" customHeight="false" outlineLevel="0" collapsed="false">
      <c r="C114" s="5"/>
      <c r="E114" s="5"/>
      <c r="I114" s="5"/>
    </row>
    <row r="115" customFormat="false" ht="15" hidden="false" customHeight="false" outlineLevel="0" collapsed="false">
      <c r="C115" s="5"/>
      <c r="E115" s="5"/>
      <c r="I115" s="5"/>
    </row>
    <row r="116" customFormat="false" ht="15" hidden="false" customHeight="false" outlineLevel="0" collapsed="false">
      <c r="C116" s="5"/>
      <c r="E116" s="5"/>
      <c r="I116" s="5"/>
    </row>
    <row r="117" customFormat="false" ht="15" hidden="false" customHeight="false" outlineLevel="0" collapsed="false">
      <c r="C117" s="5"/>
      <c r="E117" s="5"/>
      <c r="I117" s="5"/>
    </row>
    <row r="118" customFormat="false" ht="15" hidden="false" customHeight="false" outlineLevel="0" collapsed="false">
      <c r="C118" s="5"/>
      <c r="E118" s="5"/>
      <c r="I118" s="5"/>
    </row>
    <row r="119" customFormat="false" ht="15" hidden="false" customHeight="false" outlineLevel="0" collapsed="false">
      <c r="C119" s="5"/>
      <c r="E119" s="5"/>
      <c r="I119" s="5"/>
    </row>
    <row r="120" customFormat="false" ht="15" hidden="false" customHeight="false" outlineLevel="0" collapsed="false">
      <c r="C120" s="5"/>
      <c r="E120" s="5"/>
      <c r="I120" s="5"/>
    </row>
    <row r="121" customFormat="false" ht="15" hidden="false" customHeight="false" outlineLevel="0" collapsed="false">
      <c r="C121" s="5"/>
      <c r="E121" s="5"/>
      <c r="I121" s="5"/>
    </row>
    <row r="122" customFormat="false" ht="15" hidden="false" customHeight="false" outlineLevel="0" collapsed="false">
      <c r="C122" s="5"/>
      <c r="E122" s="5"/>
      <c r="I122" s="5"/>
    </row>
    <row r="123" customFormat="false" ht="15" hidden="false" customHeight="false" outlineLevel="0" collapsed="false">
      <c r="C123" s="5"/>
      <c r="E123" s="5"/>
      <c r="I123" s="5"/>
    </row>
    <row r="124" customFormat="false" ht="15" hidden="false" customHeight="false" outlineLevel="0" collapsed="false">
      <c r="C124" s="5"/>
      <c r="E124" s="5"/>
      <c r="I124" s="5"/>
    </row>
    <row r="125" customFormat="false" ht="15" hidden="false" customHeight="false" outlineLevel="0" collapsed="false">
      <c r="C125" s="5"/>
      <c r="E125" s="5"/>
      <c r="I125" s="5"/>
    </row>
    <row r="126" customFormat="false" ht="15" hidden="false" customHeight="false" outlineLevel="0" collapsed="false">
      <c r="C126" s="5"/>
      <c r="E126" s="5"/>
      <c r="I126" s="5"/>
    </row>
    <row r="127" customFormat="false" ht="15" hidden="false" customHeight="false" outlineLevel="0" collapsed="false">
      <c r="C127" s="5"/>
      <c r="E127" s="5"/>
      <c r="I127" s="5"/>
    </row>
    <row r="128" customFormat="false" ht="15" hidden="false" customHeight="false" outlineLevel="0" collapsed="false">
      <c r="C128" s="5"/>
      <c r="E128" s="5"/>
      <c r="I128" s="5"/>
    </row>
    <row r="129" customFormat="false" ht="15" hidden="false" customHeight="false" outlineLevel="0" collapsed="false">
      <c r="C129" s="5"/>
      <c r="E129" s="5"/>
      <c r="I129" s="5"/>
    </row>
    <row r="130" customFormat="false" ht="15" hidden="false" customHeight="false" outlineLevel="0" collapsed="false">
      <c r="C130" s="5"/>
      <c r="E130" s="5"/>
      <c r="I130" s="5"/>
    </row>
    <row r="131" customFormat="false" ht="15" hidden="false" customHeight="false" outlineLevel="0" collapsed="false">
      <c r="C131" s="5"/>
      <c r="E131" s="5"/>
      <c r="I131" s="5"/>
    </row>
    <row r="132" customFormat="false" ht="15" hidden="false" customHeight="false" outlineLevel="0" collapsed="false">
      <c r="C132" s="5"/>
      <c r="E132" s="5"/>
      <c r="I132" s="5"/>
    </row>
    <row r="133" customFormat="false" ht="15" hidden="false" customHeight="false" outlineLevel="0" collapsed="false">
      <c r="C133" s="5"/>
      <c r="E133" s="5"/>
      <c r="I133" s="5"/>
    </row>
    <row r="134" customFormat="false" ht="15" hidden="false" customHeight="false" outlineLevel="0" collapsed="false">
      <c r="C134" s="5"/>
      <c r="E134" s="5"/>
      <c r="I134" s="5"/>
    </row>
    <row r="135" customFormat="false" ht="15" hidden="false" customHeight="false" outlineLevel="0" collapsed="false">
      <c r="C135" s="5"/>
      <c r="E135" s="5"/>
      <c r="I135" s="5"/>
    </row>
    <row r="136" customFormat="false" ht="15" hidden="false" customHeight="false" outlineLevel="0" collapsed="false">
      <c r="C136" s="5"/>
      <c r="E136" s="5"/>
      <c r="I136" s="5"/>
    </row>
    <row r="137" customFormat="false" ht="15" hidden="false" customHeight="false" outlineLevel="0" collapsed="false">
      <c r="C137" s="5"/>
      <c r="E137" s="5"/>
      <c r="I137" s="5"/>
    </row>
    <row r="138" customFormat="false" ht="15" hidden="false" customHeight="false" outlineLevel="0" collapsed="false">
      <c r="C138" s="5"/>
      <c r="E138" s="5"/>
      <c r="I138" s="5"/>
    </row>
    <row r="139" customFormat="false" ht="15" hidden="false" customHeight="false" outlineLevel="0" collapsed="false">
      <c r="C139" s="5"/>
      <c r="E139" s="5"/>
      <c r="I139" s="5"/>
    </row>
    <row r="140" customFormat="false" ht="15" hidden="false" customHeight="false" outlineLevel="0" collapsed="false">
      <c r="C140" s="5"/>
      <c r="E140" s="5"/>
      <c r="I140" s="5"/>
    </row>
    <row r="141" customFormat="false" ht="15" hidden="false" customHeight="false" outlineLevel="0" collapsed="false">
      <c r="C141" s="5"/>
      <c r="E141" s="5"/>
      <c r="I141" s="5"/>
    </row>
    <row r="142" customFormat="false" ht="15" hidden="false" customHeight="false" outlineLevel="0" collapsed="false">
      <c r="C142" s="5"/>
      <c r="E142" s="5"/>
      <c r="I142" s="5"/>
    </row>
    <row r="143" customFormat="false" ht="15" hidden="false" customHeight="false" outlineLevel="0" collapsed="false">
      <c r="C143" s="5"/>
      <c r="E143" s="5"/>
      <c r="I143" s="5"/>
    </row>
    <row r="144" customFormat="false" ht="15" hidden="false" customHeight="false" outlineLevel="0" collapsed="false">
      <c r="C144" s="5"/>
      <c r="E144" s="5"/>
      <c r="I144" s="5"/>
    </row>
    <row r="145" customFormat="false" ht="15" hidden="false" customHeight="false" outlineLevel="0" collapsed="false">
      <c r="C145" s="5"/>
      <c r="E145" s="5"/>
      <c r="I145" s="5"/>
    </row>
    <row r="146" customFormat="false" ht="15" hidden="false" customHeight="false" outlineLevel="0" collapsed="false">
      <c r="C146" s="5"/>
      <c r="E146" s="5"/>
      <c r="I146" s="5"/>
    </row>
    <row r="147" customFormat="false" ht="15" hidden="false" customHeight="false" outlineLevel="0" collapsed="false">
      <c r="C147" s="5"/>
      <c r="E147" s="5"/>
      <c r="I147" s="5"/>
    </row>
    <row r="148" customFormat="false" ht="15" hidden="false" customHeight="false" outlineLevel="0" collapsed="false">
      <c r="C148" s="5"/>
      <c r="E148" s="5"/>
      <c r="I148" s="5"/>
    </row>
    <row r="149" customFormat="false" ht="15" hidden="false" customHeight="false" outlineLevel="0" collapsed="false">
      <c r="C149" s="5"/>
      <c r="E149" s="5"/>
      <c r="I149" s="5"/>
    </row>
    <row r="150" customFormat="false" ht="15" hidden="false" customHeight="false" outlineLevel="0" collapsed="false">
      <c r="C150" s="5"/>
      <c r="E150" s="5"/>
      <c r="I150" s="5"/>
    </row>
    <row r="151" customFormat="false" ht="15" hidden="false" customHeight="false" outlineLevel="0" collapsed="false">
      <c r="C151" s="5"/>
      <c r="E151" s="5"/>
      <c r="I151" s="5"/>
    </row>
    <row r="152" customFormat="false" ht="15" hidden="false" customHeight="false" outlineLevel="0" collapsed="false">
      <c r="C152" s="5"/>
      <c r="E152" s="5"/>
      <c r="I152" s="5"/>
    </row>
    <row r="153" customFormat="false" ht="15" hidden="false" customHeight="false" outlineLevel="0" collapsed="false">
      <c r="C153" s="5"/>
      <c r="E153" s="5"/>
      <c r="I153" s="5"/>
    </row>
    <row r="154" customFormat="false" ht="15" hidden="false" customHeight="false" outlineLevel="0" collapsed="false">
      <c r="C154" s="5"/>
      <c r="E154" s="5"/>
      <c r="I154" s="5"/>
    </row>
    <row r="155" customFormat="false" ht="15" hidden="false" customHeight="false" outlineLevel="0" collapsed="false">
      <c r="C155" s="5"/>
      <c r="E155" s="5"/>
      <c r="I155" s="5"/>
    </row>
    <row r="156" customFormat="false" ht="15" hidden="false" customHeight="false" outlineLevel="0" collapsed="false">
      <c r="C156" s="5"/>
      <c r="E156" s="5"/>
      <c r="I156" s="5"/>
    </row>
    <row r="157" customFormat="false" ht="15" hidden="false" customHeight="false" outlineLevel="0" collapsed="false">
      <c r="C157" s="5"/>
      <c r="E157" s="5"/>
      <c r="I157" s="5"/>
    </row>
    <row r="158" customFormat="false" ht="15" hidden="false" customHeight="false" outlineLevel="0" collapsed="false">
      <c r="C158" s="5"/>
      <c r="E158" s="5"/>
      <c r="I158" s="5"/>
    </row>
    <row r="159" customFormat="false" ht="15" hidden="false" customHeight="false" outlineLevel="0" collapsed="false">
      <c r="C159" s="5"/>
      <c r="E159" s="5"/>
      <c r="I159" s="5"/>
    </row>
    <row r="160" customFormat="false" ht="15" hidden="false" customHeight="false" outlineLevel="0" collapsed="false">
      <c r="C160" s="5"/>
      <c r="E160" s="5"/>
      <c r="I160" s="5"/>
    </row>
    <row r="161" customFormat="false" ht="15" hidden="false" customHeight="false" outlineLevel="0" collapsed="false">
      <c r="C161" s="5"/>
      <c r="E161" s="5"/>
      <c r="I161" s="5"/>
    </row>
    <row r="162" customFormat="false" ht="15" hidden="false" customHeight="false" outlineLevel="0" collapsed="false">
      <c r="C162" s="5"/>
      <c r="E162" s="5"/>
      <c r="I162" s="5"/>
    </row>
    <row r="163" customFormat="false" ht="15" hidden="false" customHeight="false" outlineLevel="0" collapsed="false">
      <c r="C163" s="5"/>
      <c r="E163" s="5"/>
      <c r="I163" s="5"/>
    </row>
    <row r="164" customFormat="false" ht="15" hidden="false" customHeight="false" outlineLevel="0" collapsed="false">
      <c r="C164" s="5"/>
      <c r="E164" s="5"/>
      <c r="I164" s="5"/>
    </row>
    <row r="165" customFormat="false" ht="15" hidden="false" customHeight="false" outlineLevel="0" collapsed="false">
      <c r="C165" s="5"/>
      <c r="E165" s="5"/>
      <c r="I165" s="5"/>
    </row>
    <row r="166" customFormat="false" ht="15" hidden="false" customHeight="false" outlineLevel="0" collapsed="false">
      <c r="C166" s="5"/>
      <c r="E166" s="5"/>
      <c r="I166" s="5"/>
    </row>
    <row r="167" customFormat="false" ht="15" hidden="false" customHeight="false" outlineLevel="0" collapsed="false">
      <c r="C167" s="5"/>
      <c r="E167" s="5"/>
      <c r="I167" s="5"/>
    </row>
    <row r="168" customFormat="false" ht="15" hidden="false" customHeight="false" outlineLevel="0" collapsed="false">
      <c r="C168" s="5"/>
      <c r="E168" s="5"/>
      <c r="I168" s="5"/>
    </row>
    <row r="169" customFormat="false" ht="15" hidden="false" customHeight="false" outlineLevel="0" collapsed="false">
      <c r="C169" s="5"/>
      <c r="E169" s="5"/>
      <c r="I169" s="5"/>
    </row>
    <row r="170" customFormat="false" ht="15" hidden="false" customHeight="false" outlineLevel="0" collapsed="false">
      <c r="C170" s="5"/>
      <c r="E170" s="5"/>
      <c r="I170" s="5"/>
    </row>
    <row r="171" customFormat="false" ht="15" hidden="false" customHeight="false" outlineLevel="0" collapsed="false">
      <c r="C171" s="5"/>
      <c r="E171" s="5"/>
      <c r="I171" s="5"/>
    </row>
    <row r="172" customFormat="false" ht="15" hidden="false" customHeight="false" outlineLevel="0" collapsed="false">
      <c r="C172" s="5"/>
      <c r="E172" s="5"/>
      <c r="I172" s="5"/>
    </row>
    <row r="173" customFormat="false" ht="15" hidden="false" customHeight="false" outlineLevel="0" collapsed="false">
      <c r="C173" s="5"/>
      <c r="E173" s="5"/>
      <c r="I173" s="5"/>
    </row>
    <row r="174" customFormat="false" ht="15" hidden="false" customHeight="false" outlineLevel="0" collapsed="false">
      <c r="C174" s="5"/>
      <c r="E174" s="5"/>
      <c r="I174" s="5"/>
    </row>
    <row r="175" customFormat="false" ht="15" hidden="false" customHeight="false" outlineLevel="0" collapsed="false">
      <c r="C175" s="5"/>
      <c r="E175" s="5"/>
      <c r="I175" s="5"/>
    </row>
    <row r="176" customFormat="false" ht="15" hidden="false" customHeight="false" outlineLevel="0" collapsed="false">
      <c r="C176" s="5"/>
      <c r="E176" s="5"/>
      <c r="I176" s="5"/>
    </row>
    <row r="177" customFormat="false" ht="15" hidden="false" customHeight="false" outlineLevel="0" collapsed="false">
      <c r="C177" s="5"/>
      <c r="E177" s="5"/>
      <c r="I177" s="5"/>
    </row>
    <row r="178" customFormat="false" ht="15" hidden="false" customHeight="false" outlineLevel="0" collapsed="false">
      <c r="C178" s="5"/>
      <c r="E178" s="5"/>
      <c r="I178" s="5"/>
    </row>
    <row r="179" customFormat="false" ht="15" hidden="false" customHeight="false" outlineLevel="0" collapsed="false">
      <c r="C179" s="5"/>
      <c r="E179" s="5"/>
      <c r="I179" s="5"/>
    </row>
    <row r="180" customFormat="false" ht="15" hidden="false" customHeight="false" outlineLevel="0" collapsed="false">
      <c r="C180" s="5"/>
      <c r="E180" s="5"/>
      <c r="I180" s="5"/>
    </row>
    <row r="181" customFormat="false" ht="15" hidden="false" customHeight="false" outlineLevel="0" collapsed="false">
      <c r="C181" s="5"/>
      <c r="E181" s="5"/>
      <c r="I181" s="5"/>
    </row>
    <row r="182" customFormat="false" ht="15" hidden="false" customHeight="false" outlineLevel="0" collapsed="false">
      <c r="C182" s="5"/>
      <c r="E182" s="5"/>
      <c r="I182" s="5"/>
    </row>
    <row r="183" customFormat="false" ht="15" hidden="false" customHeight="false" outlineLevel="0" collapsed="false">
      <c r="C183" s="5"/>
      <c r="E183" s="5"/>
      <c r="I183" s="5"/>
    </row>
    <row r="184" customFormat="false" ht="15" hidden="false" customHeight="false" outlineLevel="0" collapsed="false">
      <c r="C184" s="5"/>
      <c r="E184" s="5"/>
      <c r="I184" s="5"/>
    </row>
    <row r="185" customFormat="false" ht="15" hidden="false" customHeight="false" outlineLevel="0" collapsed="false">
      <c r="C185" s="5"/>
      <c r="E185" s="5"/>
      <c r="I185" s="5"/>
    </row>
    <row r="186" customFormat="false" ht="15" hidden="false" customHeight="false" outlineLevel="0" collapsed="false">
      <c r="C186" s="5"/>
      <c r="E186" s="5"/>
      <c r="I186" s="5"/>
    </row>
    <row r="187" customFormat="false" ht="15" hidden="false" customHeight="false" outlineLevel="0" collapsed="false">
      <c r="C187" s="5"/>
      <c r="E187" s="5"/>
      <c r="I187" s="5"/>
    </row>
    <row r="188" customFormat="false" ht="15" hidden="false" customHeight="false" outlineLevel="0" collapsed="false">
      <c r="C188" s="5"/>
      <c r="E188" s="5"/>
      <c r="I188" s="5"/>
    </row>
    <row r="189" customFormat="false" ht="15" hidden="false" customHeight="false" outlineLevel="0" collapsed="false">
      <c r="C189" s="5"/>
      <c r="E189" s="5"/>
      <c r="I189" s="5"/>
    </row>
    <row r="190" customFormat="false" ht="15" hidden="false" customHeight="false" outlineLevel="0" collapsed="false">
      <c r="C190" s="5"/>
      <c r="E190" s="5"/>
      <c r="I190" s="5"/>
    </row>
    <row r="191" customFormat="false" ht="15" hidden="false" customHeight="false" outlineLevel="0" collapsed="false">
      <c r="C191" s="5"/>
      <c r="E191" s="5"/>
      <c r="I191" s="5"/>
    </row>
    <row r="192" customFormat="false" ht="15" hidden="false" customHeight="false" outlineLevel="0" collapsed="false">
      <c r="C192" s="5"/>
      <c r="E192" s="5"/>
      <c r="I192" s="5"/>
    </row>
    <row r="193" customFormat="false" ht="15" hidden="false" customHeight="false" outlineLevel="0" collapsed="false">
      <c r="C193" s="5"/>
      <c r="E193" s="5"/>
      <c r="I193" s="5"/>
    </row>
    <row r="194" customFormat="false" ht="15" hidden="false" customHeight="false" outlineLevel="0" collapsed="false">
      <c r="C194" s="5"/>
      <c r="E194" s="5"/>
      <c r="I194" s="5"/>
    </row>
    <row r="195" customFormat="false" ht="15" hidden="false" customHeight="false" outlineLevel="0" collapsed="false">
      <c r="C195" s="5"/>
      <c r="E195" s="5"/>
      <c r="I195" s="5"/>
    </row>
    <row r="196" customFormat="false" ht="15" hidden="false" customHeight="false" outlineLevel="0" collapsed="false">
      <c r="C196" s="5"/>
      <c r="E196" s="5"/>
      <c r="I196" s="5"/>
    </row>
    <row r="197" customFormat="false" ht="15" hidden="false" customHeight="false" outlineLevel="0" collapsed="false">
      <c r="C197" s="5"/>
      <c r="E197" s="5"/>
      <c r="I197" s="5"/>
    </row>
    <row r="198" customFormat="false" ht="15" hidden="false" customHeight="false" outlineLevel="0" collapsed="false">
      <c r="C198" s="5"/>
      <c r="E198" s="5"/>
      <c r="I198" s="5"/>
    </row>
    <row r="199" customFormat="false" ht="15" hidden="false" customHeight="false" outlineLevel="0" collapsed="false">
      <c r="C199" s="5"/>
      <c r="E199" s="5"/>
      <c r="I199" s="5"/>
    </row>
    <row r="200" customFormat="false" ht="15" hidden="false" customHeight="false" outlineLevel="0" collapsed="false">
      <c r="C200" s="5"/>
      <c r="E200" s="5"/>
      <c r="I200" s="5"/>
    </row>
    <row r="201" customFormat="false" ht="15" hidden="false" customHeight="false" outlineLevel="0" collapsed="false">
      <c r="C201" s="5"/>
      <c r="E201" s="5"/>
      <c r="I201" s="5"/>
    </row>
    <row r="202" customFormat="false" ht="15" hidden="false" customHeight="false" outlineLevel="0" collapsed="false">
      <c r="C202" s="5"/>
      <c r="E202" s="5"/>
      <c r="I202" s="5"/>
    </row>
    <row r="203" customFormat="false" ht="15" hidden="false" customHeight="false" outlineLevel="0" collapsed="false">
      <c r="C203" s="5"/>
      <c r="E203" s="5"/>
      <c r="I203" s="5"/>
    </row>
    <row r="204" customFormat="false" ht="15" hidden="false" customHeight="false" outlineLevel="0" collapsed="false">
      <c r="C204" s="5"/>
      <c r="E204" s="5"/>
      <c r="I204" s="5"/>
    </row>
    <row r="205" customFormat="false" ht="15" hidden="false" customHeight="false" outlineLevel="0" collapsed="false">
      <c r="C205" s="5"/>
      <c r="E205" s="5"/>
      <c r="I205" s="5"/>
    </row>
    <row r="206" customFormat="false" ht="15" hidden="false" customHeight="false" outlineLevel="0" collapsed="false">
      <c r="C206" s="5"/>
      <c r="E206" s="5"/>
      <c r="I206" s="5"/>
    </row>
    <row r="207" customFormat="false" ht="15" hidden="false" customHeight="false" outlineLevel="0" collapsed="false">
      <c r="C207" s="5"/>
      <c r="E207" s="5"/>
      <c r="I207" s="5"/>
    </row>
    <row r="208" customFormat="false" ht="15" hidden="false" customHeight="false" outlineLevel="0" collapsed="false">
      <c r="C208" s="5"/>
      <c r="E208" s="5"/>
      <c r="I208" s="5"/>
    </row>
    <row r="209" customFormat="false" ht="15" hidden="false" customHeight="false" outlineLevel="0" collapsed="false">
      <c r="C209" s="5"/>
      <c r="E209" s="5"/>
      <c r="I209" s="5"/>
    </row>
    <row r="210" customFormat="false" ht="15" hidden="false" customHeight="false" outlineLevel="0" collapsed="false">
      <c r="C210" s="5"/>
      <c r="E210" s="5"/>
      <c r="I210" s="5"/>
    </row>
    <row r="211" customFormat="false" ht="15" hidden="false" customHeight="false" outlineLevel="0" collapsed="false">
      <c r="C211" s="5"/>
      <c r="E211" s="5"/>
      <c r="I211" s="5"/>
    </row>
    <row r="212" customFormat="false" ht="15" hidden="false" customHeight="false" outlineLevel="0" collapsed="false">
      <c r="C212" s="5"/>
      <c r="E212" s="5"/>
      <c r="I212" s="5"/>
    </row>
    <row r="213" customFormat="false" ht="15" hidden="false" customHeight="false" outlineLevel="0" collapsed="false">
      <c r="C213" s="5"/>
      <c r="E213" s="5"/>
      <c r="I213" s="5"/>
    </row>
    <row r="214" customFormat="false" ht="15" hidden="false" customHeight="false" outlineLevel="0" collapsed="false">
      <c r="C214" s="5"/>
      <c r="E214" s="5"/>
      <c r="I214" s="5"/>
    </row>
    <row r="215" customFormat="false" ht="15" hidden="false" customHeight="false" outlineLevel="0" collapsed="false">
      <c r="C215" s="5"/>
      <c r="E215" s="5"/>
      <c r="I215" s="5"/>
    </row>
    <row r="216" customFormat="false" ht="15" hidden="false" customHeight="false" outlineLevel="0" collapsed="false">
      <c r="C216" s="5"/>
      <c r="E216" s="5"/>
      <c r="I216" s="5"/>
    </row>
    <row r="217" customFormat="false" ht="15" hidden="false" customHeight="false" outlineLevel="0" collapsed="false">
      <c r="C217" s="5"/>
      <c r="E217" s="5"/>
      <c r="I217" s="5"/>
    </row>
    <row r="218" customFormat="false" ht="15" hidden="false" customHeight="false" outlineLevel="0" collapsed="false">
      <c r="C218" s="5"/>
      <c r="E218" s="5"/>
      <c r="I218" s="5"/>
    </row>
    <row r="219" customFormat="false" ht="15" hidden="false" customHeight="false" outlineLevel="0" collapsed="false">
      <c r="C219" s="5"/>
      <c r="E219" s="5"/>
      <c r="I219" s="5"/>
    </row>
    <row r="220" customFormat="false" ht="15" hidden="false" customHeight="false" outlineLevel="0" collapsed="false">
      <c r="C220" s="5"/>
      <c r="E220" s="5"/>
      <c r="I220" s="5"/>
    </row>
    <row r="221" customFormat="false" ht="15" hidden="false" customHeight="false" outlineLevel="0" collapsed="false">
      <c r="C221" s="5"/>
      <c r="E221" s="5"/>
      <c r="I221" s="5"/>
    </row>
    <row r="222" customFormat="false" ht="15" hidden="false" customHeight="false" outlineLevel="0" collapsed="false">
      <c r="C222" s="5"/>
      <c r="E222" s="5"/>
      <c r="I222" s="5"/>
    </row>
    <row r="223" customFormat="false" ht="15" hidden="false" customHeight="false" outlineLevel="0" collapsed="false">
      <c r="C223" s="5"/>
      <c r="E223" s="5"/>
      <c r="I223" s="5"/>
    </row>
    <row r="224" customFormat="false" ht="15" hidden="false" customHeight="false" outlineLevel="0" collapsed="false">
      <c r="C224" s="5"/>
      <c r="E224" s="5"/>
      <c r="I224" s="5"/>
    </row>
    <row r="225" customFormat="false" ht="15" hidden="false" customHeight="false" outlineLevel="0" collapsed="false">
      <c r="C225" s="5"/>
      <c r="E225" s="5"/>
      <c r="I225" s="5"/>
    </row>
    <row r="226" customFormat="false" ht="15" hidden="false" customHeight="false" outlineLevel="0" collapsed="false">
      <c r="C226" s="5"/>
      <c r="E226" s="5"/>
      <c r="I226" s="5"/>
    </row>
    <row r="227" customFormat="false" ht="15" hidden="false" customHeight="false" outlineLevel="0" collapsed="false">
      <c r="C227" s="5"/>
      <c r="E227" s="5"/>
      <c r="I227" s="5"/>
    </row>
    <row r="228" customFormat="false" ht="15" hidden="false" customHeight="false" outlineLevel="0" collapsed="false">
      <c r="C228" s="5"/>
      <c r="E228" s="5"/>
      <c r="I228" s="5"/>
    </row>
    <row r="229" customFormat="false" ht="15" hidden="false" customHeight="false" outlineLevel="0" collapsed="false">
      <c r="C229" s="5"/>
      <c r="E229" s="5"/>
      <c r="I229" s="5"/>
    </row>
    <row r="230" customFormat="false" ht="15" hidden="false" customHeight="false" outlineLevel="0" collapsed="false">
      <c r="C230" s="5"/>
      <c r="E230" s="5"/>
      <c r="I230" s="5"/>
    </row>
    <row r="231" customFormat="false" ht="15" hidden="false" customHeight="false" outlineLevel="0" collapsed="false">
      <c r="C231" s="5"/>
      <c r="E231" s="5"/>
      <c r="I231" s="5"/>
    </row>
    <row r="232" customFormat="false" ht="15" hidden="false" customHeight="false" outlineLevel="0" collapsed="false">
      <c r="C232" s="5"/>
      <c r="E232" s="5"/>
      <c r="I232" s="5"/>
    </row>
    <row r="233" customFormat="false" ht="15" hidden="false" customHeight="false" outlineLevel="0" collapsed="false">
      <c r="C233" s="5"/>
      <c r="E233" s="5"/>
      <c r="I233" s="5"/>
    </row>
    <row r="234" customFormat="false" ht="15" hidden="false" customHeight="false" outlineLevel="0" collapsed="false">
      <c r="C234" s="5"/>
      <c r="E234" s="5"/>
      <c r="I234" s="5"/>
    </row>
    <row r="235" customFormat="false" ht="15" hidden="false" customHeight="false" outlineLevel="0" collapsed="false">
      <c r="C235" s="5"/>
      <c r="E235" s="5"/>
      <c r="I235" s="5"/>
    </row>
    <row r="236" customFormat="false" ht="15" hidden="false" customHeight="false" outlineLevel="0" collapsed="false">
      <c r="C236" s="5"/>
      <c r="E236" s="5"/>
      <c r="I236" s="5"/>
    </row>
    <row r="237" customFormat="false" ht="15" hidden="false" customHeight="false" outlineLevel="0" collapsed="false">
      <c r="C237" s="5"/>
      <c r="E237" s="5"/>
      <c r="I237" s="5"/>
    </row>
    <row r="238" customFormat="false" ht="15" hidden="false" customHeight="false" outlineLevel="0" collapsed="false">
      <c r="C238" s="5"/>
      <c r="E238" s="5"/>
      <c r="I238" s="5"/>
    </row>
    <row r="239" customFormat="false" ht="15" hidden="false" customHeight="false" outlineLevel="0" collapsed="false">
      <c r="C239" s="5"/>
      <c r="E239" s="5"/>
      <c r="I239" s="5"/>
    </row>
    <row r="240" customFormat="false" ht="15" hidden="false" customHeight="false" outlineLevel="0" collapsed="false">
      <c r="C240" s="5"/>
      <c r="E240" s="5"/>
      <c r="I240" s="5"/>
    </row>
    <row r="241" customFormat="false" ht="15" hidden="false" customHeight="false" outlineLevel="0" collapsed="false">
      <c r="C241" s="5"/>
      <c r="E241" s="5"/>
      <c r="I241" s="5"/>
    </row>
    <row r="242" customFormat="false" ht="15" hidden="false" customHeight="false" outlineLevel="0" collapsed="false">
      <c r="C242" s="5"/>
      <c r="E242" s="5"/>
      <c r="I242" s="5"/>
    </row>
    <row r="243" customFormat="false" ht="15" hidden="false" customHeight="false" outlineLevel="0" collapsed="false">
      <c r="C243" s="5"/>
      <c r="E243" s="5"/>
      <c r="I243" s="5"/>
    </row>
    <row r="244" customFormat="false" ht="15" hidden="false" customHeight="false" outlineLevel="0" collapsed="false">
      <c r="C244" s="5"/>
      <c r="E244" s="5"/>
      <c r="I244" s="5"/>
    </row>
    <row r="245" customFormat="false" ht="15" hidden="false" customHeight="false" outlineLevel="0" collapsed="false">
      <c r="C245" s="5"/>
      <c r="E245" s="5"/>
      <c r="I245" s="5"/>
    </row>
    <row r="246" customFormat="false" ht="15" hidden="false" customHeight="false" outlineLevel="0" collapsed="false">
      <c r="C246" s="5"/>
      <c r="E246" s="5"/>
      <c r="I246" s="5"/>
    </row>
    <row r="247" customFormat="false" ht="15" hidden="false" customHeight="false" outlineLevel="0" collapsed="false">
      <c r="C247" s="5"/>
      <c r="E247" s="5"/>
      <c r="I247" s="5"/>
    </row>
    <row r="248" customFormat="false" ht="15" hidden="false" customHeight="false" outlineLevel="0" collapsed="false">
      <c r="C248" s="5"/>
      <c r="E248" s="5"/>
      <c r="I248" s="5"/>
    </row>
    <row r="249" customFormat="false" ht="15" hidden="false" customHeight="false" outlineLevel="0" collapsed="false">
      <c r="C249" s="5"/>
      <c r="E249" s="5"/>
      <c r="I249" s="5"/>
    </row>
    <row r="250" customFormat="false" ht="15" hidden="false" customHeight="false" outlineLevel="0" collapsed="false">
      <c r="C250" s="5"/>
      <c r="E250" s="5"/>
      <c r="I250" s="5"/>
    </row>
    <row r="251" customFormat="false" ht="15" hidden="false" customHeight="false" outlineLevel="0" collapsed="false">
      <c r="C251" s="5"/>
      <c r="E251" s="5"/>
      <c r="I251" s="5"/>
    </row>
    <row r="252" customFormat="false" ht="15" hidden="false" customHeight="false" outlineLevel="0" collapsed="false">
      <c r="C252" s="5"/>
      <c r="E252" s="5"/>
      <c r="I252" s="5"/>
    </row>
    <row r="253" customFormat="false" ht="15" hidden="false" customHeight="false" outlineLevel="0" collapsed="false">
      <c r="C253" s="5"/>
      <c r="E253" s="5"/>
      <c r="I253" s="5"/>
    </row>
    <row r="254" customFormat="false" ht="15" hidden="false" customHeight="false" outlineLevel="0" collapsed="false">
      <c r="C254" s="5"/>
      <c r="E254" s="5"/>
      <c r="I254" s="5"/>
    </row>
    <row r="255" customFormat="false" ht="15" hidden="false" customHeight="false" outlineLevel="0" collapsed="false">
      <c r="C255" s="5"/>
      <c r="E255" s="5"/>
      <c r="I255" s="5"/>
    </row>
    <row r="256" customFormat="false" ht="15" hidden="false" customHeight="false" outlineLevel="0" collapsed="false">
      <c r="C256" s="5"/>
      <c r="E256" s="5"/>
      <c r="I256" s="5"/>
    </row>
    <row r="257" customFormat="false" ht="15" hidden="false" customHeight="false" outlineLevel="0" collapsed="false">
      <c r="C257" s="5"/>
      <c r="E257" s="5"/>
      <c r="I257" s="5"/>
    </row>
    <row r="258" customFormat="false" ht="15" hidden="false" customHeight="false" outlineLevel="0" collapsed="false">
      <c r="C258" s="5"/>
      <c r="E258" s="5"/>
      <c r="I258" s="5"/>
    </row>
    <row r="259" customFormat="false" ht="15" hidden="false" customHeight="false" outlineLevel="0" collapsed="false">
      <c r="C259" s="5"/>
      <c r="E259" s="5"/>
      <c r="I259" s="5"/>
    </row>
    <row r="260" customFormat="false" ht="15" hidden="false" customHeight="false" outlineLevel="0" collapsed="false">
      <c r="C260" s="5"/>
      <c r="E260" s="5"/>
      <c r="I260" s="5"/>
    </row>
    <row r="261" customFormat="false" ht="15" hidden="false" customHeight="false" outlineLevel="0" collapsed="false">
      <c r="C261" s="5"/>
      <c r="E261" s="5"/>
      <c r="I261" s="5"/>
    </row>
    <row r="262" customFormat="false" ht="15" hidden="false" customHeight="false" outlineLevel="0" collapsed="false">
      <c r="C262" s="5"/>
      <c r="E262" s="5"/>
      <c r="I262" s="5"/>
    </row>
    <row r="263" customFormat="false" ht="15" hidden="false" customHeight="false" outlineLevel="0" collapsed="false">
      <c r="C263" s="5"/>
      <c r="E263" s="5"/>
      <c r="I263" s="5"/>
    </row>
    <row r="264" customFormat="false" ht="15" hidden="false" customHeight="false" outlineLevel="0" collapsed="false">
      <c r="C264" s="5"/>
      <c r="E264" s="5"/>
      <c r="I264" s="5"/>
    </row>
    <row r="265" customFormat="false" ht="15" hidden="false" customHeight="false" outlineLevel="0" collapsed="false">
      <c r="C265" s="5"/>
      <c r="E265" s="5"/>
      <c r="I265" s="5"/>
    </row>
    <row r="266" customFormat="false" ht="15" hidden="false" customHeight="false" outlineLevel="0" collapsed="false">
      <c r="C266" s="5"/>
      <c r="E266" s="5"/>
      <c r="I266" s="5"/>
    </row>
    <row r="267" customFormat="false" ht="15" hidden="false" customHeight="false" outlineLevel="0" collapsed="false">
      <c r="C267" s="5"/>
      <c r="E267" s="5"/>
      <c r="I267" s="5"/>
    </row>
    <row r="268" customFormat="false" ht="15" hidden="false" customHeight="false" outlineLevel="0" collapsed="false">
      <c r="C268" s="5"/>
      <c r="E268" s="5"/>
      <c r="I268" s="5"/>
    </row>
    <row r="269" customFormat="false" ht="15" hidden="false" customHeight="false" outlineLevel="0" collapsed="false">
      <c r="C269" s="5"/>
      <c r="E269" s="5"/>
      <c r="I269" s="5"/>
    </row>
    <row r="270" customFormat="false" ht="15" hidden="false" customHeight="false" outlineLevel="0" collapsed="false">
      <c r="C270" s="5"/>
      <c r="E270" s="5"/>
      <c r="I270" s="5"/>
    </row>
    <row r="271" customFormat="false" ht="15" hidden="false" customHeight="false" outlineLevel="0" collapsed="false">
      <c r="C271" s="5"/>
      <c r="E271" s="5"/>
      <c r="I271" s="5"/>
    </row>
    <row r="272" customFormat="false" ht="15" hidden="false" customHeight="false" outlineLevel="0" collapsed="false">
      <c r="C272" s="5"/>
      <c r="E272" s="5"/>
      <c r="I272" s="5"/>
    </row>
    <row r="273" customFormat="false" ht="15" hidden="false" customHeight="false" outlineLevel="0" collapsed="false">
      <c r="C273" s="5"/>
      <c r="E273" s="5"/>
      <c r="I273" s="5"/>
    </row>
    <row r="274" customFormat="false" ht="15" hidden="false" customHeight="false" outlineLevel="0" collapsed="false">
      <c r="C274" s="5"/>
      <c r="E274" s="5"/>
      <c r="I274" s="5"/>
    </row>
    <row r="275" customFormat="false" ht="15" hidden="false" customHeight="false" outlineLevel="0" collapsed="false">
      <c r="C275" s="5"/>
      <c r="E275" s="5"/>
      <c r="I275" s="5"/>
    </row>
    <row r="276" customFormat="false" ht="15" hidden="false" customHeight="false" outlineLevel="0" collapsed="false">
      <c r="C276" s="5"/>
      <c r="E276" s="5"/>
      <c r="I276" s="5"/>
    </row>
    <row r="277" customFormat="false" ht="15" hidden="false" customHeight="false" outlineLevel="0" collapsed="false">
      <c r="C277" s="5"/>
      <c r="E277" s="5"/>
      <c r="I277" s="5"/>
    </row>
    <row r="278" customFormat="false" ht="15" hidden="false" customHeight="false" outlineLevel="0" collapsed="false">
      <c r="C278" s="5"/>
      <c r="E278" s="5"/>
      <c r="I278" s="5"/>
    </row>
    <row r="279" customFormat="false" ht="15" hidden="false" customHeight="false" outlineLevel="0" collapsed="false">
      <c r="C279" s="5"/>
      <c r="E279" s="5"/>
      <c r="I279" s="5"/>
    </row>
    <row r="280" customFormat="false" ht="15" hidden="false" customHeight="false" outlineLevel="0" collapsed="false">
      <c r="C280" s="5"/>
      <c r="E280" s="5"/>
      <c r="I280" s="5"/>
    </row>
    <row r="281" customFormat="false" ht="15" hidden="false" customHeight="false" outlineLevel="0" collapsed="false">
      <c r="C281" s="5"/>
      <c r="E281" s="5"/>
      <c r="I281" s="5"/>
    </row>
    <row r="282" customFormat="false" ht="15" hidden="false" customHeight="false" outlineLevel="0" collapsed="false">
      <c r="C282" s="5"/>
      <c r="E282" s="5"/>
      <c r="I282" s="5"/>
    </row>
    <row r="283" customFormat="false" ht="15" hidden="false" customHeight="false" outlineLevel="0" collapsed="false">
      <c r="C283" s="5"/>
      <c r="E283" s="5"/>
      <c r="I283" s="5"/>
    </row>
    <row r="284" customFormat="false" ht="15" hidden="false" customHeight="false" outlineLevel="0" collapsed="false">
      <c r="C284" s="5"/>
      <c r="E284" s="5"/>
      <c r="I284" s="5"/>
    </row>
    <row r="285" customFormat="false" ht="15" hidden="false" customHeight="false" outlineLevel="0" collapsed="false">
      <c r="C285" s="5"/>
      <c r="E285" s="5"/>
      <c r="I285" s="5"/>
    </row>
    <row r="286" customFormat="false" ht="15" hidden="false" customHeight="false" outlineLevel="0" collapsed="false">
      <c r="C286" s="5"/>
      <c r="E286" s="5"/>
      <c r="I286" s="5"/>
    </row>
    <row r="287" customFormat="false" ht="15" hidden="false" customHeight="false" outlineLevel="0" collapsed="false">
      <c r="C287" s="5"/>
      <c r="E287" s="5"/>
      <c r="I287" s="5"/>
    </row>
    <row r="288" customFormat="false" ht="15" hidden="false" customHeight="false" outlineLevel="0" collapsed="false">
      <c r="C288" s="5"/>
      <c r="E288" s="5"/>
      <c r="I288" s="5"/>
    </row>
    <row r="289" customFormat="false" ht="15" hidden="false" customHeight="false" outlineLevel="0" collapsed="false">
      <c r="C289" s="5"/>
      <c r="E289" s="5"/>
      <c r="I289" s="5"/>
    </row>
    <row r="290" customFormat="false" ht="15" hidden="false" customHeight="false" outlineLevel="0" collapsed="false">
      <c r="C290" s="5"/>
      <c r="E290" s="5"/>
      <c r="I290" s="5"/>
    </row>
    <row r="291" customFormat="false" ht="15" hidden="false" customHeight="false" outlineLevel="0" collapsed="false">
      <c r="C291" s="5"/>
      <c r="E291" s="5"/>
      <c r="I291" s="5"/>
    </row>
    <row r="292" customFormat="false" ht="15" hidden="false" customHeight="false" outlineLevel="0" collapsed="false">
      <c r="C292" s="5"/>
      <c r="E292" s="5"/>
      <c r="I292" s="5"/>
    </row>
    <row r="293" customFormat="false" ht="15" hidden="false" customHeight="false" outlineLevel="0" collapsed="false">
      <c r="C293" s="5"/>
      <c r="E293" s="5"/>
      <c r="I293" s="5"/>
    </row>
    <row r="294" customFormat="false" ht="15" hidden="false" customHeight="false" outlineLevel="0" collapsed="false">
      <c r="C294" s="5"/>
      <c r="E294" s="5"/>
      <c r="I294" s="5"/>
    </row>
    <row r="295" customFormat="false" ht="15" hidden="false" customHeight="false" outlineLevel="0" collapsed="false">
      <c r="C295" s="5"/>
      <c r="E295" s="5"/>
      <c r="I295" s="5"/>
    </row>
    <row r="296" customFormat="false" ht="15" hidden="false" customHeight="false" outlineLevel="0" collapsed="false">
      <c r="C296" s="5"/>
      <c r="E296" s="5"/>
      <c r="I296" s="5"/>
    </row>
    <row r="297" customFormat="false" ht="15" hidden="false" customHeight="false" outlineLevel="0" collapsed="false">
      <c r="C297" s="5"/>
      <c r="E297" s="5"/>
      <c r="I297" s="5"/>
    </row>
    <row r="298" customFormat="false" ht="15" hidden="false" customHeight="false" outlineLevel="0" collapsed="false">
      <c r="C298" s="5"/>
      <c r="E298" s="5"/>
      <c r="I298" s="5"/>
    </row>
    <row r="299" customFormat="false" ht="15" hidden="false" customHeight="false" outlineLevel="0" collapsed="false">
      <c r="C299" s="5"/>
      <c r="E299" s="5"/>
      <c r="I299" s="5"/>
    </row>
    <row r="300" customFormat="false" ht="15" hidden="false" customHeight="false" outlineLevel="0" collapsed="false">
      <c r="C300" s="5"/>
      <c r="E300" s="5"/>
      <c r="I300" s="5"/>
    </row>
    <row r="301" customFormat="false" ht="15" hidden="false" customHeight="false" outlineLevel="0" collapsed="false">
      <c r="C301" s="5"/>
      <c r="E301" s="5"/>
      <c r="I301" s="5"/>
    </row>
    <row r="302" customFormat="false" ht="15" hidden="false" customHeight="false" outlineLevel="0" collapsed="false">
      <c r="C302" s="5"/>
      <c r="E302" s="5"/>
      <c r="I302" s="5"/>
    </row>
    <row r="303" customFormat="false" ht="15" hidden="false" customHeight="false" outlineLevel="0" collapsed="false">
      <c r="C303" s="5"/>
      <c r="E303" s="5"/>
      <c r="I303" s="5"/>
    </row>
    <row r="304" customFormat="false" ht="15" hidden="false" customHeight="false" outlineLevel="0" collapsed="false">
      <c r="C304" s="5"/>
      <c r="E304" s="5"/>
      <c r="I304" s="5"/>
    </row>
    <row r="305" customFormat="false" ht="15" hidden="false" customHeight="false" outlineLevel="0" collapsed="false">
      <c r="C305" s="5"/>
      <c r="E305" s="5"/>
      <c r="I305" s="5"/>
    </row>
    <row r="306" customFormat="false" ht="15" hidden="false" customHeight="false" outlineLevel="0" collapsed="false">
      <c r="C306" s="5"/>
      <c r="E306" s="5"/>
      <c r="I306" s="5"/>
    </row>
    <row r="307" customFormat="false" ht="15" hidden="false" customHeight="false" outlineLevel="0" collapsed="false">
      <c r="C307" s="5"/>
      <c r="E307" s="5"/>
      <c r="I307" s="5"/>
    </row>
    <row r="308" customFormat="false" ht="15" hidden="false" customHeight="false" outlineLevel="0" collapsed="false">
      <c r="C308" s="5"/>
      <c r="E308" s="5"/>
      <c r="I308" s="5"/>
    </row>
    <row r="309" customFormat="false" ht="15" hidden="false" customHeight="false" outlineLevel="0" collapsed="false">
      <c r="C309" s="5"/>
      <c r="E309" s="5"/>
      <c r="I309" s="5"/>
    </row>
    <row r="310" customFormat="false" ht="15" hidden="false" customHeight="false" outlineLevel="0" collapsed="false">
      <c r="C310" s="5"/>
      <c r="E310" s="5"/>
      <c r="I310" s="5"/>
    </row>
    <row r="311" customFormat="false" ht="15" hidden="false" customHeight="false" outlineLevel="0" collapsed="false">
      <c r="C311" s="5"/>
      <c r="E311" s="5"/>
      <c r="I311" s="5"/>
    </row>
    <row r="312" customFormat="false" ht="15" hidden="false" customHeight="false" outlineLevel="0" collapsed="false">
      <c r="C312" s="5"/>
      <c r="E312" s="5"/>
      <c r="I312" s="5"/>
    </row>
    <row r="313" customFormat="false" ht="15" hidden="false" customHeight="false" outlineLevel="0" collapsed="false">
      <c r="C313" s="5"/>
      <c r="E313" s="5"/>
      <c r="I313" s="5"/>
    </row>
    <row r="314" customFormat="false" ht="15" hidden="false" customHeight="false" outlineLevel="0" collapsed="false">
      <c r="C314" s="5"/>
      <c r="E314" s="5"/>
      <c r="I314" s="5"/>
    </row>
    <row r="315" customFormat="false" ht="15" hidden="false" customHeight="false" outlineLevel="0" collapsed="false">
      <c r="C315" s="5"/>
      <c r="E315" s="5"/>
      <c r="I315" s="5"/>
    </row>
    <row r="316" customFormat="false" ht="15" hidden="false" customHeight="false" outlineLevel="0" collapsed="false">
      <c r="C316" s="5"/>
      <c r="E316" s="5"/>
      <c r="I316" s="5"/>
    </row>
    <row r="317" customFormat="false" ht="15" hidden="false" customHeight="false" outlineLevel="0" collapsed="false">
      <c r="C317" s="5"/>
      <c r="E317" s="5"/>
      <c r="I317" s="5"/>
    </row>
    <row r="318" customFormat="false" ht="15" hidden="false" customHeight="false" outlineLevel="0" collapsed="false">
      <c r="C318" s="5"/>
      <c r="E318" s="5"/>
      <c r="I318" s="5"/>
    </row>
    <row r="319" customFormat="false" ht="15" hidden="false" customHeight="false" outlineLevel="0" collapsed="false">
      <c r="C319" s="5"/>
      <c r="E319" s="5"/>
      <c r="I319" s="5"/>
    </row>
    <row r="320" customFormat="false" ht="15" hidden="false" customHeight="false" outlineLevel="0" collapsed="false">
      <c r="C320" s="5"/>
      <c r="E320" s="5"/>
      <c r="I320" s="5"/>
    </row>
    <row r="321" customFormat="false" ht="15" hidden="false" customHeight="false" outlineLevel="0" collapsed="false">
      <c r="C321" s="5"/>
      <c r="E321" s="5"/>
      <c r="I321" s="5"/>
    </row>
    <row r="322" customFormat="false" ht="15" hidden="false" customHeight="false" outlineLevel="0" collapsed="false">
      <c r="C322" s="5"/>
      <c r="E322" s="5"/>
      <c r="I322" s="5"/>
    </row>
    <row r="323" customFormat="false" ht="15" hidden="false" customHeight="false" outlineLevel="0" collapsed="false">
      <c r="C323" s="5"/>
      <c r="E323" s="5"/>
      <c r="I323" s="5"/>
    </row>
    <row r="324" customFormat="false" ht="15" hidden="false" customHeight="false" outlineLevel="0" collapsed="false">
      <c r="C324" s="5"/>
      <c r="E324" s="5"/>
      <c r="I324" s="5"/>
    </row>
    <row r="325" customFormat="false" ht="15" hidden="false" customHeight="false" outlineLevel="0" collapsed="false">
      <c r="C325" s="5"/>
      <c r="E325" s="5"/>
      <c r="I325" s="5"/>
    </row>
    <row r="326" customFormat="false" ht="15" hidden="false" customHeight="false" outlineLevel="0" collapsed="false">
      <c r="C326" s="5"/>
      <c r="E326" s="5"/>
      <c r="I326" s="5"/>
    </row>
    <row r="327" customFormat="false" ht="15" hidden="false" customHeight="false" outlineLevel="0" collapsed="false">
      <c r="C327" s="5"/>
      <c r="E327" s="5"/>
      <c r="I327" s="5"/>
    </row>
    <row r="328" customFormat="false" ht="15" hidden="false" customHeight="false" outlineLevel="0" collapsed="false">
      <c r="C328" s="5"/>
      <c r="E328" s="5"/>
      <c r="I328" s="5"/>
    </row>
    <row r="329" customFormat="false" ht="15" hidden="false" customHeight="false" outlineLevel="0" collapsed="false">
      <c r="C329" s="5"/>
      <c r="E329" s="5"/>
      <c r="I329" s="5"/>
    </row>
    <row r="330" customFormat="false" ht="15" hidden="false" customHeight="false" outlineLevel="0" collapsed="false">
      <c r="C330" s="5"/>
      <c r="E330" s="5"/>
      <c r="I330" s="5"/>
    </row>
    <row r="331" customFormat="false" ht="15" hidden="false" customHeight="false" outlineLevel="0" collapsed="false">
      <c r="C331" s="5"/>
      <c r="E331" s="5"/>
      <c r="I331" s="5"/>
    </row>
    <row r="332" customFormat="false" ht="15" hidden="false" customHeight="false" outlineLevel="0" collapsed="false">
      <c r="C332" s="5"/>
      <c r="E332" s="5"/>
      <c r="I332" s="5"/>
    </row>
    <row r="333" customFormat="false" ht="15" hidden="false" customHeight="false" outlineLevel="0" collapsed="false">
      <c r="C333" s="5"/>
      <c r="E333" s="5"/>
      <c r="I333" s="5"/>
    </row>
    <row r="334" customFormat="false" ht="15" hidden="false" customHeight="false" outlineLevel="0" collapsed="false">
      <c r="C334" s="5"/>
      <c r="E334" s="5"/>
      <c r="I334" s="5"/>
    </row>
    <row r="335" customFormat="false" ht="15" hidden="false" customHeight="false" outlineLevel="0" collapsed="false">
      <c r="C335" s="5"/>
      <c r="E335" s="5"/>
      <c r="I335" s="5"/>
    </row>
    <row r="336" customFormat="false" ht="15" hidden="false" customHeight="false" outlineLevel="0" collapsed="false">
      <c r="C336" s="5"/>
      <c r="E336" s="5"/>
      <c r="I336" s="5"/>
    </row>
    <row r="337" customFormat="false" ht="15" hidden="false" customHeight="false" outlineLevel="0" collapsed="false">
      <c r="C337" s="5"/>
      <c r="E337" s="5"/>
      <c r="I337" s="5"/>
    </row>
    <row r="338" customFormat="false" ht="15" hidden="false" customHeight="false" outlineLevel="0" collapsed="false">
      <c r="C338" s="5"/>
      <c r="E338" s="5"/>
      <c r="I338" s="5"/>
    </row>
    <row r="339" customFormat="false" ht="15" hidden="false" customHeight="false" outlineLevel="0" collapsed="false">
      <c r="C339" s="5"/>
      <c r="E339" s="5"/>
      <c r="I339" s="5"/>
    </row>
    <row r="340" customFormat="false" ht="15" hidden="false" customHeight="false" outlineLevel="0" collapsed="false">
      <c r="C340" s="5"/>
      <c r="E340" s="5"/>
      <c r="I340" s="5"/>
    </row>
    <row r="341" customFormat="false" ht="15" hidden="false" customHeight="false" outlineLevel="0" collapsed="false">
      <c r="C341" s="5"/>
      <c r="E341" s="5"/>
      <c r="I341" s="5"/>
    </row>
    <row r="342" customFormat="false" ht="15" hidden="false" customHeight="false" outlineLevel="0" collapsed="false">
      <c r="C342" s="5"/>
      <c r="E342" s="5"/>
      <c r="I342" s="5"/>
    </row>
    <row r="343" customFormat="false" ht="15" hidden="false" customHeight="false" outlineLevel="0" collapsed="false">
      <c r="C343" s="5"/>
      <c r="E343" s="5"/>
      <c r="I343" s="5"/>
    </row>
    <row r="344" customFormat="false" ht="15" hidden="false" customHeight="false" outlineLevel="0" collapsed="false">
      <c r="C344" s="5"/>
      <c r="E344" s="5"/>
      <c r="I344" s="5"/>
    </row>
    <row r="345" customFormat="false" ht="15" hidden="false" customHeight="false" outlineLevel="0" collapsed="false">
      <c r="C345" s="5"/>
      <c r="E345" s="5"/>
      <c r="I345" s="5"/>
    </row>
    <row r="346" customFormat="false" ht="15" hidden="false" customHeight="false" outlineLevel="0" collapsed="false">
      <c r="C346" s="5"/>
      <c r="E346" s="5"/>
      <c r="I346" s="5"/>
    </row>
    <row r="347" customFormat="false" ht="15" hidden="false" customHeight="false" outlineLevel="0" collapsed="false">
      <c r="C347" s="5"/>
      <c r="E347" s="5"/>
      <c r="I347" s="5"/>
    </row>
    <row r="348" customFormat="false" ht="15" hidden="false" customHeight="false" outlineLevel="0" collapsed="false">
      <c r="C348" s="5"/>
      <c r="E348" s="5"/>
      <c r="I348" s="5"/>
    </row>
    <row r="349" customFormat="false" ht="15" hidden="false" customHeight="false" outlineLevel="0" collapsed="false">
      <c r="C349" s="5"/>
      <c r="E349" s="5"/>
      <c r="I349" s="5"/>
    </row>
    <row r="350" customFormat="false" ht="15" hidden="false" customHeight="false" outlineLevel="0" collapsed="false">
      <c r="C350" s="5"/>
      <c r="E350" s="5"/>
      <c r="I350" s="5"/>
    </row>
    <row r="351" customFormat="false" ht="15" hidden="false" customHeight="false" outlineLevel="0" collapsed="false">
      <c r="C351" s="5"/>
      <c r="E351" s="5"/>
      <c r="I351" s="5"/>
    </row>
    <row r="352" customFormat="false" ht="15" hidden="false" customHeight="false" outlineLevel="0" collapsed="false">
      <c r="C352" s="5"/>
      <c r="E352" s="5"/>
      <c r="I352" s="5"/>
    </row>
    <row r="353" customFormat="false" ht="15" hidden="false" customHeight="false" outlineLevel="0" collapsed="false">
      <c r="C353" s="5"/>
      <c r="E353" s="5"/>
      <c r="I353" s="5"/>
    </row>
    <row r="354" customFormat="false" ht="15" hidden="false" customHeight="false" outlineLevel="0" collapsed="false">
      <c r="C354" s="5"/>
      <c r="E354" s="5"/>
      <c r="I354" s="5"/>
    </row>
    <row r="355" customFormat="false" ht="15" hidden="false" customHeight="false" outlineLevel="0" collapsed="false">
      <c r="C355" s="5"/>
      <c r="E355" s="5"/>
      <c r="I355" s="5"/>
    </row>
    <row r="356" customFormat="false" ht="15" hidden="false" customHeight="false" outlineLevel="0" collapsed="false">
      <c r="C356" s="5"/>
      <c r="E356" s="5"/>
      <c r="I356" s="5"/>
    </row>
    <row r="357" customFormat="false" ht="15" hidden="false" customHeight="false" outlineLevel="0" collapsed="false">
      <c r="C357" s="5"/>
      <c r="E357" s="5"/>
      <c r="I357" s="5"/>
    </row>
    <row r="358" customFormat="false" ht="15" hidden="false" customHeight="false" outlineLevel="0" collapsed="false">
      <c r="C358" s="5"/>
      <c r="E358" s="5"/>
      <c r="I358" s="5"/>
    </row>
    <row r="359" customFormat="false" ht="15" hidden="false" customHeight="false" outlineLevel="0" collapsed="false">
      <c r="C359" s="5"/>
      <c r="E359" s="5"/>
      <c r="I359" s="5"/>
    </row>
    <row r="360" customFormat="false" ht="15" hidden="false" customHeight="false" outlineLevel="0" collapsed="false">
      <c r="C360" s="5"/>
      <c r="E360" s="5"/>
      <c r="I360" s="5"/>
    </row>
    <row r="361" customFormat="false" ht="15" hidden="false" customHeight="false" outlineLevel="0" collapsed="false">
      <c r="C361" s="5"/>
      <c r="E361" s="5"/>
      <c r="I361" s="5"/>
    </row>
    <row r="362" customFormat="false" ht="15" hidden="false" customHeight="false" outlineLevel="0" collapsed="false">
      <c r="C362" s="5"/>
      <c r="E362" s="5"/>
      <c r="I362" s="5"/>
    </row>
    <row r="363" customFormat="false" ht="15" hidden="false" customHeight="false" outlineLevel="0" collapsed="false">
      <c r="C363" s="5"/>
      <c r="E363" s="5"/>
      <c r="I363" s="5"/>
    </row>
    <row r="364" customFormat="false" ht="15" hidden="false" customHeight="false" outlineLevel="0" collapsed="false">
      <c r="C364" s="5"/>
      <c r="E364" s="5"/>
      <c r="I364" s="5"/>
    </row>
    <row r="365" customFormat="false" ht="15" hidden="false" customHeight="false" outlineLevel="0" collapsed="false">
      <c r="C365" s="5"/>
      <c r="E365" s="5"/>
      <c r="I365" s="5"/>
    </row>
    <row r="366" customFormat="false" ht="15" hidden="false" customHeight="false" outlineLevel="0" collapsed="false">
      <c r="C366" s="5"/>
      <c r="E366" s="5"/>
      <c r="I366" s="5"/>
    </row>
    <row r="367" customFormat="false" ht="15" hidden="false" customHeight="false" outlineLevel="0" collapsed="false">
      <c r="C367" s="5"/>
      <c r="E367" s="5"/>
      <c r="I367" s="5"/>
    </row>
    <row r="368" customFormat="false" ht="15" hidden="false" customHeight="false" outlineLevel="0" collapsed="false">
      <c r="C368" s="5"/>
      <c r="E368" s="5"/>
      <c r="I368" s="5"/>
    </row>
    <row r="369" customFormat="false" ht="15" hidden="false" customHeight="false" outlineLevel="0" collapsed="false">
      <c r="C369" s="5"/>
      <c r="E369" s="5"/>
      <c r="I369" s="5"/>
    </row>
    <row r="370" customFormat="false" ht="15" hidden="false" customHeight="false" outlineLevel="0" collapsed="false">
      <c r="C370" s="5"/>
      <c r="E370" s="5"/>
      <c r="I370" s="5"/>
    </row>
    <row r="371" customFormat="false" ht="15" hidden="false" customHeight="false" outlineLevel="0" collapsed="false">
      <c r="C371" s="5"/>
      <c r="E371" s="5"/>
      <c r="I371" s="5"/>
    </row>
    <row r="372" customFormat="false" ht="15" hidden="false" customHeight="false" outlineLevel="0" collapsed="false">
      <c r="C372" s="5"/>
      <c r="E372" s="5"/>
      <c r="I372" s="5"/>
    </row>
    <row r="373" customFormat="false" ht="15" hidden="false" customHeight="false" outlineLevel="0" collapsed="false">
      <c r="C373" s="5"/>
      <c r="E373" s="5"/>
      <c r="I373" s="5"/>
    </row>
    <row r="374" customFormat="false" ht="15" hidden="false" customHeight="false" outlineLevel="0" collapsed="false">
      <c r="C374" s="5"/>
      <c r="E374" s="5"/>
      <c r="I374" s="5"/>
    </row>
    <row r="375" customFormat="false" ht="15" hidden="false" customHeight="false" outlineLevel="0" collapsed="false">
      <c r="C375" s="5"/>
      <c r="E375" s="5"/>
      <c r="I375" s="5"/>
    </row>
    <row r="376" customFormat="false" ht="15" hidden="false" customHeight="false" outlineLevel="0" collapsed="false">
      <c r="C376" s="5"/>
      <c r="E376" s="5"/>
      <c r="I376" s="5"/>
    </row>
    <row r="377" customFormat="false" ht="15" hidden="false" customHeight="false" outlineLevel="0" collapsed="false">
      <c r="C377" s="5"/>
      <c r="E377" s="5"/>
      <c r="I377" s="5"/>
    </row>
    <row r="378" customFormat="false" ht="15" hidden="false" customHeight="false" outlineLevel="0" collapsed="false">
      <c r="C378" s="5"/>
      <c r="E378" s="5"/>
      <c r="I378" s="5"/>
    </row>
    <row r="379" customFormat="false" ht="15" hidden="false" customHeight="false" outlineLevel="0" collapsed="false">
      <c r="C379" s="5"/>
      <c r="E379" s="5"/>
      <c r="I379" s="5"/>
    </row>
    <row r="380" customFormat="false" ht="15" hidden="false" customHeight="false" outlineLevel="0" collapsed="false">
      <c r="C380" s="5"/>
      <c r="E380" s="5"/>
      <c r="I380" s="5"/>
    </row>
    <row r="381" customFormat="false" ht="15" hidden="false" customHeight="false" outlineLevel="0" collapsed="false">
      <c r="C381" s="5"/>
      <c r="E381" s="5"/>
      <c r="I381" s="5"/>
    </row>
    <row r="382" customFormat="false" ht="15" hidden="false" customHeight="false" outlineLevel="0" collapsed="false">
      <c r="C382" s="5"/>
      <c r="E382" s="5"/>
      <c r="I382" s="5"/>
    </row>
    <row r="383" customFormat="false" ht="15" hidden="false" customHeight="false" outlineLevel="0" collapsed="false">
      <c r="C383" s="5"/>
      <c r="E383" s="5"/>
      <c r="I383" s="5"/>
    </row>
    <row r="384" customFormat="false" ht="15" hidden="false" customHeight="false" outlineLevel="0" collapsed="false">
      <c r="C384" s="5"/>
      <c r="E384" s="5"/>
      <c r="I384" s="5"/>
    </row>
    <row r="385" customFormat="false" ht="15" hidden="false" customHeight="false" outlineLevel="0" collapsed="false">
      <c r="C385" s="5"/>
      <c r="E385" s="5"/>
      <c r="I385" s="5"/>
    </row>
    <row r="386" customFormat="false" ht="15" hidden="false" customHeight="false" outlineLevel="0" collapsed="false">
      <c r="C386" s="5"/>
      <c r="E386" s="5"/>
      <c r="I386" s="5"/>
    </row>
    <row r="387" customFormat="false" ht="15" hidden="false" customHeight="false" outlineLevel="0" collapsed="false">
      <c r="C387" s="5"/>
      <c r="E387" s="5"/>
      <c r="I387" s="5"/>
    </row>
    <row r="388" customFormat="false" ht="15" hidden="false" customHeight="false" outlineLevel="0" collapsed="false">
      <c r="C388" s="5"/>
      <c r="E388" s="5"/>
      <c r="I388" s="5"/>
    </row>
    <row r="389" customFormat="false" ht="15" hidden="false" customHeight="false" outlineLevel="0" collapsed="false">
      <c r="C389" s="5"/>
      <c r="E389" s="5"/>
      <c r="I389" s="5"/>
    </row>
    <row r="390" customFormat="false" ht="15" hidden="false" customHeight="false" outlineLevel="0" collapsed="false">
      <c r="C390" s="5"/>
      <c r="E390" s="5"/>
      <c r="I390" s="5"/>
    </row>
    <row r="391" customFormat="false" ht="15" hidden="false" customHeight="false" outlineLevel="0" collapsed="false">
      <c r="C391" s="5"/>
      <c r="E391" s="5"/>
      <c r="I391" s="5"/>
    </row>
    <row r="392" customFormat="false" ht="15" hidden="false" customHeight="false" outlineLevel="0" collapsed="false">
      <c r="C392" s="5"/>
      <c r="E392" s="5"/>
      <c r="I392" s="5"/>
    </row>
    <row r="393" customFormat="false" ht="15" hidden="false" customHeight="false" outlineLevel="0" collapsed="false">
      <c r="C393" s="5"/>
      <c r="E393" s="5"/>
      <c r="I393" s="5"/>
    </row>
    <row r="394" customFormat="false" ht="15" hidden="false" customHeight="false" outlineLevel="0" collapsed="false">
      <c r="C394" s="5"/>
      <c r="E394" s="5"/>
      <c r="I394" s="5"/>
    </row>
    <row r="395" customFormat="false" ht="15" hidden="false" customHeight="false" outlineLevel="0" collapsed="false">
      <c r="C395" s="5"/>
      <c r="E395" s="5"/>
      <c r="I395" s="5"/>
    </row>
    <row r="396" customFormat="false" ht="15" hidden="false" customHeight="false" outlineLevel="0" collapsed="false">
      <c r="C396" s="5"/>
      <c r="E396" s="5"/>
      <c r="I396" s="5"/>
    </row>
    <row r="397" customFormat="false" ht="15" hidden="false" customHeight="false" outlineLevel="0" collapsed="false">
      <c r="C397" s="5"/>
      <c r="E397" s="5"/>
      <c r="I397" s="5"/>
    </row>
    <row r="398" customFormat="false" ht="15" hidden="false" customHeight="false" outlineLevel="0" collapsed="false">
      <c r="C398" s="5"/>
      <c r="E398" s="5"/>
      <c r="I398" s="5"/>
    </row>
    <row r="399" customFormat="false" ht="15" hidden="false" customHeight="false" outlineLevel="0" collapsed="false">
      <c r="C399" s="5"/>
      <c r="E399" s="5"/>
      <c r="I399" s="5"/>
    </row>
    <row r="400" customFormat="false" ht="15" hidden="false" customHeight="false" outlineLevel="0" collapsed="false">
      <c r="C400" s="5"/>
      <c r="E400" s="5"/>
      <c r="I400" s="5"/>
    </row>
    <row r="401" customFormat="false" ht="15" hidden="false" customHeight="false" outlineLevel="0" collapsed="false">
      <c r="C401" s="5"/>
      <c r="E401" s="5"/>
      <c r="I401" s="5"/>
    </row>
    <row r="402" customFormat="false" ht="15" hidden="false" customHeight="false" outlineLevel="0" collapsed="false">
      <c r="C402" s="5"/>
      <c r="E402" s="5"/>
      <c r="I402" s="5"/>
    </row>
    <row r="403" customFormat="false" ht="15" hidden="false" customHeight="false" outlineLevel="0" collapsed="false">
      <c r="C403" s="5"/>
      <c r="E403" s="5"/>
      <c r="I403" s="5"/>
    </row>
    <row r="404" customFormat="false" ht="15" hidden="false" customHeight="false" outlineLevel="0" collapsed="false">
      <c r="C404" s="5"/>
      <c r="E404" s="5"/>
      <c r="I404" s="5"/>
    </row>
    <row r="405" customFormat="false" ht="15" hidden="false" customHeight="false" outlineLevel="0" collapsed="false">
      <c r="C405" s="5"/>
      <c r="E405" s="5"/>
      <c r="I405" s="5"/>
    </row>
    <row r="406" customFormat="false" ht="15" hidden="false" customHeight="false" outlineLevel="0" collapsed="false">
      <c r="C406" s="5"/>
      <c r="E406" s="5"/>
      <c r="I406" s="5"/>
    </row>
    <row r="407" customFormat="false" ht="15" hidden="false" customHeight="false" outlineLevel="0" collapsed="false">
      <c r="C407" s="5"/>
      <c r="E407" s="5"/>
      <c r="I407" s="5"/>
    </row>
    <row r="408" customFormat="false" ht="15" hidden="false" customHeight="false" outlineLevel="0" collapsed="false">
      <c r="C408" s="5"/>
      <c r="E408" s="5"/>
      <c r="I408" s="5"/>
    </row>
    <row r="409" customFormat="false" ht="15" hidden="false" customHeight="false" outlineLevel="0" collapsed="false">
      <c r="C409" s="5"/>
      <c r="E409" s="5"/>
      <c r="I409" s="5"/>
    </row>
    <row r="410" customFormat="false" ht="15" hidden="false" customHeight="false" outlineLevel="0" collapsed="false">
      <c r="C410" s="5"/>
      <c r="E410" s="5"/>
      <c r="I410" s="5"/>
    </row>
    <row r="411" customFormat="false" ht="15" hidden="false" customHeight="false" outlineLevel="0" collapsed="false">
      <c r="C411" s="5"/>
      <c r="E411" s="5"/>
      <c r="I411" s="5"/>
    </row>
    <row r="412" customFormat="false" ht="15" hidden="false" customHeight="false" outlineLevel="0" collapsed="false">
      <c r="C412" s="5"/>
      <c r="E412" s="5"/>
      <c r="I412" s="5"/>
    </row>
    <row r="413" customFormat="false" ht="15" hidden="false" customHeight="false" outlineLevel="0" collapsed="false">
      <c r="C413" s="5"/>
      <c r="E413" s="5"/>
      <c r="I413" s="5"/>
    </row>
    <row r="414" customFormat="false" ht="15" hidden="false" customHeight="false" outlineLevel="0" collapsed="false">
      <c r="C414" s="5"/>
      <c r="E414" s="5"/>
      <c r="I414" s="5"/>
    </row>
    <row r="415" customFormat="false" ht="15" hidden="false" customHeight="false" outlineLevel="0" collapsed="false">
      <c r="C415" s="5"/>
      <c r="E415" s="5"/>
      <c r="I415" s="5"/>
    </row>
    <row r="416" customFormat="false" ht="15" hidden="false" customHeight="false" outlineLevel="0" collapsed="false">
      <c r="C416" s="5"/>
      <c r="E416" s="5"/>
      <c r="I416" s="5"/>
    </row>
    <row r="417" customFormat="false" ht="15" hidden="false" customHeight="false" outlineLevel="0" collapsed="false">
      <c r="C417" s="5"/>
      <c r="E417" s="5"/>
      <c r="I417" s="5"/>
    </row>
    <row r="418" customFormat="false" ht="15" hidden="false" customHeight="false" outlineLevel="0" collapsed="false">
      <c r="C418" s="5"/>
      <c r="E418" s="5"/>
      <c r="I418" s="5"/>
    </row>
    <row r="419" customFormat="false" ht="15" hidden="false" customHeight="false" outlineLevel="0" collapsed="false">
      <c r="C419" s="5"/>
      <c r="E419" s="5"/>
      <c r="I419" s="5"/>
    </row>
    <row r="420" customFormat="false" ht="15" hidden="false" customHeight="false" outlineLevel="0" collapsed="false">
      <c r="C420" s="5"/>
      <c r="E420" s="5"/>
      <c r="I420" s="5"/>
    </row>
    <row r="421" customFormat="false" ht="15" hidden="false" customHeight="false" outlineLevel="0" collapsed="false">
      <c r="C421" s="5"/>
      <c r="E421" s="5"/>
      <c r="I421" s="5"/>
    </row>
    <row r="422" customFormat="false" ht="15" hidden="false" customHeight="false" outlineLevel="0" collapsed="false">
      <c r="C422" s="5"/>
      <c r="E422" s="5"/>
      <c r="I422" s="5"/>
    </row>
    <row r="423" customFormat="false" ht="15" hidden="false" customHeight="false" outlineLevel="0" collapsed="false">
      <c r="C423" s="5"/>
      <c r="E423" s="5"/>
      <c r="I423" s="5"/>
    </row>
    <row r="424" customFormat="false" ht="15" hidden="false" customHeight="false" outlineLevel="0" collapsed="false">
      <c r="C424" s="5"/>
      <c r="E424" s="5"/>
      <c r="I424" s="5"/>
    </row>
    <row r="425" customFormat="false" ht="15" hidden="false" customHeight="false" outlineLevel="0" collapsed="false">
      <c r="C425" s="5"/>
      <c r="E425" s="5"/>
      <c r="I425" s="5"/>
    </row>
    <row r="426" customFormat="false" ht="15" hidden="false" customHeight="false" outlineLevel="0" collapsed="false">
      <c r="C426" s="5"/>
      <c r="E426" s="5"/>
      <c r="I426" s="5"/>
    </row>
    <row r="427" customFormat="false" ht="15" hidden="false" customHeight="false" outlineLevel="0" collapsed="false">
      <c r="C427" s="5"/>
      <c r="E427" s="5"/>
      <c r="I427" s="5"/>
    </row>
    <row r="428" customFormat="false" ht="15" hidden="false" customHeight="false" outlineLevel="0" collapsed="false">
      <c r="C428" s="5"/>
      <c r="E428" s="5"/>
      <c r="I428" s="5"/>
    </row>
    <row r="429" customFormat="false" ht="15" hidden="false" customHeight="false" outlineLevel="0" collapsed="false">
      <c r="C429" s="5"/>
      <c r="E429" s="5"/>
      <c r="I429" s="5"/>
    </row>
    <row r="430" customFormat="false" ht="15" hidden="false" customHeight="false" outlineLevel="0" collapsed="false">
      <c r="C430" s="5"/>
      <c r="E430" s="5"/>
      <c r="I430" s="5"/>
    </row>
    <row r="431" customFormat="false" ht="15" hidden="false" customHeight="false" outlineLevel="0" collapsed="false">
      <c r="C431" s="5"/>
      <c r="E431" s="5"/>
      <c r="I431" s="5"/>
    </row>
    <row r="432" customFormat="false" ht="15" hidden="false" customHeight="false" outlineLevel="0" collapsed="false">
      <c r="C432" s="5"/>
      <c r="E432" s="5"/>
      <c r="I432" s="5"/>
    </row>
    <row r="433" customFormat="false" ht="15" hidden="false" customHeight="false" outlineLevel="0" collapsed="false">
      <c r="C433" s="5"/>
      <c r="E433" s="5"/>
      <c r="I433" s="5"/>
    </row>
    <row r="434" customFormat="false" ht="15" hidden="false" customHeight="false" outlineLevel="0" collapsed="false">
      <c r="C434" s="5"/>
      <c r="E434" s="5"/>
      <c r="I434" s="5"/>
    </row>
    <row r="435" customFormat="false" ht="15" hidden="false" customHeight="false" outlineLevel="0" collapsed="false">
      <c r="C435" s="5"/>
      <c r="E435" s="5"/>
      <c r="I435" s="5"/>
    </row>
    <row r="436" customFormat="false" ht="15" hidden="false" customHeight="false" outlineLevel="0" collapsed="false">
      <c r="C436" s="5"/>
      <c r="E436" s="5"/>
      <c r="I436" s="5"/>
    </row>
    <row r="437" customFormat="false" ht="15" hidden="false" customHeight="false" outlineLevel="0" collapsed="false">
      <c r="C437" s="5"/>
      <c r="E437" s="5"/>
      <c r="I437" s="5"/>
    </row>
    <row r="438" customFormat="false" ht="15" hidden="false" customHeight="false" outlineLevel="0" collapsed="false">
      <c r="C438" s="5"/>
      <c r="E438" s="5"/>
      <c r="I438" s="5"/>
    </row>
    <row r="439" customFormat="false" ht="15" hidden="false" customHeight="false" outlineLevel="0" collapsed="false">
      <c r="C439" s="5"/>
      <c r="E439" s="5"/>
      <c r="I439" s="5"/>
    </row>
    <row r="440" customFormat="false" ht="15" hidden="false" customHeight="false" outlineLevel="0" collapsed="false">
      <c r="C440" s="5"/>
      <c r="E440" s="5"/>
      <c r="I440" s="5"/>
    </row>
    <row r="441" customFormat="false" ht="15" hidden="false" customHeight="false" outlineLevel="0" collapsed="false">
      <c r="C441" s="5"/>
      <c r="E441" s="5"/>
      <c r="I441" s="5"/>
    </row>
    <row r="442" customFormat="false" ht="15" hidden="false" customHeight="false" outlineLevel="0" collapsed="false">
      <c r="C442" s="5"/>
      <c r="E442" s="5"/>
      <c r="I442" s="5"/>
    </row>
    <row r="443" customFormat="false" ht="15" hidden="false" customHeight="false" outlineLevel="0" collapsed="false">
      <c r="C443" s="5"/>
      <c r="E443" s="5"/>
      <c r="I443" s="5"/>
    </row>
    <row r="444" customFormat="false" ht="15" hidden="false" customHeight="false" outlineLevel="0" collapsed="false">
      <c r="C444" s="5"/>
      <c r="E444" s="5"/>
      <c r="I444" s="5"/>
    </row>
    <row r="445" customFormat="false" ht="15" hidden="false" customHeight="false" outlineLevel="0" collapsed="false">
      <c r="C445" s="5"/>
      <c r="E445" s="5"/>
      <c r="I445" s="5"/>
    </row>
    <row r="446" customFormat="false" ht="15" hidden="false" customHeight="false" outlineLevel="0" collapsed="false">
      <c r="C446" s="5"/>
      <c r="E446" s="5"/>
      <c r="I446" s="5"/>
    </row>
    <row r="447" customFormat="false" ht="15" hidden="false" customHeight="false" outlineLevel="0" collapsed="false">
      <c r="C447" s="5"/>
      <c r="E447" s="5"/>
      <c r="I447" s="5"/>
    </row>
    <row r="448" customFormat="false" ht="15" hidden="false" customHeight="false" outlineLevel="0" collapsed="false">
      <c r="C448" s="5"/>
      <c r="E448" s="5"/>
      <c r="I448" s="5"/>
    </row>
    <row r="449" customFormat="false" ht="15" hidden="false" customHeight="false" outlineLevel="0" collapsed="false">
      <c r="C449" s="5"/>
      <c r="E449" s="5"/>
      <c r="I449" s="5"/>
    </row>
    <row r="450" customFormat="false" ht="15" hidden="false" customHeight="false" outlineLevel="0" collapsed="false">
      <c r="C450" s="5"/>
      <c r="E450" s="5"/>
      <c r="I450" s="5"/>
    </row>
    <row r="451" customFormat="false" ht="15" hidden="false" customHeight="false" outlineLevel="0" collapsed="false">
      <c r="C451" s="5"/>
      <c r="E451" s="5"/>
      <c r="I451" s="5"/>
    </row>
    <row r="452" customFormat="false" ht="15" hidden="false" customHeight="false" outlineLevel="0" collapsed="false">
      <c r="C452" s="5"/>
      <c r="E452" s="5"/>
      <c r="I452" s="5"/>
    </row>
    <row r="453" customFormat="false" ht="15" hidden="false" customHeight="false" outlineLevel="0" collapsed="false">
      <c r="C453" s="5"/>
      <c r="E453" s="5"/>
      <c r="I453" s="5"/>
    </row>
    <row r="454" customFormat="false" ht="15" hidden="false" customHeight="false" outlineLevel="0" collapsed="false">
      <c r="C454" s="5"/>
      <c r="E454" s="5"/>
      <c r="I454" s="5"/>
    </row>
    <row r="455" customFormat="false" ht="15" hidden="false" customHeight="false" outlineLevel="0" collapsed="false">
      <c r="C455" s="5"/>
      <c r="E455" s="5"/>
      <c r="I455" s="5"/>
    </row>
    <row r="456" customFormat="false" ht="15" hidden="false" customHeight="false" outlineLevel="0" collapsed="false">
      <c r="C456" s="5"/>
      <c r="E456" s="5"/>
      <c r="I456" s="5"/>
    </row>
    <row r="457" customFormat="false" ht="15" hidden="false" customHeight="false" outlineLevel="0" collapsed="false">
      <c r="C457" s="5"/>
      <c r="E457" s="5"/>
      <c r="I457" s="5"/>
    </row>
    <row r="458" customFormat="false" ht="15" hidden="false" customHeight="false" outlineLevel="0" collapsed="false">
      <c r="C458" s="5"/>
      <c r="E458" s="5"/>
      <c r="I458" s="5"/>
    </row>
    <row r="459" customFormat="false" ht="15" hidden="false" customHeight="false" outlineLevel="0" collapsed="false">
      <c r="C459" s="5"/>
      <c r="E459" s="5"/>
      <c r="I459" s="5"/>
    </row>
    <row r="460" customFormat="false" ht="15" hidden="false" customHeight="false" outlineLevel="0" collapsed="false">
      <c r="C460" s="5"/>
      <c r="E460" s="5"/>
      <c r="I460" s="5"/>
    </row>
    <row r="461" customFormat="false" ht="15" hidden="false" customHeight="false" outlineLevel="0" collapsed="false">
      <c r="C461" s="5"/>
      <c r="E461" s="5"/>
      <c r="I461" s="5"/>
    </row>
    <row r="462" customFormat="false" ht="15" hidden="false" customHeight="false" outlineLevel="0" collapsed="false">
      <c r="C462" s="5"/>
      <c r="E462" s="5"/>
      <c r="I462" s="5"/>
    </row>
    <row r="463" customFormat="false" ht="15" hidden="false" customHeight="false" outlineLevel="0" collapsed="false">
      <c r="C463" s="5"/>
      <c r="E463" s="5"/>
      <c r="I463" s="5"/>
    </row>
    <row r="464" customFormat="false" ht="15" hidden="false" customHeight="false" outlineLevel="0" collapsed="false">
      <c r="C464" s="5"/>
      <c r="E464" s="5"/>
      <c r="I464" s="5"/>
    </row>
    <row r="465" customFormat="false" ht="15" hidden="false" customHeight="false" outlineLevel="0" collapsed="false">
      <c r="C465" s="5"/>
      <c r="E465" s="5"/>
      <c r="I465" s="5"/>
    </row>
    <row r="466" customFormat="false" ht="15" hidden="false" customHeight="false" outlineLevel="0" collapsed="false">
      <c r="C466" s="5"/>
      <c r="E466" s="5"/>
      <c r="I466" s="5"/>
    </row>
    <row r="467" customFormat="false" ht="15" hidden="false" customHeight="false" outlineLevel="0" collapsed="false">
      <c r="C467" s="5"/>
      <c r="E467" s="5"/>
      <c r="I467" s="5"/>
    </row>
    <row r="468" customFormat="false" ht="15" hidden="false" customHeight="false" outlineLevel="0" collapsed="false">
      <c r="C468" s="5"/>
      <c r="E468" s="5"/>
      <c r="I468" s="5"/>
    </row>
    <row r="469" customFormat="false" ht="15" hidden="false" customHeight="false" outlineLevel="0" collapsed="false">
      <c r="C469" s="5"/>
      <c r="E469" s="5"/>
      <c r="I469" s="5"/>
    </row>
    <row r="470" customFormat="false" ht="15" hidden="false" customHeight="false" outlineLevel="0" collapsed="false">
      <c r="C470" s="5"/>
      <c r="E470" s="5"/>
      <c r="I470" s="5"/>
    </row>
    <row r="471" customFormat="false" ht="15" hidden="false" customHeight="false" outlineLevel="0" collapsed="false">
      <c r="C471" s="5"/>
      <c r="E471" s="5"/>
      <c r="I471" s="5"/>
    </row>
    <row r="472" customFormat="false" ht="15" hidden="false" customHeight="false" outlineLevel="0" collapsed="false">
      <c r="C472" s="5"/>
      <c r="E472" s="5"/>
      <c r="I472" s="5"/>
    </row>
    <row r="473" customFormat="false" ht="15" hidden="false" customHeight="false" outlineLevel="0" collapsed="false">
      <c r="C473" s="5"/>
      <c r="E473" s="5"/>
      <c r="I473" s="5"/>
    </row>
    <row r="474" customFormat="false" ht="15" hidden="false" customHeight="false" outlineLevel="0" collapsed="false">
      <c r="C474" s="5"/>
      <c r="E474" s="5"/>
      <c r="I474" s="5"/>
    </row>
    <row r="475" customFormat="false" ht="15" hidden="false" customHeight="false" outlineLevel="0" collapsed="false">
      <c r="C475" s="5"/>
      <c r="E475" s="5"/>
      <c r="I475" s="5"/>
    </row>
    <row r="476" customFormat="false" ht="15" hidden="false" customHeight="false" outlineLevel="0" collapsed="false">
      <c r="C476" s="5"/>
      <c r="E476" s="5"/>
      <c r="I476" s="5"/>
    </row>
    <row r="477" customFormat="false" ht="15" hidden="false" customHeight="false" outlineLevel="0" collapsed="false">
      <c r="C477" s="5"/>
      <c r="E477" s="5"/>
      <c r="I477" s="5"/>
    </row>
    <row r="478" customFormat="false" ht="15" hidden="false" customHeight="false" outlineLevel="0" collapsed="false">
      <c r="C478" s="5"/>
      <c r="E478" s="5"/>
      <c r="I478" s="5"/>
    </row>
    <row r="479" customFormat="false" ht="15" hidden="false" customHeight="false" outlineLevel="0" collapsed="false">
      <c r="C479" s="5"/>
      <c r="E479" s="5"/>
      <c r="I479" s="5"/>
    </row>
    <row r="480" customFormat="false" ht="15" hidden="false" customHeight="false" outlineLevel="0" collapsed="false">
      <c r="C480" s="5"/>
      <c r="E480" s="5"/>
      <c r="I480" s="5"/>
    </row>
    <row r="481" customFormat="false" ht="15" hidden="false" customHeight="false" outlineLevel="0" collapsed="false">
      <c r="C481" s="5"/>
      <c r="E481" s="5"/>
      <c r="I481" s="5"/>
    </row>
    <row r="482" customFormat="false" ht="15" hidden="false" customHeight="false" outlineLevel="0" collapsed="false">
      <c r="C482" s="5"/>
      <c r="E482" s="5"/>
      <c r="I482" s="5"/>
    </row>
    <row r="483" customFormat="false" ht="15" hidden="false" customHeight="false" outlineLevel="0" collapsed="false">
      <c r="C483" s="5"/>
      <c r="E483" s="5"/>
      <c r="I483" s="5"/>
    </row>
    <row r="484" customFormat="false" ht="15" hidden="false" customHeight="false" outlineLevel="0" collapsed="false">
      <c r="C484" s="5"/>
      <c r="E484" s="5"/>
      <c r="I484" s="5"/>
    </row>
    <row r="485" customFormat="false" ht="15" hidden="false" customHeight="false" outlineLevel="0" collapsed="false">
      <c r="C485" s="5"/>
      <c r="E485" s="5"/>
      <c r="I485" s="5"/>
    </row>
    <row r="486" customFormat="false" ht="15" hidden="false" customHeight="false" outlineLevel="0" collapsed="false">
      <c r="C486" s="5"/>
      <c r="E486" s="5"/>
      <c r="I486" s="5"/>
    </row>
    <row r="487" customFormat="false" ht="15" hidden="false" customHeight="false" outlineLevel="0" collapsed="false">
      <c r="C487" s="5"/>
      <c r="E487" s="5"/>
      <c r="I487" s="5"/>
    </row>
    <row r="488" customFormat="false" ht="15" hidden="false" customHeight="false" outlineLevel="0" collapsed="false">
      <c r="C488" s="5"/>
      <c r="E488" s="5"/>
      <c r="I488" s="5"/>
    </row>
    <row r="489" customFormat="false" ht="15" hidden="false" customHeight="false" outlineLevel="0" collapsed="false">
      <c r="C489" s="5"/>
      <c r="E489" s="5"/>
      <c r="I489" s="5"/>
    </row>
    <row r="490" customFormat="false" ht="15" hidden="false" customHeight="false" outlineLevel="0" collapsed="false">
      <c r="C490" s="5"/>
      <c r="E490" s="5"/>
      <c r="I490" s="5"/>
    </row>
    <row r="491" customFormat="false" ht="15" hidden="false" customHeight="false" outlineLevel="0" collapsed="false">
      <c r="C491" s="5"/>
      <c r="E491" s="5"/>
      <c r="I491" s="5"/>
    </row>
    <row r="492" customFormat="false" ht="15" hidden="false" customHeight="false" outlineLevel="0" collapsed="false">
      <c r="C492" s="5"/>
      <c r="E492" s="5"/>
      <c r="I492" s="5"/>
    </row>
    <row r="493" customFormat="false" ht="15" hidden="false" customHeight="false" outlineLevel="0" collapsed="false">
      <c r="C493" s="5"/>
      <c r="E493" s="5"/>
      <c r="I493" s="5"/>
    </row>
    <row r="494" customFormat="false" ht="15" hidden="false" customHeight="false" outlineLevel="0" collapsed="false">
      <c r="C494" s="5"/>
      <c r="E494" s="5"/>
      <c r="I494" s="5"/>
    </row>
    <row r="495" customFormat="false" ht="15" hidden="false" customHeight="false" outlineLevel="0" collapsed="false">
      <c r="C495" s="5"/>
      <c r="E495" s="5"/>
      <c r="I495" s="5"/>
    </row>
    <row r="496" customFormat="false" ht="15" hidden="false" customHeight="false" outlineLevel="0" collapsed="false">
      <c r="C496" s="5"/>
      <c r="E496" s="5"/>
      <c r="I496" s="5"/>
    </row>
    <row r="497" customFormat="false" ht="15" hidden="false" customHeight="false" outlineLevel="0" collapsed="false">
      <c r="C497" s="5"/>
      <c r="E497" s="5"/>
      <c r="I497" s="5"/>
    </row>
    <row r="498" customFormat="false" ht="15" hidden="false" customHeight="false" outlineLevel="0" collapsed="false">
      <c r="C498" s="5"/>
      <c r="E498" s="5"/>
      <c r="I498" s="5"/>
    </row>
    <row r="499" customFormat="false" ht="15" hidden="false" customHeight="false" outlineLevel="0" collapsed="false">
      <c r="C499" s="5"/>
      <c r="E499" s="5"/>
      <c r="I499" s="5"/>
    </row>
    <row r="500" customFormat="false" ht="15" hidden="false" customHeight="false" outlineLevel="0" collapsed="false">
      <c r="C500" s="5"/>
      <c r="E500" s="5"/>
      <c r="I500" s="5"/>
    </row>
    <row r="501" customFormat="false" ht="15" hidden="false" customHeight="false" outlineLevel="0" collapsed="false">
      <c r="C501" s="5"/>
      <c r="E501" s="5"/>
      <c r="I501" s="5"/>
    </row>
    <row r="502" customFormat="false" ht="15" hidden="false" customHeight="false" outlineLevel="0" collapsed="false">
      <c r="C502" s="5"/>
      <c r="E502" s="5"/>
      <c r="I502" s="5"/>
    </row>
    <row r="503" customFormat="false" ht="15" hidden="false" customHeight="false" outlineLevel="0" collapsed="false">
      <c r="C503" s="5"/>
      <c r="E503" s="5"/>
      <c r="I503" s="5"/>
    </row>
    <row r="504" customFormat="false" ht="15" hidden="false" customHeight="false" outlineLevel="0" collapsed="false">
      <c r="C504" s="5"/>
      <c r="E504" s="5"/>
      <c r="I504" s="5"/>
    </row>
    <row r="505" customFormat="false" ht="15" hidden="false" customHeight="false" outlineLevel="0" collapsed="false">
      <c r="C505" s="5"/>
      <c r="E505" s="5"/>
      <c r="I505" s="5"/>
    </row>
    <row r="506" customFormat="false" ht="15" hidden="false" customHeight="false" outlineLevel="0" collapsed="false">
      <c r="C506" s="5"/>
      <c r="E506" s="5"/>
      <c r="I506" s="5"/>
    </row>
    <row r="507" customFormat="false" ht="15" hidden="false" customHeight="false" outlineLevel="0" collapsed="false">
      <c r="C507" s="5"/>
      <c r="E507" s="5"/>
      <c r="I507" s="5"/>
    </row>
    <row r="508" customFormat="false" ht="15" hidden="false" customHeight="false" outlineLevel="0" collapsed="false">
      <c r="C508" s="5"/>
      <c r="E508" s="5"/>
      <c r="I508" s="5"/>
    </row>
    <row r="509" customFormat="false" ht="15" hidden="false" customHeight="false" outlineLevel="0" collapsed="false">
      <c r="C509" s="5"/>
      <c r="E509" s="5"/>
      <c r="I509" s="5"/>
    </row>
    <row r="510" customFormat="false" ht="15" hidden="false" customHeight="false" outlineLevel="0" collapsed="false">
      <c r="C510" s="5"/>
      <c r="E510" s="5"/>
      <c r="I510" s="5"/>
    </row>
    <row r="511" customFormat="false" ht="15" hidden="false" customHeight="false" outlineLevel="0" collapsed="false">
      <c r="C511" s="5"/>
      <c r="E511" s="5"/>
      <c r="I511" s="5"/>
    </row>
    <row r="512" customFormat="false" ht="15" hidden="false" customHeight="false" outlineLevel="0" collapsed="false">
      <c r="C512" s="5"/>
      <c r="E512" s="5"/>
      <c r="I512" s="5"/>
    </row>
    <row r="513" customFormat="false" ht="15" hidden="false" customHeight="false" outlineLevel="0" collapsed="false">
      <c r="C513" s="5"/>
      <c r="E513" s="5"/>
      <c r="I513" s="5"/>
    </row>
    <row r="514" customFormat="false" ht="15" hidden="false" customHeight="false" outlineLevel="0" collapsed="false">
      <c r="C514" s="5"/>
      <c r="E514" s="5"/>
      <c r="I514" s="5"/>
    </row>
    <row r="515" customFormat="false" ht="15" hidden="false" customHeight="false" outlineLevel="0" collapsed="false">
      <c r="C515" s="5"/>
      <c r="E515" s="5"/>
      <c r="I515" s="5"/>
    </row>
    <row r="516" customFormat="false" ht="15" hidden="false" customHeight="false" outlineLevel="0" collapsed="false">
      <c r="C516" s="5"/>
      <c r="E516" s="5"/>
      <c r="I516" s="5"/>
    </row>
    <row r="517" customFormat="false" ht="15" hidden="false" customHeight="false" outlineLevel="0" collapsed="false">
      <c r="C517" s="5"/>
      <c r="E517" s="5"/>
      <c r="I517" s="5"/>
    </row>
    <row r="518" customFormat="false" ht="15" hidden="false" customHeight="false" outlineLevel="0" collapsed="false">
      <c r="C518" s="5"/>
      <c r="E518" s="5"/>
      <c r="I518" s="5"/>
    </row>
    <row r="519" customFormat="false" ht="15" hidden="false" customHeight="false" outlineLevel="0" collapsed="false">
      <c r="C519" s="5"/>
      <c r="E519" s="5"/>
      <c r="I519" s="5"/>
    </row>
    <row r="520" customFormat="false" ht="15" hidden="false" customHeight="false" outlineLevel="0" collapsed="false">
      <c r="C520" s="5"/>
      <c r="E520" s="5"/>
      <c r="I520" s="5"/>
    </row>
    <row r="521" customFormat="false" ht="15" hidden="false" customHeight="false" outlineLevel="0" collapsed="false">
      <c r="C521" s="5"/>
      <c r="E521" s="5"/>
      <c r="I521" s="5"/>
    </row>
    <row r="522" customFormat="false" ht="15" hidden="false" customHeight="false" outlineLevel="0" collapsed="false">
      <c r="C522" s="5"/>
      <c r="E522" s="5"/>
      <c r="I522" s="5"/>
    </row>
    <row r="523" customFormat="false" ht="15" hidden="false" customHeight="false" outlineLevel="0" collapsed="false">
      <c r="C523" s="5"/>
      <c r="E523" s="5"/>
      <c r="I523" s="5"/>
    </row>
    <row r="524" customFormat="false" ht="15" hidden="false" customHeight="false" outlineLevel="0" collapsed="false">
      <c r="C524" s="5"/>
      <c r="E524" s="5"/>
      <c r="I524" s="5"/>
    </row>
    <row r="525" customFormat="false" ht="15" hidden="false" customHeight="false" outlineLevel="0" collapsed="false">
      <c r="C525" s="5"/>
      <c r="E525" s="5"/>
      <c r="I525" s="5"/>
    </row>
    <row r="526" customFormat="false" ht="15" hidden="false" customHeight="false" outlineLevel="0" collapsed="false">
      <c r="C526" s="5"/>
      <c r="E526" s="5"/>
      <c r="I526" s="5"/>
    </row>
    <row r="527" customFormat="false" ht="15" hidden="false" customHeight="false" outlineLevel="0" collapsed="false">
      <c r="C527" s="5"/>
      <c r="E527" s="5"/>
      <c r="I527" s="5"/>
    </row>
    <row r="528" customFormat="false" ht="15" hidden="false" customHeight="false" outlineLevel="0" collapsed="false">
      <c r="C528" s="5"/>
      <c r="E528" s="5"/>
      <c r="I528" s="5"/>
    </row>
    <row r="529" customFormat="false" ht="15" hidden="false" customHeight="false" outlineLevel="0" collapsed="false">
      <c r="C529" s="5"/>
      <c r="E529" s="5"/>
      <c r="I529" s="5"/>
    </row>
    <row r="530" customFormat="false" ht="15" hidden="false" customHeight="false" outlineLevel="0" collapsed="false">
      <c r="C530" s="5"/>
      <c r="E530" s="5"/>
      <c r="I530" s="5"/>
    </row>
    <row r="531" customFormat="false" ht="15" hidden="false" customHeight="false" outlineLevel="0" collapsed="false">
      <c r="C531" s="5"/>
      <c r="E531" s="5"/>
      <c r="I531" s="5"/>
    </row>
    <row r="532" customFormat="false" ht="15" hidden="false" customHeight="false" outlineLevel="0" collapsed="false">
      <c r="C532" s="5"/>
      <c r="E532" s="5"/>
      <c r="I532" s="5"/>
    </row>
    <row r="533" customFormat="false" ht="15" hidden="false" customHeight="false" outlineLevel="0" collapsed="false">
      <c r="C533" s="5"/>
      <c r="E533" s="5"/>
      <c r="I533" s="5"/>
    </row>
    <row r="534" customFormat="false" ht="15" hidden="false" customHeight="false" outlineLevel="0" collapsed="false">
      <c r="C534" s="5"/>
      <c r="E534" s="5"/>
      <c r="I534" s="5"/>
    </row>
    <row r="535" customFormat="false" ht="15" hidden="false" customHeight="false" outlineLevel="0" collapsed="false">
      <c r="C535" s="5"/>
      <c r="E535" s="5"/>
      <c r="I535" s="5"/>
    </row>
    <row r="536" customFormat="false" ht="15" hidden="false" customHeight="false" outlineLevel="0" collapsed="false">
      <c r="C536" s="5"/>
      <c r="E536" s="5"/>
      <c r="I536" s="5"/>
    </row>
    <row r="537" customFormat="false" ht="15" hidden="false" customHeight="false" outlineLevel="0" collapsed="false">
      <c r="C537" s="5"/>
      <c r="E537" s="5"/>
      <c r="I537" s="5"/>
    </row>
    <row r="538" customFormat="false" ht="15" hidden="false" customHeight="false" outlineLevel="0" collapsed="false">
      <c r="C538" s="5"/>
      <c r="E538" s="5"/>
      <c r="I538" s="5"/>
    </row>
    <row r="539" customFormat="false" ht="15" hidden="false" customHeight="false" outlineLevel="0" collapsed="false">
      <c r="C539" s="5"/>
      <c r="E539" s="5"/>
      <c r="I539" s="5"/>
    </row>
    <row r="540" customFormat="false" ht="15" hidden="false" customHeight="false" outlineLevel="0" collapsed="false">
      <c r="C540" s="5"/>
      <c r="E540" s="5"/>
      <c r="I540" s="5"/>
    </row>
    <row r="541" customFormat="false" ht="15" hidden="false" customHeight="false" outlineLevel="0" collapsed="false">
      <c r="C541" s="5"/>
      <c r="E541" s="5"/>
      <c r="I541" s="5"/>
    </row>
    <row r="542" customFormat="false" ht="15" hidden="false" customHeight="false" outlineLevel="0" collapsed="false">
      <c r="C542" s="5"/>
      <c r="E542" s="5"/>
      <c r="I542" s="5"/>
    </row>
    <row r="543" customFormat="false" ht="15" hidden="false" customHeight="false" outlineLevel="0" collapsed="false">
      <c r="C543" s="5"/>
      <c r="E543" s="5"/>
      <c r="I543" s="5"/>
    </row>
    <row r="544" customFormat="false" ht="15" hidden="false" customHeight="false" outlineLevel="0" collapsed="false">
      <c r="C544" s="5"/>
      <c r="E544" s="5"/>
      <c r="I544" s="5"/>
    </row>
    <row r="545" customFormat="false" ht="15" hidden="false" customHeight="false" outlineLevel="0" collapsed="false">
      <c r="C545" s="5"/>
      <c r="E545" s="5"/>
      <c r="I545" s="5"/>
    </row>
    <row r="546" customFormat="false" ht="15" hidden="false" customHeight="false" outlineLevel="0" collapsed="false">
      <c r="C546" s="5"/>
      <c r="E546" s="5"/>
      <c r="I546" s="5"/>
    </row>
    <row r="547" customFormat="false" ht="15" hidden="false" customHeight="false" outlineLevel="0" collapsed="false">
      <c r="C547" s="5"/>
      <c r="E547" s="5"/>
      <c r="I547" s="5"/>
    </row>
    <row r="548" customFormat="false" ht="15" hidden="false" customHeight="false" outlineLevel="0" collapsed="false">
      <c r="C548" s="5"/>
      <c r="E548" s="5"/>
      <c r="I548" s="5"/>
    </row>
    <row r="549" customFormat="false" ht="15" hidden="false" customHeight="false" outlineLevel="0" collapsed="false">
      <c r="C549" s="5"/>
      <c r="E549" s="5"/>
      <c r="I549" s="5"/>
    </row>
    <row r="550" customFormat="false" ht="15" hidden="false" customHeight="false" outlineLevel="0" collapsed="false">
      <c r="C550" s="5"/>
      <c r="E550" s="5"/>
      <c r="I550" s="5"/>
    </row>
    <row r="551" customFormat="false" ht="15" hidden="false" customHeight="false" outlineLevel="0" collapsed="false">
      <c r="C551" s="5"/>
      <c r="E551" s="5"/>
      <c r="I551" s="5"/>
    </row>
    <row r="552" customFormat="false" ht="15" hidden="false" customHeight="false" outlineLevel="0" collapsed="false">
      <c r="C552" s="5"/>
      <c r="E552" s="5"/>
      <c r="I552" s="5"/>
    </row>
    <row r="553" customFormat="false" ht="15" hidden="false" customHeight="false" outlineLevel="0" collapsed="false">
      <c r="C553" s="5"/>
      <c r="E553" s="5"/>
      <c r="I553" s="5"/>
    </row>
    <row r="554" customFormat="false" ht="15" hidden="false" customHeight="false" outlineLevel="0" collapsed="false">
      <c r="C554" s="5"/>
      <c r="E554" s="5"/>
      <c r="I554" s="5"/>
    </row>
    <row r="555" customFormat="false" ht="15" hidden="false" customHeight="false" outlineLevel="0" collapsed="false">
      <c r="C555" s="5"/>
      <c r="E555" s="5"/>
      <c r="I555" s="5"/>
    </row>
    <row r="556" customFormat="false" ht="15" hidden="false" customHeight="false" outlineLevel="0" collapsed="false">
      <c r="C556" s="5"/>
      <c r="E556" s="5"/>
      <c r="I556" s="5"/>
    </row>
    <row r="557" customFormat="false" ht="15" hidden="false" customHeight="false" outlineLevel="0" collapsed="false">
      <c r="C557" s="5"/>
      <c r="E557" s="5"/>
      <c r="I557" s="5"/>
    </row>
    <row r="558" customFormat="false" ht="15" hidden="false" customHeight="false" outlineLevel="0" collapsed="false">
      <c r="C558" s="5"/>
      <c r="E558" s="5"/>
      <c r="I558" s="5"/>
    </row>
    <row r="559" customFormat="false" ht="15" hidden="false" customHeight="false" outlineLevel="0" collapsed="false">
      <c r="C559" s="5"/>
      <c r="E559" s="5"/>
      <c r="I559" s="5"/>
    </row>
    <row r="560" customFormat="false" ht="15" hidden="false" customHeight="false" outlineLevel="0" collapsed="false">
      <c r="C560" s="5"/>
      <c r="E560" s="5"/>
      <c r="I560" s="5"/>
    </row>
    <row r="561" customFormat="false" ht="15" hidden="false" customHeight="false" outlineLevel="0" collapsed="false">
      <c r="C561" s="5"/>
      <c r="E561" s="5"/>
      <c r="I561" s="5"/>
    </row>
    <row r="562" customFormat="false" ht="15" hidden="false" customHeight="false" outlineLevel="0" collapsed="false">
      <c r="C562" s="5"/>
      <c r="E562" s="5"/>
      <c r="I562" s="5"/>
    </row>
    <row r="563" customFormat="false" ht="15" hidden="false" customHeight="false" outlineLevel="0" collapsed="false">
      <c r="C563" s="5"/>
      <c r="E563" s="5"/>
      <c r="I563" s="5"/>
    </row>
    <row r="564" customFormat="false" ht="15" hidden="false" customHeight="false" outlineLevel="0" collapsed="false">
      <c r="C564" s="5"/>
      <c r="E564" s="5"/>
      <c r="I564" s="5"/>
    </row>
    <row r="565" customFormat="false" ht="15" hidden="false" customHeight="false" outlineLevel="0" collapsed="false">
      <c r="C565" s="5"/>
      <c r="E565" s="5"/>
      <c r="I565" s="5"/>
    </row>
    <row r="566" customFormat="false" ht="15" hidden="false" customHeight="false" outlineLevel="0" collapsed="false">
      <c r="C566" s="5"/>
      <c r="E566" s="5"/>
      <c r="I566" s="5"/>
    </row>
    <row r="567" customFormat="false" ht="15" hidden="false" customHeight="false" outlineLevel="0" collapsed="false">
      <c r="C567" s="5"/>
      <c r="E567" s="5"/>
      <c r="I567" s="5"/>
    </row>
    <row r="568" customFormat="false" ht="15" hidden="false" customHeight="false" outlineLevel="0" collapsed="false">
      <c r="C568" s="5"/>
      <c r="E568" s="5"/>
      <c r="I568" s="5"/>
    </row>
    <row r="569" customFormat="false" ht="15" hidden="false" customHeight="false" outlineLevel="0" collapsed="false">
      <c r="C569" s="5"/>
      <c r="E569" s="5"/>
      <c r="I569" s="5"/>
    </row>
    <row r="570" customFormat="false" ht="15" hidden="false" customHeight="false" outlineLevel="0" collapsed="false">
      <c r="C570" s="5"/>
      <c r="E570" s="5"/>
      <c r="I570" s="5"/>
    </row>
    <row r="571" customFormat="false" ht="15" hidden="false" customHeight="false" outlineLevel="0" collapsed="false">
      <c r="C571" s="5"/>
      <c r="E571" s="5"/>
      <c r="I571" s="5"/>
    </row>
    <row r="572" customFormat="false" ht="15" hidden="false" customHeight="false" outlineLevel="0" collapsed="false">
      <c r="C572" s="5"/>
      <c r="E572" s="5"/>
      <c r="I572" s="5"/>
    </row>
    <row r="573" customFormat="false" ht="15" hidden="false" customHeight="false" outlineLevel="0" collapsed="false">
      <c r="C573" s="5"/>
      <c r="E573" s="5"/>
      <c r="I573" s="5"/>
    </row>
    <row r="574" customFormat="false" ht="15" hidden="false" customHeight="false" outlineLevel="0" collapsed="false">
      <c r="C574" s="5"/>
      <c r="E574" s="5"/>
      <c r="I574" s="5"/>
    </row>
    <row r="575" customFormat="false" ht="15" hidden="false" customHeight="false" outlineLevel="0" collapsed="false">
      <c r="C575" s="5"/>
      <c r="E575" s="5"/>
      <c r="I575" s="5"/>
    </row>
    <row r="576" customFormat="false" ht="15" hidden="false" customHeight="false" outlineLevel="0" collapsed="false">
      <c r="C576" s="5"/>
      <c r="E576" s="5"/>
      <c r="I576" s="5"/>
    </row>
    <row r="577" customFormat="false" ht="15" hidden="false" customHeight="false" outlineLevel="0" collapsed="false">
      <c r="C577" s="5"/>
      <c r="E577" s="5"/>
      <c r="I577" s="5"/>
    </row>
    <row r="578" customFormat="false" ht="15" hidden="false" customHeight="false" outlineLevel="0" collapsed="false">
      <c r="C578" s="5"/>
      <c r="E578" s="5"/>
      <c r="I578" s="5"/>
    </row>
    <row r="579" customFormat="false" ht="15" hidden="false" customHeight="false" outlineLevel="0" collapsed="false">
      <c r="C579" s="5"/>
      <c r="E579" s="5"/>
      <c r="I579" s="5"/>
    </row>
    <row r="580" customFormat="false" ht="15" hidden="false" customHeight="false" outlineLevel="0" collapsed="false">
      <c r="C580" s="5"/>
      <c r="E580" s="5"/>
      <c r="I580" s="5"/>
    </row>
    <row r="581" customFormat="false" ht="15" hidden="false" customHeight="false" outlineLevel="0" collapsed="false">
      <c r="C581" s="5"/>
      <c r="E581" s="5"/>
      <c r="I581" s="5"/>
    </row>
    <row r="582" customFormat="false" ht="15" hidden="false" customHeight="false" outlineLevel="0" collapsed="false">
      <c r="C582" s="5"/>
      <c r="E582" s="5"/>
      <c r="I582" s="5"/>
    </row>
    <row r="583" customFormat="false" ht="15" hidden="false" customHeight="false" outlineLevel="0" collapsed="false">
      <c r="C583" s="5"/>
      <c r="E583" s="5"/>
      <c r="I583" s="5"/>
    </row>
    <row r="584" customFormat="false" ht="15" hidden="false" customHeight="false" outlineLevel="0" collapsed="false">
      <c r="C584" s="5"/>
      <c r="E584" s="5"/>
      <c r="I584" s="5"/>
    </row>
    <row r="585" customFormat="false" ht="15" hidden="false" customHeight="false" outlineLevel="0" collapsed="false">
      <c r="C585" s="5"/>
      <c r="E585" s="5"/>
      <c r="I585" s="5"/>
    </row>
    <row r="586" customFormat="false" ht="15" hidden="false" customHeight="false" outlineLevel="0" collapsed="false">
      <c r="C586" s="5"/>
      <c r="E586" s="5"/>
      <c r="I586" s="5"/>
    </row>
    <row r="587" customFormat="false" ht="15" hidden="false" customHeight="false" outlineLevel="0" collapsed="false">
      <c r="C587" s="5"/>
      <c r="E587" s="5"/>
      <c r="I587" s="5"/>
    </row>
    <row r="588" customFormat="false" ht="15" hidden="false" customHeight="false" outlineLevel="0" collapsed="false">
      <c r="C588" s="5"/>
      <c r="E588" s="5"/>
      <c r="I588" s="5"/>
    </row>
    <row r="589" customFormat="false" ht="15" hidden="false" customHeight="false" outlineLevel="0" collapsed="false">
      <c r="C589" s="5"/>
      <c r="E589" s="5"/>
      <c r="I589" s="5"/>
    </row>
    <row r="590" customFormat="false" ht="15" hidden="false" customHeight="false" outlineLevel="0" collapsed="false">
      <c r="C590" s="5"/>
      <c r="E590" s="5"/>
      <c r="I590" s="5"/>
    </row>
    <row r="591" customFormat="false" ht="15" hidden="false" customHeight="false" outlineLevel="0" collapsed="false">
      <c r="C591" s="5"/>
      <c r="E591" s="5"/>
      <c r="I591" s="5"/>
    </row>
    <row r="592" customFormat="false" ht="15" hidden="false" customHeight="false" outlineLevel="0" collapsed="false">
      <c r="C592" s="5"/>
      <c r="E592" s="5"/>
      <c r="I592" s="5"/>
    </row>
    <row r="593" customFormat="false" ht="15" hidden="false" customHeight="false" outlineLevel="0" collapsed="false">
      <c r="C593" s="5"/>
      <c r="E593" s="5"/>
      <c r="I593" s="5"/>
    </row>
    <row r="594" customFormat="false" ht="15" hidden="false" customHeight="false" outlineLevel="0" collapsed="false">
      <c r="C594" s="5"/>
      <c r="E594" s="5"/>
      <c r="I594" s="5"/>
    </row>
    <row r="595" customFormat="false" ht="15" hidden="false" customHeight="false" outlineLevel="0" collapsed="false">
      <c r="C595" s="5"/>
      <c r="E595" s="5"/>
      <c r="I595" s="5"/>
    </row>
    <row r="596" customFormat="false" ht="15" hidden="false" customHeight="false" outlineLevel="0" collapsed="false">
      <c r="C596" s="5"/>
      <c r="E596" s="5"/>
      <c r="I596" s="5"/>
    </row>
    <row r="597" customFormat="false" ht="15" hidden="false" customHeight="false" outlineLevel="0" collapsed="false">
      <c r="C597" s="5"/>
      <c r="E597" s="5"/>
      <c r="I597" s="5"/>
    </row>
    <row r="598" customFormat="false" ht="15" hidden="false" customHeight="false" outlineLevel="0" collapsed="false">
      <c r="C598" s="5"/>
      <c r="E598" s="5"/>
      <c r="I598" s="5"/>
    </row>
    <row r="599" customFormat="false" ht="15" hidden="false" customHeight="false" outlineLevel="0" collapsed="false">
      <c r="C599" s="5"/>
      <c r="E599" s="5"/>
      <c r="I599" s="5"/>
    </row>
    <row r="600" customFormat="false" ht="15" hidden="false" customHeight="false" outlineLevel="0" collapsed="false">
      <c r="C600" s="5"/>
      <c r="E600" s="5"/>
      <c r="I600" s="5"/>
    </row>
    <row r="601" customFormat="false" ht="15" hidden="false" customHeight="false" outlineLevel="0" collapsed="false">
      <c r="C601" s="5"/>
      <c r="E601" s="5"/>
      <c r="I601" s="5"/>
    </row>
    <row r="602" customFormat="false" ht="15" hidden="false" customHeight="false" outlineLevel="0" collapsed="false">
      <c r="C602" s="5"/>
      <c r="E602" s="5"/>
      <c r="I602" s="5"/>
    </row>
    <row r="603" customFormat="false" ht="15" hidden="false" customHeight="false" outlineLevel="0" collapsed="false">
      <c r="C603" s="5"/>
      <c r="E603" s="5"/>
      <c r="I603" s="5"/>
    </row>
    <row r="604" customFormat="false" ht="15" hidden="false" customHeight="false" outlineLevel="0" collapsed="false">
      <c r="C604" s="5"/>
      <c r="E604" s="5"/>
      <c r="I604" s="5"/>
    </row>
    <row r="605" customFormat="false" ht="15" hidden="false" customHeight="false" outlineLevel="0" collapsed="false">
      <c r="C605" s="5"/>
      <c r="E605" s="5"/>
      <c r="I605" s="5"/>
    </row>
    <row r="606" customFormat="false" ht="15" hidden="false" customHeight="false" outlineLevel="0" collapsed="false">
      <c r="C606" s="5"/>
      <c r="E606" s="5"/>
      <c r="I606" s="5"/>
    </row>
    <row r="607" customFormat="false" ht="15" hidden="false" customHeight="false" outlineLevel="0" collapsed="false">
      <c r="C607" s="5"/>
      <c r="E607" s="5"/>
      <c r="I607" s="5"/>
    </row>
    <row r="608" customFormat="false" ht="15" hidden="false" customHeight="false" outlineLevel="0" collapsed="false">
      <c r="C608" s="5"/>
      <c r="E608" s="5"/>
      <c r="I608" s="5"/>
    </row>
    <row r="609" customFormat="false" ht="15" hidden="false" customHeight="false" outlineLevel="0" collapsed="false">
      <c r="C609" s="5"/>
      <c r="E609" s="5"/>
      <c r="I609" s="5"/>
    </row>
    <row r="610" customFormat="false" ht="15" hidden="false" customHeight="false" outlineLevel="0" collapsed="false">
      <c r="C610" s="5"/>
      <c r="E610" s="5"/>
      <c r="I610" s="5"/>
    </row>
    <row r="611" customFormat="false" ht="15" hidden="false" customHeight="false" outlineLevel="0" collapsed="false">
      <c r="C611" s="5"/>
      <c r="E611" s="5"/>
      <c r="I611" s="5"/>
    </row>
    <row r="612" customFormat="false" ht="15" hidden="false" customHeight="false" outlineLevel="0" collapsed="false">
      <c r="C612" s="5"/>
      <c r="E612" s="5"/>
      <c r="I612" s="5"/>
    </row>
    <row r="613" customFormat="false" ht="15" hidden="false" customHeight="false" outlineLevel="0" collapsed="false">
      <c r="C613" s="5"/>
      <c r="E613" s="5"/>
      <c r="I613" s="5"/>
    </row>
    <row r="614" customFormat="false" ht="15" hidden="false" customHeight="false" outlineLevel="0" collapsed="false">
      <c r="C614" s="5"/>
      <c r="E614" s="5"/>
      <c r="I614" s="5"/>
    </row>
    <row r="615" customFormat="false" ht="15" hidden="false" customHeight="false" outlineLevel="0" collapsed="false">
      <c r="C615" s="5"/>
      <c r="E615" s="5"/>
      <c r="I615" s="5"/>
    </row>
    <row r="616" customFormat="false" ht="15" hidden="false" customHeight="false" outlineLevel="0" collapsed="false">
      <c r="C616" s="5"/>
      <c r="E616" s="5"/>
      <c r="I616" s="5"/>
    </row>
    <row r="617" customFormat="false" ht="15" hidden="false" customHeight="false" outlineLevel="0" collapsed="false">
      <c r="C617" s="5"/>
      <c r="E617" s="5"/>
      <c r="I617" s="5"/>
    </row>
    <row r="618" customFormat="false" ht="15" hidden="false" customHeight="false" outlineLevel="0" collapsed="false">
      <c r="C618" s="5"/>
      <c r="E618" s="5"/>
      <c r="I618" s="5"/>
    </row>
    <row r="619" customFormat="false" ht="15" hidden="false" customHeight="false" outlineLevel="0" collapsed="false">
      <c r="C619" s="5"/>
      <c r="E619" s="5"/>
      <c r="I619" s="5"/>
    </row>
    <row r="620" customFormat="false" ht="15" hidden="false" customHeight="false" outlineLevel="0" collapsed="false">
      <c r="C620" s="5"/>
      <c r="E620" s="5"/>
      <c r="I620" s="5"/>
    </row>
    <row r="621" customFormat="false" ht="15" hidden="false" customHeight="false" outlineLevel="0" collapsed="false">
      <c r="C621" s="5"/>
      <c r="E621" s="5"/>
      <c r="I621" s="5"/>
    </row>
    <row r="622" customFormat="false" ht="15" hidden="false" customHeight="false" outlineLevel="0" collapsed="false">
      <c r="C622" s="5"/>
      <c r="E622" s="5"/>
      <c r="I622" s="5"/>
    </row>
    <row r="623" customFormat="false" ht="15" hidden="false" customHeight="false" outlineLevel="0" collapsed="false">
      <c r="C623" s="5"/>
      <c r="E623" s="5"/>
      <c r="I623" s="5"/>
    </row>
    <row r="624" customFormat="false" ht="15" hidden="false" customHeight="false" outlineLevel="0" collapsed="false">
      <c r="C624" s="5"/>
      <c r="E624" s="5"/>
      <c r="I624" s="5"/>
    </row>
    <row r="625" customFormat="false" ht="15" hidden="false" customHeight="false" outlineLevel="0" collapsed="false">
      <c r="C625" s="5"/>
      <c r="E625" s="5"/>
      <c r="I625" s="5"/>
    </row>
    <row r="626" customFormat="false" ht="15" hidden="false" customHeight="false" outlineLevel="0" collapsed="false">
      <c r="C626" s="5"/>
      <c r="E626" s="5"/>
      <c r="I626" s="5"/>
    </row>
    <row r="627" customFormat="false" ht="15" hidden="false" customHeight="false" outlineLevel="0" collapsed="false">
      <c r="C627" s="5"/>
      <c r="E627" s="5"/>
      <c r="I627" s="5"/>
    </row>
    <row r="628" customFormat="false" ht="15" hidden="false" customHeight="false" outlineLevel="0" collapsed="false">
      <c r="C628" s="5"/>
      <c r="E628" s="5"/>
      <c r="I628" s="5"/>
    </row>
    <row r="629" customFormat="false" ht="15" hidden="false" customHeight="false" outlineLevel="0" collapsed="false">
      <c r="C629" s="5"/>
      <c r="E629" s="5"/>
      <c r="I629" s="5"/>
    </row>
    <row r="630" customFormat="false" ht="15" hidden="false" customHeight="false" outlineLevel="0" collapsed="false">
      <c r="C630" s="5"/>
      <c r="E630" s="5"/>
      <c r="I630" s="5"/>
    </row>
    <row r="631" customFormat="false" ht="15" hidden="false" customHeight="false" outlineLevel="0" collapsed="false">
      <c r="C631" s="5"/>
      <c r="E631" s="5"/>
      <c r="I631" s="5"/>
    </row>
    <row r="632" customFormat="false" ht="15" hidden="false" customHeight="false" outlineLevel="0" collapsed="false">
      <c r="C632" s="5"/>
      <c r="E632" s="5"/>
      <c r="I632" s="5"/>
    </row>
    <row r="633" customFormat="false" ht="15" hidden="false" customHeight="false" outlineLevel="0" collapsed="false">
      <c r="C633" s="5"/>
      <c r="E633" s="5"/>
      <c r="I633" s="5"/>
    </row>
    <row r="634" customFormat="false" ht="15" hidden="false" customHeight="false" outlineLevel="0" collapsed="false">
      <c r="C634" s="5"/>
      <c r="E634" s="5"/>
      <c r="I634" s="5"/>
    </row>
    <row r="635" customFormat="false" ht="15" hidden="false" customHeight="false" outlineLevel="0" collapsed="false">
      <c r="C635" s="5"/>
      <c r="E635" s="5"/>
      <c r="I635" s="5"/>
    </row>
    <row r="636" customFormat="false" ht="15" hidden="false" customHeight="false" outlineLevel="0" collapsed="false">
      <c r="C636" s="5"/>
      <c r="E636" s="5"/>
      <c r="I636" s="5"/>
    </row>
    <row r="637" customFormat="false" ht="15" hidden="false" customHeight="false" outlineLevel="0" collapsed="false">
      <c r="C637" s="5"/>
      <c r="E637" s="5"/>
      <c r="I637" s="5"/>
    </row>
    <row r="638" customFormat="false" ht="15" hidden="false" customHeight="false" outlineLevel="0" collapsed="false">
      <c r="C638" s="5"/>
      <c r="E638" s="5"/>
      <c r="I638" s="5"/>
    </row>
    <row r="639" customFormat="false" ht="15" hidden="false" customHeight="false" outlineLevel="0" collapsed="false">
      <c r="C639" s="5"/>
      <c r="E639" s="5"/>
      <c r="I639" s="5"/>
    </row>
    <row r="640" customFormat="false" ht="15" hidden="false" customHeight="false" outlineLevel="0" collapsed="false">
      <c r="C640" s="5"/>
      <c r="E640" s="5"/>
      <c r="I640" s="5"/>
    </row>
    <row r="641" customFormat="false" ht="15" hidden="false" customHeight="false" outlineLevel="0" collapsed="false">
      <c r="C641" s="5"/>
      <c r="E641" s="5"/>
      <c r="I641" s="5"/>
    </row>
    <row r="642" customFormat="false" ht="15" hidden="false" customHeight="false" outlineLevel="0" collapsed="false">
      <c r="C642" s="5"/>
      <c r="E642" s="5"/>
      <c r="I642" s="5"/>
    </row>
    <row r="643" customFormat="false" ht="15" hidden="false" customHeight="false" outlineLevel="0" collapsed="false">
      <c r="C643" s="5"/>
      <c r="E643" s="5"/>
      <c r="I643" s="5"/>
    </row>
    <row r="644" customFormat="false" ht="15" hidden="false" customHeight="false" outlineLevel="0" collapsed="false">
      <c r="C644" s="5"/>
      <c r="E644" s="5"/>
      <c r="I644" s="5"/>
    </row>
    <row r="645" customFormat="false" ht="15" hidden="false" customHeight="false" outlineLevel="0" collapsed="false">
      <c r="C645" s="5"/>
      <c r="E645" s="5"/>
      <c r="I645" s="5"/>
    </row>
    <row r="646" customFormat="false" ht="15" hidden="false" customHeight="false" outlineLevel="0" collapsed="false">
      <c r="C646" s="5"/>
      <c r="E646" s="5"/>
      <c r="I646" s="5"/>
    </row>
    <row r="647" customFormat="false" ht="15" hidden="false" customHeight="false" outlineLevel="0" collapsed="false">
      <c r="C647" s="5"/>
      <c r="E647" s="5"/>
      <c r="I647" s="5"/>
    </row>
    <row r="648" customFormat="false" ht="15" hidden="false" customHeight="false" outlineLevel="0" collapsed="false">
      <c r="C648" s="5"/>
      <c r="E648" s="5"/>
      <c r="I648" s="5"/>
    </row>
    <row r="649" customFormat="false" ht="15" hidden="false" customHeight="false" outlineLevel="0" collapsed="false">
      <c r="C649" s="5"/>
      <c r="E649" s="5"/>
      <c r="I649" s="5"/>
    </row>
    <row r="650" customFormat="false" ht="15" hidden="false" customHeight="false" outlineLevel="0" collapsed="false">
      <c r="C650" s="5"/>
      <c r="E650" s="5"/>
      <c r="I650" s="5"/>
    </row>
    <row r="651" customFormat="false" ht="15" hidden="false" customHeight="false" outlineLevel="0" collapsed="false">
      <c r="C651" s="5"/>
      <c r="E651" s="5"/>
      <c r="I651" s="5"/>
    </row>
    <row r="652" customFormat="false" ht="15" hidden="false" customHeight="false" outlineLevel="0" collapsed="false">
      <c r="C652" s="5"/>
      <c r="E652" s="5"/>
      <c r="I652" s="5"/>
    </row>
    <row r="653" customFormat="false" ht="15" hidden="false" customHeight="false" outlineLevel="0" collapsed="false">
      <c r="C653" s="5"/>
      <c r="E653" s="5"/>
      <c r="I653" s="5"/>
    </row>
    <row r="654" customFormat="false" ht="15" hidden="false" customHeight="false" outlineLevel="0" collapsed="false">
      <c r="C654" s="5"/>
      <c r="E654" s="5"/>
      <c r="I654" s="5"/>
    </row>
    <row r="655" customFormat="false" ht="15" hidden="false" customHeight="false" outlineLevel="0" collapsed="false">
      <c r="C655" s="5"/>
      <c r="E655" s="5"/>
      <c r="I655" s="5"/>
    </row>
    <row r="656" customFormat="false" ht="15" hidden="false" customHeight="false" outlineLevel="0" collapsed="false">
      <c r="C656" s="5"/>
      <c r="E656" s="5"/>
      <c r="I656" s="5"/>
    </row>
    <row r="657" customFormat="false" ht="15" hidden="false" customHeight="false" outlineLevel="0" collapsed="false">
      <c r="C657" s="5"/>
      <c r="E657" s="5"/>
      <c r="I657" s="5"/>
    </row>
    <row r="658" customFormat="false" ht="15" hidden="false" customHeight="false" outlineLevel="0" collapsed="false">
      <c r="C658" s="5"/>
      <c r="E658" s="5"/>
      <c r="I658" s="5"/>
    </row>
    <row r="659" customFormat="false" ht="15" hidden="false" customHeight="false" outlineLevel="0" collapsed="false">
      <c r="C659" s="5"/>
      <c r="E659" s="5"/>
      <c r="I659" s="5"/>
    </row>
    <row r="660" customFormat="false" ht="15" hidden="false" customHeight="false" outlineLevel="0" collapsed="false">
      <c r="C660" s="5"/>
      <c r="E660" s="5"/>
      <c r="I660" s="5"/>
    </row>
    <row r="661" customFormat="false" ht="15" hidden="false" customHeight="false" outlineLevel="0" collapsed="false">
      <c r="C661" s="5"/>
      <c r="E661" s="5"/>
      <c r="I661" s="5"/>
    </row>
    <row r="662" customFormat="false" ht="15" hidden="false" customHeight="false" outlineLevel="0" collapsed="false">
      <c r="C662" s="5"/>
      <c r="E662" s="5"/>
      <c r="I662" s="5"/>
    </row>
    <row r="663" customFormat="false" ht="15" hidden="false" customHeight="false" outlineLevel="0" collapsed="false">
      <c r="C663" s="5"/>
      <c r="E663" s="5"/>
      <c r="I663" s="5"/>
    </row>
    <row r="664" customFormat="false" ht="15" hidden="false" customHeight="false" outlineLevel="0" collapsed="false">
      <c r="C664" s="5"/>
      <c r="E664" s="5"/>
      <c r="I664" s="5"/>
    </row>
    <row r="665" customFormat="false" ht="15" hidden="false" customHeight="false" outlineLevel="0" collapsed="false">
      <c r="C665" s="5"/>
      <c r="E665" s="5"/>
      <c r="I665" s="5"/>
    </row>
    <row r="666" customFormat="false" ht="15" hidden="false" customHeight="false" outlineLevel="0" collapsed="false">
      <c r="C666" s="5"/>
      <c r="E666" s="5"/>
      <c r="I666" s="5"/>
    </row>
    <row r="667" customFormat="false" ht="15" hidden="false" customHeight="false" outlineLevel="0" collapsed="false">
      <c r="C667" s="5"/>
      <c r="E667" s="5"/>
      <c r="I667" s="5"/>
    </row>
    <row r="668" customFormat="false" ht="15" hidden="false" customHeight="false" outlineLevel="0" collapsed="false">
      <c r="C668" s="5"/>
      <c r="E668" s="5"/>
      <c r="I668" s="5"/>
    </row>
    <row r="669" customFormat="false" ht="15" hidden="false" customHeight="false" outlineLevel="0" collapsed="false">
      <c r="C669" s="5"/>
      <c r="E669" s="5"/>
      <c r="I669" s="5"/>
    </row>
    <row r="670" customFormat="false" ht="15" hidden="false" customHeight="false" outlineLevel="0" collapsed="false">
      <c r="C670" s="5"/>
      <c r="E670" s="5"/>
      <c r="I670" s="5"/>
    </row>
    <row r="671" customFormat="false" ht="15" hidden="false" customHeight="false" outlineLevel="0" collapsed="false">
      <c r="C671" s="5"/>
      <c r="E671" s="5"/>
      <c r="I671" s="5"/>
    </row>
    <row r="672" customFormat="false" ht="15" hidden="false" customHeight="false" outlineLevel="0" collapsed="false">
      <c r="C672" s="5"/>
      <c r="E672" s="5"/>
      <c r="I672" s="5"/>
    </row>
    <row r="673" customFormat="false" ht="15" hidden="false" customHeight="false" outlineLevel="0" collapsed="false">
      <c r="C673" s="5"/>
      <c r="E673" s="5"/>
      <c r="I673" s="5"/>
    </row>
    <row r="674" customFormat="false" ht="15" hidden="false" customHeight="false" outlineLevel="0" collapsed="false">
      <c r="C674" s="5"/>
      <c r="E674" s="5"/>
      <c r="I674" s="5"/>
    </row>
    <row r="675" customFormat="false" ht="15" hidden="false" customHeight="false" outlineLevel="0" collapsed="false">
      <c r="C675" s="5"/>
      <c r="E675" s="5"/>
      <c r="I675" s="5"/>
    </row>
    <row r="676" customFormat="false" ht="15" hidden="false" customHeight="false" outlineLevel="0" collapsed="false">
      <c r="C676" s="5"/>
      <c r="E676" s="5"/>
      <c r="I676" s="5"/>
    </row>
    <row r="677" customFormat="false" ht="15" hidden="false" customHeight="false" outlineLevel="0" collapsed="false">
      <c r="C677" s="5"/>
      <c r="E677" s="5"/>
      <c r="I677" s="5"/>
    </row>
    <row r="678" customFormat="false" ht="15" hidden="false" customHeight="false" outlineLevel="0" collapsed="false">
      <c r="C678" s="5"/>
      <c r="E678" s="5"/>
      <c r="I678" s="5"/>
    </row>
    <row r="679" customFormat="false" ht="15" hidden="false" customHeight="false" outlineLevel="0" collapsed="false">
      <c r="C679" s="5"/>
      <c r="E679" s="5"/>
      <c r="I679" s="5"/>
    </row>
    <row r="680" customFormat="false" ht="15" hidden="false" customHeight="false" outlineLevel="0" collapsed="false">
      <c r="C680" s="5"/>
      <c r="E680" s="5"/>
      <c r="I680" s="5"/>
    </row>
    <row r="681" customFormat="false" ht="15" hidden="false" customHeight="false" outlineLevel="0" collapsed="false">
      <c r="C681" s="5"/>
      <c r="E681" s="5"/>
      <c r="I681" s="5"/>
    </row>
    <row r="682" customFormat="false" ht="15" hidden="false" customHeight="false" outlineLevel="0" collapsed="false">
      <c r="C682" s="5"/>
      <c r="E682" s="5"/>
      <c r="I682" s="5"/>
    </row>
    <row r="683" customFormat="false" ht="15" hidden="false" customHeight="false" outlineLevel="0" collapsed="false">
      <c r="C683" s="5"/>
      <c r="E683" s="5"/>
      <c r="I683" s="5"/>
    </row>
    <row r="684" customFormat="false" ht="15" hidden="false" customHeight="false" outlineLevel="0" collapsed="false">
      <c r="C684" s="5"/>
      <c r="E684" s="5"/>
      <c r="I684" s="5"/>
    </row>
    <row r="685" customFormat="false" ht="15" hidden="false" customHeight="false" outlineLevel="0" collapsed="false">
      <c r="C685" s="5"/>
      <c r="E685" s="5"/>
      <c r="I685" s="5"/>
    </row>
    <row r="686" customFormat="false" ht="15" hidden="false" customHeight="false" outlineLevel="0" collapsed="false">
      <c r="C686" s="5"/>
      <c r="E686" s="5"/>
      <c r="I686" s="5"/>
    </row>
    <row r="687" customFormat="false" ht="15" hidden="false" customHeight="false" outlineLevel="0" collapsed="false">
      <c r="C687" s="5"/>
      <c r="E687" s="5"/>
      <c r="I687" s="5"/>
    </row>
    <row r="688" customFormat="false" ht="15" hidden="false" customHeight="false" outlineLevel="0" collapsed="false">
      <c r="C688" s="5"/>
      <c r="E688" s="5"/>
      <c r="I688" s="5"/>
    </row>
    <row r="689" customFormat="false" ht="15" hidden="false" customHeight="false" outlineLevel="0" collapsed="false">
      <c r="C689" s="5"/>
      <c r="E689" s="5"/>
      <c r="I689" s="5"/>
    </row>
    <row r="690" customFormat="false" ht="15" hidden="false" customHeight="false" outlineLevel="0" collapsed="false">
      <c r="C690" s="5"/>
      <c r="E690" s="5"/>
      <c r="I690" s="5"/>
    </row>
    <row r="691" customFormat="false" ht="15" hidden="false" customHeight="false" outlineLevel="0" collapsed="false">
      <c r="C691" s="5"/>
      <c r="E691" s="5"/>
      <c r="I691" s="5"/>
    </row>
    <row r="692" customFormat="false" ht="15" hidden="false" customHeight="false" outlineLevel="0" collapsed="false">
      <c r="C692" s="5"/>
      <c r="E692" s="5"/>
      <c r="I692" s="5"/>
    </row>
    <row r="693" customFormat="false" ht="15" hidden="false" customHeight="false" outlineLevel="0" collapsed="false">
      <c r="C693" s="5"/>
      <c r="E693" s="5"/>
      <c r="I693" s="5"/>
    </row>
    <row r="694" customFormat="false" ht="15" hidden="false" customHeight="false" outlineLevel="0" collapsed="false">
      <c r="C694" s="5"/>
      <c r="E694" s="5"/>
      <c r="I694" s="5"/>
    </row>
    <row r="695" customFormat="false" ht="15" hidden="false" customHeight="false" outlineLevel="0" collapsed="false">
      <c r="C695" s="5"/>
      <c r="E695" s="5"/>
      <c r="I695" s="5"/>
    </row>
    <row r="696" customFormat="false" ht="15" hidden="false" customHeight="false" outlineLevel="0" collapsed="false">
      <c r="C696" s="5"/>
      <c r="E696" s="5"/>
      <c r="I696" s="5"/>
    </row>
    <row r="697" customFormat="false" ht="15" hidden="false" customHeight="false" outlineLevel="0" collapsed="false">
      <c r="C697" s="5"/>
      <c r="E697" s="5"/>
      <c r="I697" s="5"/>
    </row>
    <row r="698" customFormat="false" ht="15" hidden="false" customHeight="false" outlineLevel="0" collapsed="false">
      <c r="C698" s="5"/>
      <c r="E698" s="5"/>
      <c r="I698" s="5"/>
    </row>
    <row r="699" customFormat="false" ht="15" hidden="false" customHeight="false" outlineLevel="0" collapsed="false">
      <c r="C699" s="5"/>
      <c r="E699" s="5"/>
      <c r="I699" s="5"/>
    </row>
    <row r="700" customFormat="false" ht="15" hidden="false" customHeight="false" outlineLevel="0" collapsed="false">
      <c r="C700" s="5"/>
      <c r="E700" s="5"/>
      <c r="I700" s="5"/>
    </row>
    <row r="701" customFormat="false" ht="15" hidden="false" customHeight="false" outlineLevel="0" collapsed="false">
      <c r="C701" s="5"/>
      <c r="E701" s="5"/>
      <c r="I701" s="5"/>
    </row>
    <row r="702" customFormat="false" ht="15" hidden="false" customHeight="false" outlineLevel="0" collapsed="false">
      <c r="C702" s="5"/>
      <c r="E702" s="5"/>
      <c r="I702" s="5"/>
    </row>
    <row r="703" customFormat="false" ht="15" hidden="false" customHeight="false" outlineLevel="0" collapsed="false">
      <c r="C703" s="5"/>
      <c r="E703" s="5"/>
      <c r="I703" s="5"/>
    </row>
    <row r="704" customFormat="false" ht="15" hidden="false" customHeight="false" outlineLevel="0" collapsed="false">
      <c r="C704" s="5"/>
      <c r="E704" s="5"/>
      <c r="I704" s="5"/>
    </row>
    <row r="705" customFormat="false" ht="15" hidden="false" customHeight="false" outlineLevel="0" collapsed="false">
      <c r="C705" s="5"/>
      <c r="E705" s="5"/>
      <c r="I705" s="5"/>
    </row>
    <row r="706" customFormat="false" ht="15" hidden="false" customHeight="false" outlineLevel="0" collapsed="false">
      <c r="C706" s="5"/>
      <c r="E706" s="5"/>
      <c r="I706" s="5"/>
    </row>
    <row r="707" customFormat="false" ht="15" hidden="false" customHeight="false" outlineLevel="0" collapsed="false">
      <c r="C707" s="5"/>
      <c r="E707" s="5"/>
      <c r="I707" s="5"/>
    </row>
    <row r="708" customFormat="false" ht="15" hidden="false" customHeight="false" outlineLevel="0" collapsed="false">
      <c r="C708" s="5"/>
      <c r="E708" s="5"/>
      <c r="I708" s="5"/>
    </row>
    <row r="709" customFormat="false" ht="15" hidden="false" customHeight="false" outlineLevel="0" collapsed="false">
      <c r="C709" s="5"/>
      <c r="E709" s="5"/>
      <c r="I709" s="5"/>
    </row>
    <row r="710" customFormat="false" ht="15" hidden="false" customHeight="false" outlineLevel="0" collapsed="false">
      <c r="C710" s="5"/>
      <c r="E710" s="5"/>
      <c r="I710" s="5"/>
    </row>
    <row r="711" customFormat="false" ht="15" hidden="false" customHeight="false" outlineLevel="0" collapsed="false">
      <c r="C711" s="5"/>
      <c r="E711" s="5"/>
      <c r="I711" s="5"/>
    </row>
    <row r="712" customFormat="false" ht="15" hidden="false" customHeight="false" outlineLevel="0" collapsed="false">
      <c r="C712" s="5"/>
      <c r="E712" s="5"/>
      <c r="I712" s="5"/>
    </row>
    <row r="713" customFormat="false" ht="15" hidden="false" customHeight="false" outlineLevel="0" collapsed="false">
      <c r="C713" s="5"/>
      <c r="E713" s="5"/>
      <c r="I713" s="5"/>
    </row>
    <row r="714" customFormat="false" ht="15" hidden="false" customHeight="false" outlineLevel="0" collapsed="false">
      <c r="C714" s="5"/>
      <c r="E714" s="5"/>
      <c r="I714" s="5"/>
    </row>
    <row r="715" customFormat="false" ht="15" hidden="false" customHeight="false" outlineLevel="0" collapsed="false">
      <c r="C715" s="5"/>
      <c r="E715" s="5"/>
      <c r="I715" s="5"/>
    </row>
    <row r="716" customFormat="false" ht="15" hidden="false" customHeight="false" outlineLevel="0" collapsed="false">
      <c r="C716" s="5"/>
      <c r="E716" s="5"/>
      <c r="I716" s="5"/>
    </row>
    <row r="717" customFormat="false" ht="15" hidden="false" customHeight="false" outlineLevel="0" collapsed="false">
      <c r="C717" s="5"/>
      <c r="E717" s="5"/>
      <c r="I717" s="5"/>
    </row>
    <row r="718" customFormat="false" ht="15" hidden="false" customHeight="false" outlineLevel="0" collapsed="false">
      <c r="C718" s="5"/>
      <c r="E718" s="5"/>
      <c r="I718" s="5"/>
    </row>
    <row r="719" customFormat="false" ht="15" hidden="false" customHeight="false" outlineLevel="0" collapsed="false">
      <c r="C719" s="5"/>
      <c r="E719" s="5"/>
      <c r="I719" s="5"/>
    </row>
    <row r="720" customFormat="false" ht="15" hidden="false" customHeight="false" outlineLevel="0" collapsed="false">
      <c r="C720" s="5"/>
      <c r="E720" s="5"/>
      <c r="I720" s="5"/>
    </row>
    <row r="721" customFormat="false" ht="15" hidden="false" customHeight="false" outlineLevel="0" collapsed="false">
      <c r="C721" s="5"/>
      <c r="E721" s="5"/>
      <c r="I721" s="5"/>
    </row>
    <row r="722" customFormat="false" ht="15" hidden="false" customHeight="false" outlineLevel="0" collapsed="false">
      <c r="C722" s="5"/>
      <c r="E722" s="5"/>
      <c r="I722" s="5"/>
    </row>
    <row r="723" customFormat="false" ht="15" hidden="false" customHeight="false" outlineLevel="0" collapsed="false">
      <c r="C723" s="5"/>
      <c r="E723" s="5"/>
      <c r="I723" s="5"/>
    </row>
    <row r="724" customFormat="false" ht="15" hidden="false" customHeight="false" outlineLevel="0" collapsed="false">
      <c r="C724" s="5"/>
      <c r="E724" s="5"/>
      <c r="I724" s="5"/>
    </row>
    <row r="725" customFormat="false" ht="15" hidden="false" customHeight="false" outlineLevel="0" collapsed="false">
      <c r="C725" s="5"/>
      <c r="E725" s="5"/>
      <c r="I725" s="5"/>
    </row>
    <row r="726" customFormat="false" ht="15" hidden="false" customHeight="false" outlineLevel="0" collapsed="false">
      <c r="C726" s="5"/>
      <c r="E726" s="5"/>
      <c r="I726" s="5"/>
    </row>
    <row r="727" customFormat="false" ht="15" hidden="false" customHeight="false" outlineLevel="0" collapsed="false">
      <c r="C727" s="5"/>
      <c r="E727" s="5"/>
      <c r="I727" s="5"/>
    </row>
    <row r="728" customFormat="false" ht="15" hidden="false" customHeight="false" outlineLevel="0" collapsed="false">
      <c r="C728" s="5"/>
      <c r="E728" s="5"/>
      <c r="I728" s="5"/>
    </row>
    <row r="729" customFormat="false" ht="15" hidden="false" customHeight="false" outlineLevel="0" collapsed="false">
      <c r="C729" s="5"/>
      <c r="E729" s="5"/>
      <c r="I729" s="5"/>
    </row>
    <row r="730" customFormat="false" ht="15" hidden="false" customHeight="false" outlineLevel="0" collapsed="false">
      <c r="C730" s="5"/>
      <c r="E730" s="5"/>
      <c r="I730" s="5"/>
    </row>
    <row r="731" customFormat="false" ht="15" hidden="false" customHeight="false" outlineLevel="0" collapsed="false">
      <c r="C731" s="5"/>
      <c r="E731" s="5"/>
      <c r="I731" s="5"/>
    </row>
    <row r="732" customFormat="false" ht="15" hidden="false" customHeight="false" outlineLevel="0" collapsed="false">
      <c r="C732" s="5"/>
      <c r="E732" s="5"/>
      <c r="I732" s="5"/>
    </row>
    <row r="733" customFormat="false" ht="15" hidden="false" customHeight="false" outlineLevel="0" collapsed="false">
      <c r="C733" s="5"/>
      <c r="E733" s="5"/>
      <c r="I733" s="5"/>
    </row>
    <row r="734" customFormat="false" ht="15" hidden="false" customHeight="false" outlineLevel="0" collapsed="false">
      <c r="C734" s="5"/>
      <c r="E734" s="5"/>
      <c r="I734" s="5"/>
    </row>
    <row r="735" customFormat="false" ht="15" hidden="false" customHeight="false" outlineLevel="0" collapsed="false">
      <c r="C735" s="5"/>
      <c r="E735" s="5"/>
      <c r="I735" s="5"/>
    </row>
    <row r="736" customFormat="false" ht="15" hidden="false" customHeight="false" outlineLevel="0" collapsed="false">
      <c r="C736" s="5"/>
      <c r="E736" s="5"/>
      <c r="I736" s="5"/>
    </row>
    <row r="737" customFormat="false" ht="15" hidden="false" customHeight="false" outlineLevel="0" collapsed="false">
      <c r="C737" s="5"/>
      <c r="E737" s="5"/>
      <c r="I737" s="5"/>
    </row>
    <row r="738" customFormat="false" ht="15" hidden="false" customHeight="false" outlineLevel="0" collapsed="false">
      <c r="C738" s="5"/>
      <c r="E738" s="5"/>
      <c r="I738" s="5"/>
    </row>
    <row r="739" customFormat="false" ht="15" hidden="false" customHeight="false" outlineLevel="0" collapsed="false">
      <c r="C739" s="5"/>
      <c r="E739" s="5"/>
      <c r="I739" s="5"/>
    </row>
    <row r="740" customFormat="false" ht="15" hidden="false" customHeight="false" outlineLevel="0" collapsed="false">
      <c r="C740" s="5"/>
      <c r="E740" s="5"/>
      <c r="I740" s="5"/>
    </row>
    <row r="741" customFormat="false" ht="15" hidden="false" customHeight="false" outlineLevel="0" collapsed="false">
      <c r="C741" s="5"/>
      <c r="E741" s="5"/>
      <c r="I741" s="5"/>
    </row>
    <row r="742" customFormat="false" ht="15" hidden="false" customHeight="false" outlineLevel="0" collapsed="false">
      <c r="C742" s="5"/>
      <c r="E742" s="5"/>
      <c r="I742" s="5"/>
    </row>
    <row r="743" customFormat="false" ht="15" hidden="false" customHeight="false" outlineLevel="0" collapsed="false">
      <c r="C743" s="5"/>
      <c r="E743" s="5"/>
      <c r="I743" s="5"/>
    </row>
    <row r="744" customFormat="false" ht="15" hidden="false" customHeight="false" outlineLevel="0" collapsed="false">
      <c r="C744" s="5"/>
      <c r="E744" s="5"/>
      <c r="I744" s="5"/>
    </row>
    <row r="745" customFormat="false" ht="15" hidden="false" customHeight="false" outlineLevel="0" collapsed="false">
      <c r="C745" s="5"/>
      <c r="E745" s="5"/>
      <c r="I745" s="5"/>
    </row>
    <row r="746" customFormat="false" ht="15" hidden="false" customHeight="false" outlineLevel="0" collapsed="false">
      <c r="C746" s="5"/>
      <c r="E746" s="5"/>
      <c r="I746" s="5"/>
    </row>
    <row r="747" customFormat="false" ht="15" hidden="false" customHeight="false" outlineLevel="0" collapsed="false">
      <c r="C747" s="5"/>
      <c r="E747" s="5"/>
      <c r="I747" s="5"/>
    </row>
    <row r="748" customFormat="false" ht="15" hidden="false" customHeight="false" outlineLevel="0" collapsed="false">
      <c r="C748" s="5"/>
      <c r="E748" s="5"/>
      <c r="I748" s="5"/>
    </row>
    <row r="749" customFormat="false" ht="15" hidden="false" customHeight="false" outlineLevel="0" collapsed="false">
      <c r="C749" s="5"/>
      <c r="E749" s="5"/>
      <c r="I749" s="5"/>
    </row>
    <row r="750" customFormat="false" ht="15" hidden="false" customHeight="false" outlineLevel="0" collapsed="false">
      <c r="C750" s="5"/>
      <c r="E750" s="5"/>
      <c r="I750" s="5"/>
    </row>
    <row r="751" customFormat="false" ht="15" hidden="false" customHeight="false" outlineLevel="0" collapsed="false">
      <c r="C751" s="5"/>
      <c r="E751" s="5"/>
      <c r="I751" s="5"/>
    </row>
    <row r="752" customFormat="false" ht="15" hidden="false" customHeight="false" outlineLevel="0" collapsed="false">
      <c r="C752" s="5"/>
      <c r="E752" s="5"/>
      <c r="I752" s="5"/>
    </row>
    <row r="753" customFormat="false" ht="15" hidden="false" customHeight="false" outlineLevel="0" collapsed="false">
      <c r="C753" s="5"/>
      <c r="E753" s="5"/>
      <c r="I753" s="5"/>
    </row>
    <row r="754" customFormat="false" ht="15" hidden="false" customHeight="false" outlineLevel="0" collapsed="false">
      <c r="C754" s="5"/>
      <c r="E754" s="5"/>
      <c r="I754" s="5"/>
    </row>
    <row r="755" customFormat="false" ht="15" hidden="false" customHeight="false" outlineLevel="0" collapsed="false">
      <c r="C755" s="5"/>
      <c r="E755" s="5"/>
      <c r="I755" s="5"/>
    </row>
    <row r="756" customFormat="false" ht="15" hidden="false" customHeight="false" outlineLevel="0" collapsed="false">
      <c r="C756" s="5"/>
      <c r="E756" s="5"/>
      <c r="I756" s="5"/>
    </row>
    <row r="757" customFormat="false" ht="15" hidden="false" customHeight="false" outlineLevel="0" collapsed="false">
      <c r="C757" s="5"/>
      <c r="E757" s="5"/>
      <c r="I757" s="5"/>
    </row>
    <row r="758" customFormat="false" ht="15" hidden="false" customHeight="false" outlineLevel="0" collapsed="false">
      <c r="C758" s="5"/>
      <c r="E758" s="5"/>
      <c r="I758" s="5"/>
    </row>
    <row r="759" customFormat="false" ht="15" hidden="false" customHeight="false" outlineLevel="0" collapsed="false">
      <c r="C759" s="5"/>
      <c r="E759" s="5"/>
      <c r="I759" s="5"/>
    </row>
    <row r="760" customFormat="false" ht="15" hidden="false" customHeight="false" outlineLevel="0" collapsed="false">
      <c r="C760" s="5"/>
      <c r="E760" s="5"/>
      <c r="I760" s="5"/>
    </row>
    <row r="761" customFormat="false" ht="15" hidden="false" customHeight="false" outlineLevel="0" collapsed="false">
      <c r="C761" s="5"/>
      <c r="E761" s="5"/>
      <c r="I761" s="5"/>
    </row>
    <row r="762" customFormat="false" ht="15" hidden="false" customHeight="false" outlineLevel="0" collapsed="false">
      <c r="C762" s="5"/>
      <c r="E762" s="5"/>
      <c r="I762" s="5"/>
    </row>
    <row r="763" customFormat="false" ht="15" hidden="false" customHeight="false" outlineLevel="0" collapsed="false">
      <c r="C763" s="5"/>
      <c r="E763" s="5"/>
      <c r="I763" s="5"/>
    </row>
    <row r="764" customFormat="false" ht="15" hidden="false" customHeight="false" outlineLevel="0" collapsed="false">
      <c r="C764" s="5"/>
      <c r="E764" s="5"/>
      <c r="I764" s="5"/>
    </row>
    <row r="765" customFormat="false" ht="15" hidden="false" customHeight="false" outlineLevel="0" collapsed="false">
      <c r="C765" s="5"/>
      <c r="E765" s="5"/>
      <c r="I765" s="5"/>
    </row>
    <row r="766" customFormat="false" ht="15" hidden="false" customHeight="false" outlineLevel="0" collapsed="false">
      <c r="C766" s="5"/>
      <c r="E766" s="5"/>
      <c r="I766" s="5"/>
    </row>
    <row r="767" customFormat="false" ht="15" hidden="false" customHeight="false" outlineLevel="0" collapsed="false">
      <c r="C767" s="5"/>
      <c r="E767" s="5"/>
      <c r="I767" s="5"/>
    </row>
    <row r="768" customFormat="false" ht="15" hidden="false" customHeight="false" outlineLevel="0" collapsed="false">
      <c r="C768" s="5"/>
      <c r="E768" s="5"/>
      <c r="I768" s="5"/>
    </row>
    <row r="769" customFormat="false" ht="15" hidden="false" customHeight="false" outlineLevel="0" collapsed="false">
      <c r="C769" s="5"/>
      <c r="E769" s="5"/>
      <c r="I769" s="5"/>
    </row>
    <row r="770" customFormat="false" ht="15" hidden="false" customHeight="false" outlineLevel="0" collapsed="false">
      <c r="C770" s="5"/>
      <c r="E770" s="5"/>
      <c r="I770" s="5"/>
    </row>
    <row r="771" customFormat="false" ht="15" hidden="false" customHeight="false" outlineLevel="0" collapsed="false">
      <c r="C771" s="5"/>
      <c r="E771" s="5"/>
      <c r="I771" s="5"/>
    </row>
    <row r="772" customFormat="false" ht="15" hidden="false" customHeight="false" outlineLevel="0" collapsed="false">
      <c r="C772" s="5"/>
      <c r="E772" s="5"/>
      <c r="I772" s="5"/>
    </row>
    <row r="773" customFormat="false" ht="15" hidden="false" customHeight="false" outlineLevel="0" collapsed="false">
      <c r="C773" s="5"/>
      <c r="E773" s="5"/>
      <c r="I773" s="5"/>
    </row>
    <row r="774" customFormat="false" ht="15" hidden="false" customHeight="false" outlineLevel="0" collapsed="false">
      <c r="C774" s="5"/>
      <c r="E774" s="5"/>
      <c r="I774" s="5"/>
    </row>
    <row r="775" customFormat="false" ht="15" hidden="false" customHeight="false" outlineLevel="0" collapsed="false">
      <c r="C775" s="5"/>
      <c r="E775" s="5"/>
      <c r="I775" s="5"/>
    </row>
    <row r="776" customFormat="false" ht="15" hidden="false" customHeight="false" outlineLevel="0" collapsed="false">
      <c r="C776" s="5"/>
      <c r="E776" s="5"/>
      <c r="I776" s="5"/>
    </row>
    <row r="777" customFormat="false" ht="15" hidden="false" customHeight="false" outlineLevel="0" collapsed="false">
      <c r="C777" s="5"/>
      <c r="E777" s="5"/>
      <c r="I777" s="5"/>
    </row>
    <row r="778" customFormat="false" ht="15" hidden="false" customHeight="false" outlineLevel="0" collapsed="false">
      <c r="C778" s="5"/>
      <c r="E778" s="5"/>
      <c r="I778" s="5"/>
    </row>
    <row r="779" customFormat="false" ht="15" hidden="false" customHeight="false" outlineLevel="0" collapsed="false">
      <c r="C779" s="5"/>
      <c r="E779" s="5"/>
      <c r="I779" s="5"/>
    </row>
    <row r="780" customFormat="false" ht="15" hidden="false" customHeight="false" outlineLevel="0" collapsed="false">
      <c r="C780" s="5"/>
      <c r="E780" s="5"/>
      <c r="I780" s="5"/>
    </row>
    <row r="781" customFormat="false" ht="15" hidden="false" customHeight="false" outlineLevel="0" collapsed="false">
      <c r="C781" s="5"/>
      <c r="E781" s="5"/>
      <c r="I781" s="5"/>
    </row>
    <row r="782" customFormat="false" ht="15" hidden="false" customHeight="false" outlineLevel="0" collapsed="false">
      <c r="C782" s="5"/>
      <c r="E782" s="5"/>
      <c r="I782" s="5"/>
    </row>
    <row r="783" customFormat="false" ht="15" hidden="false" customHeight="false" outlineLevel="0" collapsed="false">
      <c r="C783" s="5"/>
      <c r="E783" s="5"/>
      <c r="I783" s="5"/>
    </row>
    <row r="784" customFormat="false" ht="15" hidden="false" customHeight="false" outlineLevel="0" collapsed="false">
      <c r="C784" s="5"/>
      <c r="E784" s="5"/>
      <c r="I784" s="5"/>
    </row>
    <row r="785" customFormat="false" ht="15" hidden="false" customHeight="false" outlineLevel="0" collapsed="false">
      <c r="C785" s="5"/>
      <c r="E785" s="5"/>
      <c r="I785" s="5"/>
    </row>
    <row r="786" customFormat="false" ht="15" hidden="false" customHeight="false" outlineLevel="0" collapsed="false">
      <c r="C786" s="5"/>
      <c r="E786" s="5"/>
      <c r="I786" s="5"/>
    </row>
    <row r="787" customFormat="false" ht="15" hidden="false" customHeight="false" outlineLevel="0" collapsed="false">
      <c r="C787" s="5"/>
      <c r="E787" s="5"/>
      <c r="I787" s="5"/>
    </row>
    <row r="788" customFormat="false" ht="15" hidden="false" customHeight="false" outlineLevel="0" collapsed="false">
      <c r="C788" s="5"/>
      <c r="E788" s="5"/>
      <c r="I788" s="5"/>
    </row>
    <row r="789" customFormat="false" ht="15" hidden="false" customHeight="false" outlineLevel="0" collapsed="false">
      <c r="C789" s="5"/>
      <c r="E789" s="5"/>
      <c r="I789" s="5"/>
    </row>
    <row r="790" customFormat="false" ht="15" hidden="false" customHeight="false" outlineLevel="0" collapsed="false">
      <c r="C790" s="5"/>
      <c r="E790" s="5"/>
      <c r="I790" s="5"/>
    </row>
    <row r="791" customFormat="false" ht="15" hidden="false" customHeight="false" outlineLevel="0" collapsed="false">
      <c r="C791" s="5"/>
      <c r="E791" s="5"/>
      <c r="I791" s="5"/>
    </row>
    <row r="792" customFormat="false" ht="15" hidden="false" customHeight="false" outlineLevel="0" collapsed="false">
      <c r="C792" s="5"/>
      <c r="E792" s="5"/>
      <c r="I792" s="5"/>
    </row>
    <row r="793" customFormat="false" ht="15" hidden="false" customHeight="false" outlineLevel="0" collapsed="false">
      <c r="C793" s="5"/>
      <c r="E793" s="5"/>
      <c r="I793" s="5"/>
    </row>
    <row r="794" customFormat="false" ht="15" hidden="false" customHeight="false" outlineLevel="0" collapsed="false">
      <c r="C794" s="5"/>
      <c r="E794" s="5"/>
      <c r="I794" s="5"/>
    </row>
    <row r="795" customFormat="false" ht="15" hidden="false" customHeight="false" outlineLevel="0" collapsed="false">
      <c r="C795" s="5"/>
      <c r="E795" s="5"/>
      <c r="I795" s="5"/>
    </row>
    <row r="796" customFormat="false" ht="15" hidden="false" customHeight="false" outlineLevel="0" collapsed="false">
      <c r="C796" s="5"/>
      <c r="E796" s="5"/>
      <c r="I796" s="5"/>
    </row>
    <row r="797" customFormat="false" ht="15" hidden="false" customHeight="false" outlineLevel="0" collapsed="false">
      <c r="C797" s="5"/>
      <c r="E797" s="5"/>
      <c r="I797" s="5"/>
    </row>
    <row r="798" customFormat="false" ht="15" hidden="false" customHeight="false" outlineLevel="0" collapsed="false">
      <c r="C798" s="5"/>
      <c r="E798" s="5"/>
      <c r="I798" s="5"/>
    </row>
    <row r="799" customFormat="false" ht="15" hidden="false" customHeight="false" outlineLevel="0" collapsed="false">
      <c r="C799" s="5"/>
      <c r="E799" s="5"/>
      <c r="I799" s="5"/>
    </row>
    <row r="800" customFormat="false" ht="15" hidden="false" customHeight="false" outlineLevel="0" collapsed="false">
      <c r="C800" s="5"/>
      <c r="E800" s="5"/>
      <c r="I800" s="5"/>
    </row>
    <row r="801" customFormat="false" ht="15" hidden="false" customHeight="false" outlineLevel="0" collapsed="false">
      <c r="C801" s="5"/>
      <c r="E801" s="5"/>
      <c r="I801" s="5"/>
    </row>
    <row r="802" customFormat="false" ht="15" hidden="false" customHeight="false" outlineLevel="0" collapsed="false">
      <c r="C802" s="5"/>
      <c r="E802" s="5"/>
      <c r="I802" s="5"/>
    </row>
    <row r="803" customFormat="false" ht="15" hidden="false" customHeight="false" outlineLevel="0" collapsed="false">
      <c r="C803" s="5"/>
      <c r="E803" s="5"/>
      <c r="I803" s="5"/>
    </row>
    <row r="804" customFormat="false" ht="15" hidden="false" customHeight="false" outlineLevel="0" collapsed="false">
      <c r="C804" s="5"/>
      <c r="E804" s="5"/>
      <c r="I804" s="5"/>
    </row>
    <row r="805" customFormat="false" ht="15" hidden="false" customHeight="false" outlineLevel="0" collapsed="false">
      <c r="C805" s="5"/>
      <c r="E805" s="5"/>
      <c r="I805" s="5"/>
    </row>
    <row r="806" customFormat="false" ht="15" hidden="false" customHeight="false" outlineLevel="0" collapsed="false">
      <c r="C806" s="5"/>
      <c r="E806" s="5"/>
      <c r="I806" s="5"/>
    </row>
    <row r="807" customFormat="false" ht="15" hidden="false" customHeight="false" outlineLevel="0" collapsed="false">
      <c r="C807" s="5"/>
      <c r="E807" s="5"/>
      <c r="I807" s="5"/>
    </row>
    <row r="808" customFormat="false" ht="15" hidden="false" customHeight="false" outlineLevel="0" collapsed="false">
      <c r="C808" s="5"/>
      <c r="E808" s="5"/>
      <c r="I808" s="5"/>
    </row>
    <row r="809" customFormat="false" ht="15" hidden="false" customHeight="false" outlineLevel="0" collapsed="false">
      <c r="C809" s="5"/>
      <c r="E809" s="5"/>
      <c r="I809" s="5"/>
    </row>
    <row r="810" customFormat="false" ht="15" hidden="false" customHeight="false" outlineLevel="0" collapsed="false">
      <c r="C810" s="5"/>
      <c r="E810" s="5"/>
      <c r="I810" s="5"/>
    </row>
    <row r="811" customFormat="false" ht="15" hidden="false" customHeight="false" outlineLevel="0" collapsed="false">
      <c r="C811" s="5"/>
      <c r="E811" s="5"/>
      <c r="I811" s="5"/>
    </row>
    <row r="812" customFormat="false" ht="15" hidden="false" customHeight="false" outlineLevel="0" collapsed="false">
      <c r="C812" s="5"/>
      <c r="E812" s="5"/>
      <c r="I812" s="5"/>
    </row>
    <row r="813" customFormat="false" ht="15" hidden="false" customHeight="false" outlineLevel="0" collapsed="false">
      <c r="C813" s="5"/>
      <c r="E813" s="5"/>
      <c r="I813" s="5"/>
    </row>
    <row r="814" customFormat="false" ht="15" hidden="false" customHeight="false" outlineLevel="0" collapsed="false">
      <c r="C814" s="5"/>
      <c r="E814" s="5"/>
      <c r="I814" s="5"/>
    </row>
    <row r="815" customFormat="false" ht="15" hidden="false" customHeight="false" outlineLevel="0" collapsed="false">
      <c r="C815" s="5"/>
      <c r="E815" s="5"/>
      <c r="I815" s="5"/>
    </row>
    <row r="816" customFormat="false" ht="15" hidden="false" customHeight="false" outlineLevel="0" collapsed="false">
      <c r="C816" s="5"/>
      <c r="E816" s="5"/>
      <c r="I816" s="5"/>
    </row>
    <row r="817" customFormat="false" ht="15" hidden="false" customHeight="false" outlineLevel="0" collapsed="false">
      <c r="C817" s="5"/>
      <c r="E817" s="5"/>
      <c r="I817" s="5"/>
    </row>
    <row r="818" customFormat="false" ht="15" hidden="false" customHeight="false" outlineLevel="0" collapsed="false">
      <c r="C818" s="5"/>
      <c r="E818" s="5"/>
      <c r="I818" s="5"/>
    </row>
    <row r="819" customFormat="false" ht="15" hidden="false" customHeight="false" outlineLevel="0" collapsed="false">
      <c r="C819" s="5"/>
      <c r="E819" s="5"/>
      <c r="I819" s="5"/>
    </row>
    <row r="820" customFormat="false" ht="15" hidden="false" customHeight="false" outlineLevel="0" collapsed="false">
      <c r="C820" s="5"/>
      <c r="E820" s="5"/>
      <c r="I820" s="5"/>
    </row>
    <row r="821" customFormat="false" ht="15" hidden="false" customHeight="false" outlineLevel="0" collapsed="false">
      <c r="C821" s="5"/>
      <c r="E821" s="5"/>
      <c r="I821" s="5"/>
    </row>
    <row r="822" customFormat="false" ht="15" hidden="false" customHeight="false" outlineLevel="0" collapsed="false">
      <c r="C822" s="5"/>
      <c r="E822" s="5"/>
      <c r="I822" s="5"/>
    </row>
    <row r="823" customFormat="false" ht="15" hidden="false" customHeight="false" outlineLevel="0" collapsed="false">
      <c r="C823" s="5"/>
      <c r="E823" s="5"/>
      <c r="I823" s="5"/>
    </row>
    <row r="824" customFormat="false" ht="15" hidden="false" customHeight="false" outlineLevel="0" collapsed="false">
      <c r="C824" s="5"/>
      <c r="E824" s="5"/>
      <c r="I824" s="5"/>
    </row>
    <row r="825" customFormat="false" ht="15" hidden="false" customHeight="false" outlineLevel="0" collapsed="false">
      <c r="C825" s="5"/>
      <c r="E825" s="5"/>
      <c r="I825" s="5"/>
    </row>
    <row r="826" customFormat="false" ht="15" hidden="false" customHeight="false" outlineLevel="0" collapsed="false">
      <c r="C826" s="5"/>
      <c r="E826" s="5"/>
      <c r="I826" s="5"/>
    </row>
    <row r="827" customFormat="false" ht="15" hidden="false" customHeight="false" outlineLevel="0" collapsed="false">
      <c r="C827" s="5"/>
      <c r="E827" s="5"/>
      <c r="I827" s="5"/>
    </row>
    <row r="828" customFormat="false" ht="15" hidden="false" customHeight="false" outlineLevel="0" collapsed="false">
      <c r="C828" s="5"/>
      <c r="E828" s="5"/>
      <c r="I828" s="5"/>
    </row>
    <row r="829" customFormat="false" ht="15" hidden="false" customHeight="false" outlineLevel="0" collapsed="false">
      <c r="C829" s="5"/>
      <c r="E829" s="5"/>
      <c r="I829" s="5"/>
    </row>
    <row r="830" customFormat="false" ht="15" hidden="false" customHeight="false" outlineLevel="0" collapsed="false">
      <c r="C830" s="5"/>
      <c r="E830" s="5"/>
      <c r="I830" s="5"/>
    </row>
    <row r="831" customFormat="false" ht="15" hidden="false" customHeight="false" outlineLevel="0" collapsed="false">
      <c r="C831" s="5"/>
      <c r="E831" s="5"/>
      <c r="I831" s="5"/>
    </row>
    <row r="832" customFormat="false" ht="15" hidden="false" customHeight="false" outlineLevel="0" collapsed="false">
      <c r="C832" s="5"/>
      <c r="E832" s="5"/>
      <c r="I832" s="5"/>
    </row>
    <row r="833" customFormat="false" ht="15" hidden="false" customHeight="false" outlineLevel="0" collapsed="false">
      <c r="C833" s="5"/>
      <c r="E833" s="5"/>
      <c r="I833" s="5"/>
    </row>
    <row r="834" customFormat="false" ht="15" hidden="false" customHeight="false" outlineLevel="0" collapsed="false">
      <c r="C834" s="5"/>
      <c r="E834" s="5"/>
      <c r="I834" s="5"/>
    </row>
    <row r="835" customFormat="false" ht="15" hidden="false" customHeight="false" outlineLevel="0" collapsed="false">
      <c r="C835" s="5"/>
      <c r="E835" s="5"/>
      <c r="I835" s="5"/>
    </row>
    <row r="836" customFormat="false" ht="15" hidden="false" customHeight="false" outlineLevel="0" collapsed="false">
      <c r="C836" s="5"/>
      <c r="E836" s="5"/>
      <c r="I836" s="5"/>
    </row>
    <row r="837" customFormat="false" ht="15" hidden="false" customHeight="false" outlineLevel="0" collapsed="false">
      <c r="C837" s="5"/>
      <c r="E837" s="5"/>
      <c r="I837" s="5"/>
    </row>
    <row r="838" customFormat="false" ht="15" hidden="false" customHeight="false" outlineLevel="0" collapsed="false">
      <c r="C838" s="5"/>
      <c r="E838" s="5"/>
      <c r="I838" s="5"/>
    </row>
    <row r="839" customFormat="false" ht="15" hidden="false" customHeight="false" outlineLevel="0" collapsed="false">
      <c r="C839" s="5"/>
      <c r="E839" s="5"/>
      <c r="I839" s="5"/>
    </row>
    <row r="840" customFormat="false" ht="15" hidden="false" customHeight="false" outlineLevel="0" collapsed="false">
      <c r="C840" s="5"/>
      <c r="E840" s="5"/>
      <c r="I840" s="5"/>
    </row>
    <row r="841" customFormat="false" ht="15" hidden="false" customHeight="false" outlineLevel="0" collapsed="false">
      <c r="C841" s="5"/>
      <c r="E841" s="5"/>
      <c r="I841" s="5"/>
    </row>
    <row r="842" customFormat="false" ht="15" hidden="false" customHeight="false" outlineLevel="0" collapsed="false">
      <c r="C842" s="5"/>
      <c r="E842" s="5"/>
      <c r="I842" s="5"/>
    </row>
    <row r="843" customFormat="false" ht="15" hidden="false" customHeight="false" outlineLevel="0" collapsed="false">
      <c r="C843" s="5"/>
      <c r="E843" s="5"/>
      <c r="I843" s="5"/>
    </row>
    <row r="844" customFormat="false" ht="15" hidden="false" customHeight="false" outlineLevel="0" collapsed="false">
      <c r="C844" s="5"/>
      <c r="E844" s="5"/>
      <c r="I844" s="5"/>
    </row>
    <row r="845" customFormat="false" ht="15" hidden="false" customHeight="false" outlineLevel="0" collapsed="false">
      <c r="C845" s="5"/>
      <c r="E845" s="5"/>
      <c r="I845" s="5"/>
    </row>
    <row r="846" customFormat="false" ht="15" hidden="false" customHeight="false" outlineLevel="0" collapsed="false">
      <c r="C846" s="5"/>
      <c r="E846" s="5"/>
      <c r="I846" s="5"/>
    </row>
    <row r="847" customFormat="false" ht="15" hidden="false" customHeight="false" outlineLevel="0" collapsed="false">
      <c r="C847" s="5"/>
      <c r="E847" s="5"/>
      <c r="I847" s="5"/>
    </row>
    <row r="848" customFormat="false" ht="15" hidden="false" customHeight="false" outlineLevel="0" collapsed="false">
      <c r="C848" s="5"/>
      <c r="E848" s="5"/>
      <c r="I848" s="5"/>
    </row>
    <row r="849" customFormat="false" ht="15" hidden="false" customHeight="false" outlineLevel="0" collapsed="false">
      <c r="C849" s="5"/>
      <c r="E849" s="5"/>
      <c r="I849" s="5"/>
    </row>
    <row r="850" customFormat="false" ht="15" hidden="false" customHeight="false" outlineLevel="0" collapsed="false">
      <c r="C850" s="5"/>
      <c r="E850" s="5"/>
      <c r="I850" s="5"/>
    </row>
    <row r="851" customFormat="false" ht="15" hidden="false" customHeight="false" outlineLevel="0" collapsed="false">
      <c r="C851" s="5"/>
      <c r="E851" s="5"/>
      <c r="I851" s="5"/>
    </row>
    <row r="852" customFormat="false" ht="15" hidden="false" customHeight="false" outlineLevel="0" collapsed="false">
      <c r="C852" s="5"/>
      <c r="E852" s="5"/>
      <c r="I852" s="5"/>
    </row>
    <row r="853" customFormat="false" ht="15" hidden="false" customHeight="false" outlineLevel="0" collapsed="false">
      <c r="C853" s="5"/>
      <c r="E853" s="5"/>
      <c r="I853" s="5"/>
    </row>
    <row r="854" customFormat="false" ht="15" hidden="false" customHeight="false" outlineLevel="0" collapsed="false">
      <c r="C854" s="5"/>
      <c r="E854" s="5"/>
      <c r="I854" s="5"/>
    </row>
    <row r="855" customFormat="false" ht="15" hidden="false" customHeight="false" outlineLevel="0" collapsed="false">
      <c r="C855" s="5"/>
      <c r="E855" s="5"/>
      <c r="I855" s="5"/>
    </row>
    <row r="856" customFormat="false" ht="15" hidden="false" customHeight="false" outlineLevel="0" collapsed="false">
      <c r="C856" s="5"/>
      <c r="E856" s="5"/>
      <c r="I856" s="5"/>
    </row>
    <row r="857" customFormat="false" ht="15" hidden="false" customHeight="false" outlineLevel="0" collapsed="false">
      <c r="C857" s="5"/>
      <c r="E857" s="5"/>
      <c r="I857" s="5"/>
    </row>
    <row r="858" customFormat="false" ht="15" hidden="false" customHeight="false" outlineLevel="0" collapsed="false">
      <c r="C858" s="5"/>
      <c r="E858" s="5"/>
      <c r="I858" s="5"/>
    </row>
    <row r="859" customFormat="false" ht="15" hidden="false" customHeight="false" outlineLevel="0" collapsed="false">
      <c r="C859" s="5"/>
      <c r="E859" s="5"/>
      <c r="I859" s="5"/>
    </row>
    <row r="860" customFormat="false" ht="15" hidden="false" customHeight="false" outlineLevel="0" collapsed="false">
      <c r="C860" s="5"/>
      <c r="E860" s="5"/>
      <c r="I860" s="5"/>
    </row>
    <row r="861" customFormat="false" ht="15" hidden="false" customHeight="false" outlineLevel="0" collapsed="false">
      <c r="C861" s="5"/>
      <c r="E861" s="5"/>
      <c r="I861" s="5"/>
    </row>
    <row r="862" customFormat="false" ht="15" hidden="false" customHeight="false" outlineLevel="0" collapsed="false">
      <c r="C862" s="5"/>
      <c r="E862" s="5"/>
      <c r="I862" s="5"/>
    </row>
    <row r="863" customFormat="false" ht="15" hidden="false" customHeight="false" outlineLevel="0" collapsed="false">
      <c r="C863" s="5"/>
      <c r="E863" s="5"/>
      <c r="I863" s="5"/>
    </row>
    <row r="864" customFormat="false" ht="15" hidden="false" customHeight="false" outlineLevel="0" collapsed="false">
      <c r="C864" s="5"/>
      <c r="E864" s="5"/>
      <c r="I864" s="5"/>
    </row>
    <row r="865" customFormat="false" ht="15" hidden="false" customHeight="false" outlineLevel="0" collapsed="false">
      <c r="C865" s="5"/>
      <c r="E865" s="5"/>
      <c r="I865" s="5"/>
    </row>
    <row r="866" customFormat="false" ht="15" hidden="false" customHeight="false" outlineLevel="0" collapsed="false">
      <c r="C866" s="5"/>
      <c r="E866" s="5"/>
      <c r="I866" s="5"/>
    </row>
    <row r="867" customFormat="false" ht="15" hidden="false" customHeight="false" outlineLevel="0" collapsed="false">
      <c r="C867" s="5"/>
      <c r="E867" s="5"/>
      <c r="I867" s="5"/>
    </row>
    <row r="868" customFormat="false" ht="15" hidden="false" customHeight="false" outlineLevel="0" collapsed="false">
      <c r="C868" s="5"/>
      <c r="E868" s="5"/>
      <c r="I868" s="5"/>
    </row>
    <row r="869" customFormat="false" ht="15" hidden="false" customHeight="false" outlineLevel="0" collapsed="false">
      <c r="C869" s="5"/>
      <c r="E869" s="5"/>
      <c r="I869" s="5"/>
    </row>
    <row r="870" customFormat="false" ht="15" hidden="false" customHeight="false" outlineLevel="0" collapsed="false">
      <c r="C870" s="5"/>
      <c r="E870" s="5"/>
      <c r="I870" s="5"/>
    </row>
    <row r="871" customFormat="false" ht="15" hidden="false" customHeight="false" outlineLevel="0" collapsed="false">
      <c r="C871" s="5"/>
      <c r="E871" s="5"/>
      <c r="I871" s="5"/>
    </row>
    <row r="872" customFormat="false" ht="15" hidden="false" customHeight="false" outlineLevel="0" collapsed="false">
      <c r="C872" s="5"/>
      <c r="E872" s="5"/>
      <c r="I872" s="5"/>
    </row>
    <row r="873" customFormat="false" ht="15" hidden="false" customHeight="false" outlineLevel="0" collapsed="false">
      <c r="C873" s="5"/>
      <c r="E873" s="5"/>
      <c r="I873" s="5"/>
    </row>
    <row r="874" customFormat="false" ht="15" hidden="false" customHeight="false" outlineLevel="0" collapsed="false">
      <c r="C874" s="5"/>
      <c r="E874" s="5"/>
      <c r="I874" s="5"/>
    </row>
    <row r="875" customFormat="false" ht="15" hidden="false" customHeight="false" outlineLevel="0" collapsed="false">
      <c r="C875" s="5"/>
      <c r="E875" s="5"/>
      <c r="I875" s="5"/>
    </row>
    <row r="876" customFormat="false" ht="15" hidden="false" customHeight="false" outlineLevel="0" collapsed="false">
      <c r="C876" s="5"/>
      <c r="E876" s="5"/>
      <c r="I876" s="5"/>
    </row>
    <row r="877" customFormat="false" ht="15" hidden="false" customHeight="false" outlineLevel="0" collapsed="false">
      <c r="C877" s="5"/>
      <c r="E877" s="5"/>
      <c r="I877" s="5"/>
    </row>
    <row r="878" customFormat="false" ht="15" hidden="false" customHeight="false" outlineLevel="0" collapsed="false">
      <c r="C878" s="5"/>
      <c r="E878" s="5"/>
      <c r="I878" s="5"/>
    </row>
    <row r="879" customFormat="false" ht="15" hidden="false" customHeight="false" outlineLevel="0" collapsed="false">
      <c r="C879" s="5"/>
      <c r="E879" s="5"/>
      <c r="I879" s="5"/>
    </row>
    <row r="880" customFormat="false" ht="15" hidden="false" customHeight="false" outlineLevel="0" collapsed="false">
      <c r="C880" s="5"/>
      <c r="E880" s="5"/>
      <c r="I880" s="5"/>
    </row>
    <row r="881" customFormat="false" ht="15" hidden="false" customHeight="false" outlineLevel="0" collapsed="false">
      <c r="C881" s="5"/>
      <c r="E881" s="5"/>
      <c r="I881" s="5"/>
    </row>
    <row r="882" customFormat="false" ht="15" hidden="false" customHeight="false" outlineLevel="0" collapsed="false">
      <c r="C882" s="5"/>
      <c r="E882" s="5"/>
      <c r="I882" s="5"/>
    </row>
    <row r="883" customFormat="false" ht="15" hidden="false" customHeight="false" outlineLevel="0" collapsed="false">
      <c r="C883" s="5"/>
      <c r="E883" s="5"/>
      <c r="I883" s="5"/>
    </row>
    <row r="884" customFormat="false" ht="15" hidden="false" customHeight="false" outlineLevel="0" collapsed="false">
      <c r="C884" s="5"/>
      <c r="E884" s="5"/>
      <c r="I884" s="5"/>
    </row>
    <row r="885" customFormat="false" ht="15" hidden="false" customHeight="false" outlineLevel="0" collapsed="false">
      <c r="C885" s="5"/>
      <c r="E885" s="5"/>
      <c r="I885" s="5"/>
    </row>
    <row r="886" customFormat="false" ht="15" hidden="false" customHeight="false" outlineLevel="0" collapsed="false">
      <c r="C886" s="5"/>
      <c r="E886" s="5"/>
      <c r="I886" s="5"/>
    </row>
    <row r="887" customFormat="false" ht="15" hidden="false" customHeight="false" outlineLevel="0" collapsed="false">
      <c r="C887" s="5"/>
      <c r="E887" s="5"/>
      <c r="I887" s="5"/>
    </row>
    <row r="888" customFormat="false" ht="15" hidden="false" customHeight="false" outlineLevel="0" collapsed="false">
      <c r="C888" s="5"/>
      <c r="E888" s="5"/>
      <c r="I888" s="5"/>
    </row>
    <row r="889" customFormat="false" ht="15" hidden="false" customHeight="false" outlineLevel="0" collapsed="false">
      <c r="C889" s="5"/>
      <c r="E889" s="5"/>
      <c r="I889" s="5"/>
    </row>
    <row r="890" customFormat="false" ht="15" hidden="false" customHeight="false" outlineLevel="0" collapsed="false">
      <c r="C890" s="5"/>
      <c r="E890" s="5"/>
      <c r="I890" s="5"/>
    </row>
    <row r="891" customFormat="false" ht="15" hidden="false" customHeight="false" outlineLevel="0" collapsed="false">
      <c r="C891" s="5"/>
      <c r="E891" s="5"/>
      <c r="I891" s="5"/>
    </row>
    <row r="892" customFormat="false" ht="15" hidden="false" customHeight="false" outlineLevel="0" collapsed="false">
      <c r="C892" s="5"/>
      <c r="E892" s="5"/>
      <c r="I892" s="5"/>
    </row>
    <row r="893" customFormat="false" ht="15" hidden="false" customHeight="false" outlineLevel="0" collapsed="false">
      <c r="C893" s="5"/>
      <c r="E893" s="5"/>
      <c r="I893" s="5"/>
    </row>
    <row r="894" customFormat="false" ht="15" hidden="false" customHeight="false" outlineLevel="0" collapsed="false">
      <c r="C894" s="5"/>
      <c r="E894" s="5"/>
      <c r="I894" s="5"/>
    </row>
    <row r="895" customFormat="false" ht="15" hidden="false" customHeight="false" outlineLevel="0" collapsed="false">
      <c r="C895" s="5"/>
      <c r="E895" s="5"/>
      <c r="I895" s="5"/>
    </row>
    <row r="896" customFormat="false" ht="15" hidden="false" customHeight="false" outlineLevel="0" collapsed="false">
      <c r="C896" s="5"/>
      <c r="E896" s="5"/>
      <c r="I896" s="5"/>
    </row>
    <row r="897" customFormat="false" ht="15" hidden="false" customHeight="false" outlineLevel="0" collapsed="false">
      <c r="C897" s="5"/>
      <c r="E897" s="5"/>
      <c r="I897" s="5"/>
    </row>
    <row r="898" customFormat="false" ht="15" hidden="false" customHeight="false" outlineLevel="0" collapsed="false">
      <c r="C898" s="5"/>
      <c r="E898" s="5"/>
      <c r="I898" s="5"/>
    </row>
    <row r="899" customFormat="false" ht="15" hidden="false" customHeight="false" outlineLevel="0" collapsed="false">
      <c r="C899" s="5"/>
      <c r="E899" s="5"/>
      <c r="I899" s="5"/>
    </row>
    <row r="900" customFormat="false" ht="15" hidden="false" customHeight="false" outlineLevel="0" collapsed="false">
      <c r="C900" s="5"/>
      <c r="E900" s="5"/>
      <c r="I900" s="5"/>
    </row>
    <row r="901" customFormat="false" ht="15" hidden="false" customHeight="false" outlineLevel="0" collapsed="false">
      <c r="C901" s="5"/>
      <c r="E901" s="5"/>
      <c r="I901" s="5"/>
    </row>
    <row r="902" customFormat="false" ht="15" hidden="false" customHeight="false" outlineLevel="0" collapsed="false">
      <c r="C902" s="5"/>
      <c r="E902" s="5"/>
      <c r="I902" s="5"/>
    </row>
    <row r="903" customFormat="false" ht="15" hidden="false" customHeight="false" outlineLevel="0" collapsed="false">
      <c r="C903" s="5"/>
      <c r="E903" s="5"/>
      <c r="I903" s="5"/>
    </row>
    <row r="904" customFormat="false" ht="15" hidden="false" customHeight="false" outlineLevel="0" collapsed="false">
      <c r="C904" s="5"/>
      <c r="E904" s="5"/>
      <c r="I904" s="5"/>
    </row>
    <row r="905" customFormat="false" ht="15" hidden="false" customHeight="false" outlineLevel="0" collapsed="false">
      <c r="C905" s="5"/>
      <c r="E905" s="5"/>
      <c r="I905" s="5"/>
    </row>
    <row r="906" customFormat="false" ht="15" hidden="false" customHeight="false" outlineLevel="0" collapsed="false">
      <c r="C906" s="5"/>
      <c r="E906" s="5"/>
      <c r="I906" s="5"/>
    </row>
    <row r="907" customFormat="false" ht="15" hidden="false" customHeight="false" outlineLevel="0" collapsed="false">
      <c r="C907" s="5"/>
      <c r="E907" s="5"/>
      <c r="I907" s="5"/>
    </row>
    <row r="908" customFormat="false" ht="15" hidden="false" customHeight="false" outlineLevel="0" collapsed="false">
      <c r="C908" s="5"/>
      <c r="E908" s="5"/>
      <c r="I908" s="5"/>
    </row>
    <row r="909" customFormat="false" ht="15" hidden="false" customHeight="false" outlineLevel="0" collapsed="false">
      <c r="C909" s="5"/>
      <c r="E909" s="5"/>
      <c r="I909" s="5"/>
    </row>
    <row r="910" customFormat="false" ht="15" hidden="false" customHeight="false" outlineLevel="0" collapsed="false">
      <c r="C910" s="5"/>
      <c r="E910" s="5"/>
      <c r="I910" s="5"/>
    </row>
    <row r="911" customFormat="false" ht="15" hidden="false" customHeight="false" outlineLevel="0" collapsed="false">
      <c r="C911" s="5"/>
      <c r="E911" s="5"/>
      <c r="I911" s="5"/>
    </row>
    <row r="912" customFormat="false" ht="15" hidden="false" customHeight="false" outlineLevel="0" collapsed="false">
      <c r="C912" s="5"/>
      <c r="E912" s="5"/>
      <c r="I912" s="5"/>
    </row>
    <row r="913" customFormat="false" ht="15" hidden="false" customHeight="false" outlineLevel="0" collapsed="false">
      <c r="C913" s="5"/>
      <c r="E913" s="5"/>
      <c r="I913" s="5"/>
    </row>
    <row r="914" customFormat="false" ht="15" hidden="false" customHeight="false" outlineLevel="0" collapsed="false">
      <c r="C914" s="5"/>
      <c r="E914" s="5"/>
      <c r="I914" s="5"/>
    </row>
    <row r="915" customFormat="false" ht="15" hidden="false" customHeight="false" outlineLevel="0" collapsed="false">
      <c r="C915" s="5"/>
      <c r="E915" s="5"/>
      <c r="I915" s="5"/>
    </row>
    <row r="916" customFormat="false" ht="15" hidden="false" customHeight="false" outlineLevel="0" collapsed="false">
      <c r="C916" s="5"/>
      <c r="E916" s="5"/>
      <c r="I916" s="5"/>
    </row>
    <row r="917" customFormat="false" ht="15" hidden="false" customHeight="false" outlineLevel="0" collapsed="false">
      <c r="C917" s="5"/>
      <c r="E917" s="5"/>
      <c r="I917" s="5"/>
    </row>
    <row r="918" customFormat="false" ht="15" hidden="false" customHeight="false" outlineLevel="0" collapsed="false">
      <c r="C918" s="5"/>
      <c r="E918" s="5"/>
      <c r="I918" s="5"/>
    </row>
    <row r="919" customFormat="false" ht="15" hidden="false" customHeight="false" outlineLevel="0" collapsed="false">
      <c r="C919" s="5"/>
      <c r="E919" s="5"/>
      <c r="I919" s="5"/>
    </row>
    <row r="920" customFormat="false" ht="15" hidden="false" customHeight="false" outlineLevel="0" collapsed="false">
      <c r="C920" s="5"/>
      <c r="E920" s="5"/>
      <c r="I920" s="5"/>
    </row>
    <row r="921" customFormat="false" ht="15" hidden="false" customHeight="false" outlineLevel="0" collapsed="false">
      <c r="C921" s="5"/>
      <c r="E921" s="5"/>
      <c r="I921" s="5"/>
    </row>
    <row r="922" customFormat="false" ht="15" hidden="false" customHeight="false" outlineLevel="0" collapsed="false">
      <c r="C922" s="5"/>
      <c r="E922" s="5"/>
      <c r="I922" s="5"/>
    </row>
    <row r="923" customFormat="false" ht="15" hidden="false" customHeight="false" outlineLevel="0" collapsed="false">
      <c r="C923" s="5"/>
      <c r="E923" s="5"/>
      <c r="I923" s="5"/>
    </row>
    <row r="924" customFormat="false" ht="15" hidden="false" customHeight="false" outlineLevel="0" collapsed="false">
      <c r="C924" s="5"/>
      <c r="E924" s="5"/>
      <c r="I924" s="5"/>
    </row>
    <row r="925" customFormat="false" ht="15" hidden="false" customHeight="false" outlineLevel="0" collapsed="false">
      <c r="C925" s="5"/>
      <c r="E925" s="5"/>
      <c r="I925" s="5"/>
    </row>
    <row r="926" customFormat="false" ht="15" hidden="false" customHeight="false" outlineLevel="0" collapsed="false">
      <c r="C926" s="5"/>
      <c r="E926" s="5"/>
      <c r="I926" s="5"/>
    </row>
    <row r="927" customFormat="false" ht="15" hidden="false" customHeight="false" outlineLevel="0" collapsed="false">
      <c r="C927" s="5"/>
      <c r="E927" s="5"/>
      <c r="I927" s="5"/>
    </row>
    <row r="928" customFormat="false" ht="15" hidden="false" customHeight="false" outlineLevel="0" collapsed="false">
      <c r="C928" s="5"/>
      <c r="E928" s="5"/>
      <c r="I928" s="5"/>
    </row>
    <row r="929" customFormat="false" ht="15" hidden="false" customHeight="false" outlineLevel="0" collapsed="false">
      <c r="C929" s="5"/>
      <c r="E929" s="5"/>
      <c r="I929" s="5"/>
    </row>
    <row r="930" customFormat="false" ht="15" hidden="false" customHeight="false" outlineLevel="0" collapsed="false">
      <c r="C930" s="5"/>
      <c r="E930" s="5"/>
      <c r="I930" s="5"/>
    </row>
    <row r="931" customFormat="false" ht="15" hidden="false" customHeight="false" outlineLevel="0" collapsed="false">
      <c r="C931" s="5"/>
      <c r="E931" s="5"/>
      <c r="I931" s="5"/>
    </row>
    <row r="932" customFormat="false" ht="15" hidden="false" customHeight="false" outlineLevel="0" collapsed="false">
      <c r="C932" s="5"/>
      <c r="E932" s="5"/>
      <c r="I932" s="5"/>
    </row>
    <row r="933" customFormat="false" ht="15" hidden="false" customHeight="false" outlineLevel="0" collapsed="false">
      <c r="C933" s="5"/>
      <c r="E933" s="5"/>
      <c r="I933" s="5"/>
    </row>
    <row r="934" customFormat="false" ht="15" hidden="false" customHeight="false" outlineLevel="0" collapsed="false">
      <c r="C934" s="5"/>
      <c r="E934" s="5"/>
      <c r="I934" s="5"/>
    </row>
    <row r="935" customFormat="false" ht="15" hidden="false" customHeight="false" outlineLevel="0" collapsed="false">
      <c r="C935" s="5"/>
      <c r="E935" s="5"/>
      <c r="I935" s="5"/>
    </row>
    <row r="936" customFormat="false" ht="15" hidden="false" customHeight="false" outlineLevel="0" collapsed="false">
      <c r="C936" s="5"/>
      <c r="E936" s="5"/>
      <c r="I936" s="5"/>
    </row>
    <row r="937" customFormat="false" ht="15" hidden="false" customHeight="false" outlineLevel="0" collapsed="false">
      <c r="C937" s="5"/>
      <c r="E937" s="5"/>
      <c r="I937" s="5"/>
    </row>
    <row r="938" customFormat="false" ht="15" hidden="false" customHeight="false" outlineLevel="0" collapsed="false">
      <c r="C938" s="5"/>
      <c r="E938" s="5"/>
      <c r="I938" s="5"/>
    </row>
    <row r="939" customFormat="false" ht="15" hidden="false" customHeight="false" outlineLevel="0" collapsed="false">
      <c r="C939" s="5"/>
      <c r="E939" s="5"/>
      <c r="I939" s="5"/>
    </row>
    <row r="940" customFormat="false" ht="15" hidden="false" customHeight="false" outlineLevel="0" collapsed="false">
      <c r="C940" s="5"/>
      <c r="E940" s="5"/>
      <c r="I940" s="5"/>
    </row>
    <row r="941" customFormat="false" ht="15" hidden="false" customHeight="false" outlineLevel="0" collapsed="false">
      <c r="C941" s="5"/>
      <c r="E941" s="5"/>
      <c r="I941" s="5"/>
    </row>
    <row r="942" customFormat="false" ht="15" hidden="false" customHeight="false" outlineLevel="0" collapsed="false">
      <c r="C942" s="5"/>
      <c r="E942" s="5"/>
      <c r="I942" s="5"/>
    </row>
    <row r="943" customFormat="false" ht="15" hidden="false" customHeight="false" outlineLevel="0" collapsed="false">
      <c r="C943" s="5"/>
      <c r="E943" s="5"/>
      <c r="I943" s="5"/>
    </row>
    <row r="944" customFormat="false" ht="15" hidden="false" customHeight="false" outlineLevel="0" collapsed="false">
      <c r="C944" s="5"/>
      <c r="E944" s="5"/>
      <c r="I944" s="5"/>
    </row>
    <row r="945" customFormat="false" ht="15" hidden="false" customHeight="false" outlineLevel="0" collapsed="false">
      <c r="C945" s="5"/>
      <c r="E945" s="5"/>
      <c r="I945" s="5"/>
    </row>
    <row r="946" customFormat="false" ht="15" hidden="false" customHeight="false" outlineLevel="0" collapsed="false">
      <c r="C946" s="5"/>
      <c r="E946" s="5"/>
      <c r="I946" s="5"/>
    </row>
    <row r="947" customFormat="false" ht="15" hidden="false" customHeight="false" outlineLevel="0" collapsed="false">
      <c r="C947" s="5"/>
      <c r="E947" s="5"/>
      <c r="I947" s="5"/>
    </row>
    <row r="948" customFormat="false" ht="15" hidden="false" customHeight="false" outlineLevel="0" collapsed="false">
      <c r="C948" s="5"/>
      <c r="E948" s="5"/>
      <c r="I948" s="5"/>
    </row>
    <row r="949" customFormat="false" ht="15" hidden="false" customHeight="false" outlineLevel="0" collapsed="false">
      <c r="C949" s="5"/>
      <c r="E949" s="5"/>
      <c r="I949" s="5"/>
    </row>
    <row r="950" customFormat="false" ht="15" hidden="false" customHeight="false" outlineLevel="0" collapsed="false">
      <c r="C950" s="5"/>
      <c r="E950" s="5"/>
      <c r="I950" s="5"/>
    </row>
    <row r="951" customFormat="false" ht="15" hidden="false" customHeight="false" outlineLevel="0" collapsed="false">
      <c r="C951" s="5"/>
      <c r="E951" s="5"/>
      <c r="I951" s="5"/>
    </row>
    <row r="952" customFormat="false" ht="15" hidden="false" customHeight="false" outlineLevel="0" collapsed="false">
      <c r="C952" s="5"/>
      <c r="E952" s="5"/>
      <c r="I952" s="5"/>
    </row>
    <row r="953" customFormat="false" ht="15" hidden="false" customHeight="false" outlineLevel="0" collapsed="false">
      <c r="C953" s="5"/>
      <c r="E953" s="5"/>
      <c r="I953" s="5"/>
    </row>
    <row r="954" customFormat="false" ht="15" hidden="false" customHeight="false" outlineLevel="0" collapsed="false">
      <c r="C954" s="5"/>
      <c r="E954" s="5"/>
      <c r="I954" s="5"/>
    </row>
    <row r="955" customFormat="false" ht="15" hidden="false" customHeight="false" outlineLevel="0" collapsed="false">
      <c r="C955" s="5"/>
      <c r="E955" s="5"/>
      <c r="I955" s="5"/>
    </row>
    <row r="956" customFormat="false" ht="15" hidden="false" customHeight="false" outlineLevel="0" collapsed="false">
      <c r="C956" s="5"/>
      <c r="E956" s="5"/>
      <c r="I956" s="5"/>
    </row>
    <row r="957" customFormat="false" ht="15" hidden="false" customHeight="false" outlineLevel="0" collapsed="false">
      <c r="C957" s="5"/>
      <c r="E957" s="5"/>
      <c r="I957" s="5"/>
    </row>
    <row r="958" customFormat="false" ht="15" hidden="false" customHeight="false" outlineLevel="0" collapsed="false">
      <c r="C958" s="5"/>
      <c r="E958" s="5"/>
      <c r="I958" s="5"/>
    </row>
    <row r="959" customFormat="false" ht="15" hidden="false" customHeight="false" outlineLevel="0" collapsed="false">
      <c r="C959" s="5"/>
      <c r="E959" s="5"/>
      <c r="I959" s="5"/>
    </row>
    <row r="960" customFormat="false" ht="15" hidden="false" customHeight="false" outlineLevel="0" collapsed="false">
      <c r="C960" s="5"/>
      <c r="E960" s="5"/>
      <c r="I960" s="5"/>
    </row>
    <row r="961" customFormat="false" ht="15" hidden="false" customHeight="false" outlineLevel="0" collapsed="false">
      <c r="C961" s="5"/>
      <c r="E961" s="5"/>
      <c r="I961" s="5"/>
    </row>
    <row r="962" customFormat="false" ht="15" hidden="false" customHeight="false" outlineLevel="0" collapsed="false">
      <c r="C962" s="5"/>
      <c r="E962" s="5"/>
      <c r="I962" s="5"/>
    </row>
    <row r="963" customFormat="false" ht="15" hidden="false" customHeight="false" outlineLevel="0" collapsed="false">
      <c r="C963" s="5"/>
      <c r="E963" s="5"/>
      <c r="I963" s="5"/>
    </row>
    <row r="964" customFormat="false" ht="15" hidden="false" customHeight="false" outlineLevel="0" collapsed="false">
      <c r="C964" s="5"/>
      <c r="E964" s="5"/>
      <c r="I964" s="5"/>
    </row>
    <row r="965" customFormat="false" ht="15" hidden="false" customHeight="false" outlineLevel="0" collapsed="false">
      <c r="C965" s="5"/>
      <c r="E965" s="5"/>
      <c r="I965" s="5"/>
    </row>
    <row r="966" customFormat="false" ht="15" hidden="false" customHeight="false" outlineLevel="0" collapsed="false">
      <c r="C966" s="5"/>
      <c r="E966" s="5"/>
      <c r="I966" s="5"/>
    </row>
    <row r="967" customFormat="false" ht="15" hidden="false" customHeight="false" outlineLevel="0" collapsed="false">
      <c r="C967" s="5"/>
      <c r="E967" s="5"/>
      <c r="I967" s="5"/>
    </row>
    <row r="968" customFormat="false" ht="15" hidden="false" customHeight="false" outlineLevel="0" collapsed="false">
      <c r="C968" s="5"/>
      <c r="E968" s="5"/>
      <c r="I968" s="5"/>
    </row>
    <row r="969" customFormat="false" ht="15" hidden="false" customHeight="false" outlineLevel="0" collapsed="false">
      <c r="C969" s="5"/>
      <c r="E969" s="5"/>
      <c r="I969" s="5"/>
    </row>
    <row r="970" customFormat="false" ht="15" hidden="false" customHeight="false" outlineLevel="0" collapsed="false">
      <c r="C970" s="5"/>
      <c r="E970" s="5"/>
      <c r="I970" s="5"/>
    </row>
    <row r="971" customFormat="false" ht="15" hidden="false" customHeight="false" outlineLevel="0" collapsed="false">
      <c r="C971" s="5"/>
      <c r="E971" s="5"/>
      <c r="I971" s="5"/>
    </row>
    <row r="972" customFormat="false" ht="15" hidden="false" customHeight="false" outlineLevel="0" collapsed="false">
      <c r="C972" s="5"/>
      <c r="E972" s="5"/>
      <c r="I972" s="5"/>
    </row>
    <row r="973" customFormat="false" ht="15" hidden="false" customHeight="false" outlineLevel="0" collapsed="false">
      <c r="C973" s="5"/>
      <c r="E973" s="5"/>
      <c r="I973" s="5"/>
    </row>
    <row r="974" customFormat="false" ht="15" hidden="false" customHeight="false" outlineLevel="0" collapsed="false">
      <c r="C974" s="5"/>
      <c r="E974" s="5"/>
      <c r="I974" s="5"/>
    </row>
    <row r="975" customFormat="false" ht="15" hidden="false" customHeight="false" outlineLevel="0" collapsed="false">
      <c r="C975" s="5"/>
      <c r="E975" s="5"/>
      <c r="I975" s="5"/>
    </row>
    <row r="976" customFormat="false" ht="15" hidden="false" customHeight="false" outlineLevel="0" collapsed="false">
      <c r="C976" s="5"/>
      <c r="E976" s="5"/>
      <c r="I976" s="5"/>
    </row>
    <row r="977" customFormat="false" ht="15" hidden="false" customHeight="false" outlineLevel="0" collapsed="false">
      <c r="C977" s="5"/>
      <c r="E977" s="5"/>
      <c r="I977" s="5"/>
    </row>
    <row r="978" customFormat="false" ht="15" hidden="false" customHeight="false" outlineLevel="0" collapsed="false">
      <c r="C978" s="5"/>
      <c r="E978" s="5"/>
      <c r="I978" s="5"/>
    </row>
    <row r="979" customFormat="false" ht="15" hidden="false" customHeight="false" outlineLevel="0" collapsed="false">
      <c r="C979" s="5"/>
      <c r="E979" s="5"/>
      <c r="I979" s="5"/>
    </row>
    <row r="980" customFormat="false" ht="15" hidden="false" customHeight="false" outlineLevel="0" collapsed="false">
      <c r="C980" s="5"/>
      <c r="E980" s="5"/>
      <c r="I980" s="5"/>
    </row>
    <row r="981" customFormat="false" ht="15" hidden="false" customHeight="false" outlineLevel="0" collapsed="false">
      <c r="C981" s="5"/>
      <c r="E981" s="5"/>
      <c r="I981" s="5"/>
    </row>
    <row r="982" customFormat="false" ht="15" hidden="false" customHeight="false" outlineLevel="0" collapsed="false">
      <c r="C982" s="5"/>
      <c r="E982" s="5"/>
      <c r="I982" s="5"/>
    </row>
    <row r="983" customFormat="false" ht="15" hidden="false" customHeight="false" outlineLevel="0" collapsed="false">
      <c r="C983" s="5"/>
      <c r="E983" s="5"/>
      <c r="I983" s="5"/>
    </row>
    <row r="984" customFormat="false" ht="15" hidden="false" customHeight="false" outlineLevel="0" collapsed="false">
      <c r="C984" s="5"/>
      <c r="E984" s="5"/>
      <c r="I984" s="5"/>
    </row>
    <row r="985" customFormat="false" ht="15" hidden="false" customHeight="false" outlineLevel="0" collapsed="false">
      <c r="C985" s="5"/>
      <c r="E985" s="5"/>
      <c r="I985" s="5"/>
    </row>
    <row r="986" customFormat="false" ht="15" hidden="false" customHeight="false" outlineLevel="0" collapsed="false">
      <c r="C986" s="5"/>
      <c r="E986" s="5"/>
      <c r="I986" s="5"/>
    </row>
    <row r="987" customFormat="false" ht="15" hidden="false" customHeight="false" outlineLevel="0" collapsed="false">
      <c r="C987" s="5"/>
      <c r="E987" s="5"/>
      <c r="I987" s="5"/>
    </row>
    <row r="988" customFormat="false" ht="15" hidden="false" customHeight="false" outlineLevel="0" collapsed="false">
      <c r="C988" s="5"/>
      <c r="E988" s="5"/>
      <c r="I988" s="5"/>
    </row>
    <row r="989" customFormat="false" ht="15" hidden="false" customHeight="false" outlineLevel="0" collapsed="false">
      <c r="C989" s="5"/>
      <c r="E989" s="5"/>
      <c r="I989" s="5"/>
    </row>
    <row r="990" customFormat="false" ht="15" hidden="false" customHeight="false" outlineLevel="0" collapsed="false">
      <c r="C990" s="5"/>
      <c r="E990" s="5"/>
      <c r="I990" s="5"/>
    </row>
    <row r="991" customFormat="false" ht="15" hidden="false" customHeight="false" outlineLevel="0" collapsed="false">
      <c r="C991" s="5"/>
      <c r="E991" s="5"/>
      <c r="I991" s="5"/>
    </row>
    <row r="992" customFormat="false" ht="15" hidden="false" customHeight="false" outlineLevel="0" collapsed="false">
      <c r="C992" s="5"/>
      <c r="E992" s="5"/>
      <c r="I992" s="5"/>
    </row>
    <row r="993" customFormat="false" ht="15" hidden="false" customHeight="false" outlineLevel="0" collapsed="false">
      <c r="C993" s="5"/>
      <c r="E993" s="5"/>
      <c r="I993" s="5"/>
    </row>
    <row r="994" customFormat="false" ht="15" hidden="false" customHeight="false" outlineLevel="0" collapsed="false">
      <c r="C994" s="5"/>
      <c r="E994" s="5"/>
      <c r="I994" s="5"/>
    </row>
    <row r="995" customFormat="false" ht="15" hidden="false" customHeight="false" outlineLevel="0" collapsed="false">
      <c r="C995" s="5"/>
      <c r="E995" s="5"/>
      <c r="I995" s="5"/>
    </row>
    <row r="996" customFormat="false" ht="15" hidden="false" customHeight="false" outlineLevel="0" collapsed="false">
      <c r="C996" s="5"/>
      <c r="E996" s="5"/>
      <c r="I996" s="5"/>
    </row>
    <row r="997" customFormat="false" ht="15" hidden="false" customHeight="false" outlineLevel="0" collapsed="false">
      <c r="C997" s="5"/>
      <c r="E997" s="5"/>
      <c r="I997" s="5"/>
    </row>
    <row r="998" customFormat="false" ht="15" hidden="false" customHeight="false" outlineLevel="0" collapsed="false">
      <c r="C998" s="5"/>
      <c r="E998" s="5"/>
      <c r="I998" s="5"/>
    </row>
    <row r="999" customFormat="false" ht="15" hidden="false" customHeight="false" outlineLevel="0" collapsed="false">
      <c r="C999" s="5"/>
      <c r="E999" s="5"/>
      <c r="I999" s="5"/>
    </row>
    <row r="1000" customFormat="false" ht="15" hidden="false" customHeight="false" outlineLevel="0" collapsed="false">
      <c r="C1000" s="5"/>
      <c r="E1000" s="5"/>
      <c r="I1000" s="5"/>
    </row>
  </sheetData>
  <dataValidations count="3">
    <dataValidation allowBlank="true" errorStyle="stop" operator="between" showDropDown="false" showErrorMessage="false" showInputMessage="false" sqref="E2:E1000" type="list">
      <formula1>"m²,u.,kg,lt,ml,cajas,paquetes"</formula1>
      <formula2>0</formula2>
    </dataValidation>
    <dataValidation allowBlank="true" errorStyle="stop" operator="between" showDropDown="false" showErrorMessage="false" showInputMessage="false" sqref="I2:I1000" type="list">
      <formula1>"Sí,No"</formula1>
      <formula2>0</formula2>
    </dataValidation>
    <dataValidation allowBlank="true" errorStyle="stop" operator="between" showDropDown="false" showErrorMessage="false" showInputMessage="false" sqref="C2:C1000" type="list">
      <formula1>Categorias!$A$2:$A$1000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50"/>
  </cols>
  <sheetData>
    <row r="1" customFormat="false" ht="30" hidden="false" customHeight="true" outlineLevel="0" collapsed="false">
      <c r="A1" s="4" t="s">
        <v>43</v>
      </c>
      <c r="B1" s="4" t="s">
        <v>23</v>
      </c>
      <c r="C1" s="4" t="s">
        <v>44</v>
      </c>
      <c r="D1" s="4" t="s">
        <v>30</v>
      </c>
      <c r="E1" s="4" t="s">
        <v>45</v>
      </c>
    </row>
    <row r="2" customFormat="false" ht="15" hidden="false" customHeight="false" outlineLevel="0" collapsed="false">
      <c r="A2" s="0" t="s">
        <v>46</v>
      </c>
      <c r="B2" s="0" t="s">
        <v>47</v>
      </c>
      <c r="D2" s="5" t="s">
        <v>37</v>
      </c>
    </row>
    <row r="3" customFormat="false" ht="15" hidden="false" customHeight="false" outlineLevel="0" collapsed="false">
      <c r="A3" s="0" t="s">
        <v>48</v>
      </c>
      <c r="B3" s="0" t="s">
        <v>49</v>
      </c>
      <c r="D3" s="5" t="s">
        <v>37</v>
      </c>
    </row>
    <row r="4" customFormat="false" ht="15" hidden="false" customHeight="false" outlineLevel="0" collapsed="false">
      <c r="A4" s="0" t="s">
        <v>50</v>
      </c>
      <c r="B4" s="0" t="s">
        <v>51</v>
      </c>
      <c r="D4" s="5" t="s">
        <v>37</v>
      </c>
    </row>
    <row r="5" customFormat="false" ht="15" hidden="false" customHeight="false" outlineLevel="0" collapsed="false">
      <c r="A5" s="0" t="s">
        <v>52</v>
      </c>
      <c r="B5" s="0" t="s">
        <v>53</v>
      </c>
      <c r="D5" s="5" t="s">
        <v>37</v>
      </c>
    </row>
    <row r="6" customFormat="false" ht="15" hidden="false" customHeight="false" outlineLevel="0" collapsed="false">
      <c r="A6" s="0" t="s">
        <v>54</v>
      </c>
      <c r="B6" s="0" t="s">
        <v>55</v>
      </c>
      <c r="D6" s="5" t="s">
        <v>37</v>
      </c>
    </row>
    <row r="7" customFormat="false" ht="15" hidden="false" customHeight="false" outlineLevel="0" collapsed="false">
      <c r="D7" s="5"/>
    </row>
    <row r="8" customFormat="false" ht="15" hidden="false" customHeight="false" outlineLevel="0" collapsed="false">
      <c r="D8" s="5"/>
    </row>
    <row r="9" customFormat="false" ht="15" hidden="false" customHeight="false" outlineLevel="0" collapsed="false">
      <c r="D9" s="5"/>
    </row>
    <row r="10" customFormat="false" ht="15" hidden="false" customHeight="false" outlineLevel="0" collapsed="false">
      <c r="D10" s="5"/>
    </row>
    <row r="11" customFormat="false" ht="15" hidden="false" customHeight="false" outlineLevel="0" collapsed="false">
      <c r="D11" s="5"/>
    </row>
    <row r="12" customFormat="false" ht="15" hidden="false" customHeight="false" outlineLevel="0" collapsed="false">
      <c r="D12" s="5"/>
    </row>
    <row r="13" customFormat="false" ht="15" hidden="false" customHeight="false" outlineLevel="0" collapsed="false">
      <c r="D13" s="5"/>
    </row>
    <row r="14" customFormat="false" ht="15" hidden="false" customHeight="false" outlineLevel="0" collapsed="false">
      <c r="D14" s="5"/>
    </row>
    <row r="15" customFormat="false" ht="15" hidden="false" customHeight="false" outlineLevel="0" collapsed="false">
      <c r="D15" s="5"/>
    </row>
    <row r="16" customFormat="false" ht="15" hidden="false" customHeight="false" outlineLevel="0" collapsed="false">
      <c r="D16" s="5"/>
    </row>
    <row r="17" customFormat="false" ht="15" hidden="false" customHeight="false" outlineLevel="0" collapsed="false">
      <c r="D17" s="5"/>
    </row>
    <row r="18" customFormat="false" ht="15" hidden="false" customHeight="false" outlineLevel="0" collapsed="false">
      <c r="D18" s="5"/>
    </row>
    <row r="19" customFormat="false" ht="15" hidden="false" customHeight="false" outlineLevel="0" collapsed="false">
      <c r="D19" s="5"/>
    </row>
    <row r="20" customFormat="false" ht="15" hidden="false" customHeight="false" outlineLevel="0" collapsed="false">
      <c r="D20" s="5"/>
    </row>
    <row r="21" customFormat="false" ht="15" hidden="false" customHeight="false" outlineLevel="0" collapsed="false">
      <c r="D21" s="5"/>
    </row>
    <row r="22" customFormat="false" ht="15" hidden="false" customHeight="false" outlineLevel="0" collapsed="false">
      <c r="D22" s="5"/>
    </row>
    <row r="23" customFormat="false" ht="15" hidden="false" customHeight="false" outlineLevel="0" collapsed="false">
      <c r="D23" s="5"/>
    </row>
    <row r="24" customFormat="false" ht="15" hidden="false" customHeight="false" outlineLevel="0" collapsed="false">
      <c r="D24" s="5"/>
    </row>
    <row r="25" customFormat="false" ht="15" hidden="false" customHeight="false" outlineLevel="0" collapsed="false">
      <c r="D25" s="5"/>
    </row>
    <row r="26" customFormat="false" ht="15" hidden="false" customHeight="false" outlineLevel="0" collapsed="false">
      <c r="D26" s="5"/>
    </row>
    <row r="27" customFormat="false" ht="15" hidden="false" customHeight="false" outlineLevel="0" collapsed="false">
      <c r="D27" s="5"/>
    </row>
    <row r="28" customFormat="false" ht="15" hidden="false" customHeight="false" outlineLevel="0" collapsed="false">
      <c r="D28" s="5"/>
    </row>
    <row r="29" customFormat="false" ht="15" hidden="false" customHeight="false" outlineLevel="0" collapsed="false">
      <c r="D29" s="5"/>
    </row>
    <row r="30" customFormat="false" ht="15" hidden="false" customHeight="false" outlineLevel="0" collapsed="false">
      <c r="D30" s="5"/>
    </row>
    <row r="31" customFormat="false" ht="15" hidden="false" customHeight="false" outlineLevel="0" collapsed="false">
      <c r="D31" s="5"/>
    </row>
    <row r="32" customFormat="false" ht="15" hidden="false" customHeight="false" outlineLevel="0" collapsed="false">
      <c r="D32" s="5"/>
    </row>
    <row r="33" customFormat="false" ht="15" hidden="false" customHeight="false" outlineLevel="0" collapsed="false">
      <c r="D33" s="5"/>
    </row>
    <row r="34" customFormat="false" ht="15" hidden="false" customHeight="false" outlineLevel="0" collapsed="false">
      <c r="D34" s="5"/>
    </row>
    <row r="35" customFormat="false" ht="15" hidden="false" customHeight="false" outlineLevel="0" collapsed="false">
      <c r="D35" s="5"/>
    </row>
    <row r="36" customFormat="false" ht="15" hidden="false" customHeight="false" outlineLevel="0" collapsed="false">
      <c r="D36" s="5"/>
    </row>
    <row r="37" customFormat="false" ht="15" hidden="false" customHeight="false" outlineLevel="0" collapsed="false">
      <c r="D37" s="5"/>
    </row>
    <row r="38" customFormat="false" ht="15" hidden="false" customHeight="false" outlineLevel="0" collapsed="false">
      <c r="D38" s="5"/>
    </row>
    <row r="39" customFormat="false" ht="15" hidden="false" customHeight="false" outlineLevel="0" collapsed="false">
      <c r="D39" s="5"/>
    </row>
    <row r="40" customFormat="false" ht="15" hidden="false" customHeight="false" outlineLevel="0" collapsed="false">
      <c r="D40" s="5"/>
    </row>
    <row r="41" customFormat="false" ht="15" hidden="false" customHeight="false" outlineLevel="0" collapsed="false">
      <c r="D41" s="5"/>
    </row>
    <row r="42" customFormat="false" ht="15" hidden="false" customHeight="false" outlineLevel="0" collapsed="false">
      <c r="D42" s="5"/>
    </row>
    <row r="43" customFormat="false" ht="15" hidden="false" customHeight="false" outlineLevel="0" collapsed="false">
      <c r="D43" s="5"/>
    </row>
    <row r="44" customFormat="false" ht="15" hidden="false" customHeight="false" outlineLevel="0" collapsed="false">
      <c r="D44" s="5"/>
    </row>
    <row r="45" customFormat="false" ht="15" hidden="false" customHeight="false" outlineLevel="0" collapsed="false">
      <c r="D45" s="5"/>
    </row>
    <row r="46" customFormat="false" ht="15" hidden="false" customHeight="false" outlineLevel="0" collapsed="false">
      <c r="D46" s="5"/>
    </row>
    <row r="47" customFormat="false" ht="15" hidden="false" customHeight="false" outlineLevel="0" collapsed="false">
      <c r="D47" s="5"/>
    </row>
    <row r="48" customFormat="false" ht="15" hidden="false" customHeight="false" outlineLevel="0" collapsed="false">
      <c r="D48" s="5"/>
    </row>
    <row r="49" customFormat="false" ht="15" hidden="false" customHeight="false" outlineLevel="0" collapsed="false">
      <c r="D49" s="5"/>
    </row>
    <row r="50" customFormat="false" ht="15" hidden="false" customHeight="false" outlineLevel="0" collapsed="false">
      <c r="D50" s="5"/>
    </row>
    <row r="51" customFormat="false" ht="15" hidden="false" customHeight="false" outlineLevel="0" collapsed="false">
      <c r="D51" s="5"/>
    </row>
    <row r="52" customFormat="false" ht="15" hidden="false" customHeight="false" outlineLevel="0" collapsed="false">
      <c r="D52" s="5"/>
    </row>
    <row r="53" customFormat="false" ht="15" hidden="false" customHeight="false" outlineLevel="0" collapsed="false">
      <c r="D53" s="5"/>
    </row>
    <row r="54" customFormat="false" ht="15" hidden="false" customHeight="false" outlineLevel="0" collapsed="false">
      <c r="D54" s="5"/>
    </row>
    <row r="55" customFormat="false" ht="15" hidden="false" customHeight="false" outlineLevel="0" collapsed="false">
      <c r="D55" s="5"/>
    </row>
    <row r="56" customFormat="false" ht="15" hidden="false" customHeight="false" outlineLevel="0" collapsed="false">
      <c r="D56" s="5"/>
    </row>
    <row r="57" customFormat="false" ht="15" hidden="false" customHeight="false" outlineLevel="0" collapsed="false">
      <c r="D57" s="5"/>
    </row>
    <row r="58" customFormat="false" ht="15" hidden="false" customHeight="false" outlineLevel="0" collapsed="false">
      <c r="D58" s="5"/>
    </row>
    <row r="59" customFormat="false" ht="15" hidden="false" customHeight="false" outlineLevel="0" collapsed="false">
      <c r="D59" s="5"/>
    </row>
    <row r="60" customFormat="false" ht="15" hidden="false" customHeight="false" outlineLevel="0" collapsed="false">
      <c r="D60" s="5"/>
    </row>
    <row r="61" customFormat="false" ht="15" hidden="false" customHeight="false" outlineLevel="0" collapsed="false">
      <c r="D61" s="5"/>
    </row>
    <row r="62" customFormat="false" ht="15" hidden="false" customHeight="false" outlineLevel="0" collapsed="false">
      <c r="D62" s="5"/>
    </row>
    <row r="63" customFormat="false" ht="15" hidden="false" customHeight="false" outlineLevel="0" collapsed="false">
      <c r="D63" s="5"/>
    </row>
    <row r="64" customFormat="false" ht="15" hidden="false" customHeight="false" outlineLevel="0" collapsed="false">
      <c r="D64" s="5"/>
    </row>
    <row r="65" customFormat="false" ht="15" hidden="false" customHeight="false" outlineLevel="0" collapsed="false">
      <c r="D65" s="5"/>
    </row>
    <row r="66" customFormat="false" ht="15" hidden="false" customHeight="false" outlineLevel="0" collapsed="false">
      <c r="D66" s="5"/>
    </row>
    <row r="67" customFormat="false" ht="15" hidden="false" customHeight="false" outlineLevel="0" collapsed="false">
      <c r="D67" s="5"/>
    </row>
    <row r="68" customFormat="false" ht="15" hidden="false" customHeight="false" outlineLevel="0" collapsed="false">
      <c r="D68" s="5"/>
    </row>
    <row r="69" customFormat="false" ht="15" hidden="false" customHeight="false" outlineLevel="0" collapsed="false">
      <c r="D69" s="5"/>
    </row>
    <row r="70" customFormat="false" ht="15" hidden="false" customHeight="false" outlineLevel="0" collapsed="false">
      <c r="D70" s="5"/>
    </row>
    <row r="71" customFormat="false" ht="15" hidden="false" customHeight="false" outlineLevel="0" collapsed="false">
      <c r="D71" s="5"/>
    </row>
    <row r="72" customFormat="false" ht="15" hidden="false" customHeight="false" outlineLevel="0" collapsed="false">
      <c r="D72" s="5"/>
    </row>
    <row r="73" customFormat="false" ht="15" hidden="false" customHeight="false" outlineLevel="0" collapsed="false">
      <c r="D73" s="5"/>
    </row>
    <row r="74" customFormat="false" ht="15" hidden="false" customHeight="false" outlineLevel="0" collapsed="false">
      <c r="D74" s="5"/>
    </row>
    <row r="75" customFormat="false" ht="15" hidden="false" customHeight="false" outlineLevel="0" collapsed="false">
      <c r="D75" s="5"/>
    </row>
    <row r="76" customFormat="false" ht="15" hidden="false" customHeight="false" outlineLevel="0" collapsed="false">
      <c r="D76" s="5"/>
    </row>
    <row r="77" customFormat="false" ht="15" hidden="false" customHeight="false" outlineLevel="0" collapsed="false">
      <c r="D77" s="5"/>
    </row>
    <row r="78" customFormat="false" ht="15" hidden="false" customHeight="false" outlineLevel="0" collapsed="false">
      <c r="D78" s="5"/>
    </row>
    <row r="79" customFormat="false" ht="15" hidden="false" customHeight="false" outlineLevel="0" collapsed="false">
      <c r="D79" s="5"/>
    </row>
    <row r="80" customFormat="false" ht="15" hidden="false" customHeight="false" outlineLevel="0" collapsed="false">
      <c r="D80" s="5"/>
    </row>
    <row r="81" customFormat="false" ht="15" hidden="false" customHeight="false" outlineLevel="0" collapsed="false">
      <c r="D81" s="5"/>
    </row>
    <row r="82" customFormat="false" ht="15" hidden="false" customHeight="false" outlineLevel="0" collapsed="false">
      <c r="D82" s="5"/>
    </row>
    <row r="83" customFormat="false" ht="15" hidden="false" customHeight="false" outlineLevel="0" collapsed="false">
      <c r="D83" s="5"/>
    </row>
    <row r="84" customFormat="false" ht="15" hidden="false" customHeight="false" outlineLevel="0" collapsed="false">
      <c r="D84" s="5"/>
    </row>
    <row r="85" customFormat="false" ht="15" hidden="false" customHeight="false" outlineLevel="0" collapsed="false">
      <c r="D85" s="5"/>
    </row>
    <row r="86" customFormat="false" ht="15" hidden="false" customHeight="false" outlineLevel="0" collapsed="false">
      <c r="D86" s="5"/>
    </row>
    <row r="87" customFormat="false" ht="15" hidden="false" customHeight="false" outlineLevel="0" collapsed="false">
      <c r="D87" s="5"/>
    </row>
    <row r="88" customFormat="false" ht="15" hidden="false" customHeight="false" outlineLevel="0" collapsed="false">
      <c r="D88" s="5"/>
    </row>
    <row r="89" customFormat="false" ht="15" hidden="false" customHeight="false" outlineLevel="0" collapsed="false">
      <c r="D89" s="5"/>
    </row>
    <row r="90" customFormat="false" ht="15" hidden="false" customHeight="false" outlineLevel="0" collapsed="false">
      <c r="D90" s="5"/>
    </row>
    <row r="91" customFormat="false" ht="15" hidden="false" customHeight="false" outlineLevel="0" collapsed="false">
      <c r="D91" s="5"/>
    </row>
    <row r="92" customFormat="false" ht="15" hidden="false" customHeight="false" outlineLevel="0" collapsed="false">
      <c r="D92" s="5"/>
    </row>
    <row r="93" customFormat="false" ht="15" hidden="false" customHeight="false" outlineLevel="0" collapsed="false">
      <c r="D93" s="5"/>
    </row>
    <row r="94" customFormat="false" ht="15" hidden="false" customHeight="false" outlineLevel="0" collapsed="false">
      <c r="D94" s="5"/>
    </row>
    <row r="95" customFormat="false" ht="15" hidden="false" customHeight="false" outlineLevel="0" collapsed="false">
      <c r="D95" s="5"/>
    </row>
    <row r="96" customFormat="false" ht="15" hidden="false" customHeight="false" outlineLevel="0" collapsed="false">
      <c r="D96" s="5"/>
    </row>
    <row r="97" customFormat="false" ht="15" hidden="false" customHeight="false" outlineLevel="0" collapsed="false">
      <c r="D97" s="5"/>
    </row>
    <row r="98" customFormat="false" ht="15" hidden="false" customHeight="false" outlineLevel="0" collapsed="false">
      <c r="D98" s="5"/>
    </row>
    <row r="99" customFormat="false" ht="15" hidden="false" customHeight="false" outlineLevel="0" collapsed="false">
      <c r="D99" s="5"/>
    </row>
    <row r="100" customFormat="false" ht="15" hidden="false" customHeight="false" outlineLevel="0" collapsed="false">
      <c r="D100" s="5"/>
    </row>
    <row r="101" customFormat="false" ht="15" hidden="false" customHeight="false" outlineLevel="0" collapsed="false">
      <c r="D101" s="5"/>
    </row>
    <row r="102" customFormat="false" ht="15" hidden="false" customHeight="false" outlineLevel="0" collapsed="false">
      <c r="D102" s="5"/>
    </row>
    <row r="103" customFormat="false" ht="15" hidden="false" customHeight="false" outlineLevel="0" collapsed="false">
      <c r="D103" s="5"/>
    </row>
    <row r="104" customFormat="false" ht="15" hidden="false" customHeight="false" outlineLevel="0" collapsed="false">
      <c r="D104" s="5"/>
    </row>
    <row r="105" customFormat="false" ht="15" hidden="false" customHeight="false" outlineLevel="0" collapsed="false">
      <c r="D105" s="5"/>
    </row>
    <row r="106" customFormat="false" ht="15" hidden="false" customHeight="false" outlineLevel="0" collapsed="false">
      <c r="D106" s="5"/>
    </row>
    <row r="107" customFormat="false" ht="15" hidden="false" customHeight="false" outlineLevel="0" collapsed="false">
      <c r="D107" s="5"/>
    </row>
    <row r="108" customFormat="false" ht="15" hidden="false" customHeight="false" outlineLevel="0" collapsed="false">
      <c r="D108" s="5"/>
    </row>
    <row r="109" customFormat="false" ht="15" hidden="false" customHeight="false" outlineLevel="0" collapsed="false">
      <c r="D109" s="5"/>
    </row>
    <row r="110" customFormat="false" ht="15" hidden="false" customHeight="false" outlineLevel="0" collapsed="false">
      <c r="D110" s="5"/>
    </row>
    <row r="111" customFormat="false" ht="15" hidden="false" customHeight="false" outlineLevel="0" collapsed="false">
      <c r="D111" s="5"/>
    </row>
    <row r="112" customFormat="false" ht="15" hidden="false" customHeight="false" outlineLevel="0" collapsed="false">
      <c r="D112" s="5"/>
    </row>
    <row r="113" customFormat="false" ht="15" hidden="false" customHeight="false" outlineLevel="0" collapsed="false">
      <c r="D113" s="5"/>
    </row>
    <row r="114" customFormat="false" ht="15" hidden="false" customHeight="false" outlineLevel="0" collapsed="false">
      <c r="D114" s="5"/>
    </row>
    <row r="115" customFormat="false" ht="15" hidden="false" customHeight="false" outlineLevel="0" collapsed="false">
      <c r="D115" s="5"/>
    </row>
    <row r="116" customFormat="false" ht="15" hidden="false" customHeight="false" outlineLevel="0" collapsed="false">
      <c r="D116" s="5"/>
    </row>
    <row r="117" customFormat="false" ht="15" hidden="false" customHeight="false" outlineLevel="0" collapsed="false">
      <c r="D117" s="5"/>
    </row>
    <row r="118" customFormat="false" ht="15" hidden="false" customHeight="false" outlineLevel="0" collapsed="false">
      <c r="D118" s="5"/>
    </row>
    <row r="119" customFormat="false" ht="15" hidden="false" customHeight="false" outlineLevel="0" collapsed="false">
      <c r="D119" s="5"/>
    </row>
    <row r="120" customFormat="false" ht="15" hidden="false" customHeight="false" outlineLevel="0" collapsed="false">
      <c r="D120" s="5"/>
    </row>
    <row r="121" customFormat="false" ht="15" hidden="false" customHeight="false" outlineLevel="0" collapsed="false">
      <c r="D121" s="5"/>
    </row>
    <row r="122" customFormat="false" ht="15" hidden="false" customHeight="false" outlineLevel="0" collapsed="false">
      <c r="D122" s="5"/>
    </row>
    <row r="123" customFormat="false" ht="15" hidden="false" customHeight="false" outlineLevel="0" collapsed="false">
      <c r="D123" s="5"/>
    </row>
    <row r="124" customFormat="false" ht="15" hidden="false" customHeight="false" outlineLevel="0" collapsed="false">
      <c r="D124" s="5"/>
    </row>
    <row r="125" customFormat="false" ht="15" hidden="false" customHeight="false" outlineLevel="0" collapsed="false">
      <c r="D125" s="5"/>
    </row>
    <row r="126" customFormat="false" ht="15" hidden="false" customHeight="false" outlineLevel="0" collapsed="false">
      <c r="D126" s="5"/>
    </row>
    <row r="127" customFormat="false" ht="15" hidden="false" customHeight="false" outlineLevel="0" collapsed="false">
      <c r="D127" s="5"/>
    </row>
    <row r="128" customFormat="false" ht="15" hidden="false" customHeight="false" outlineLevel="0" collapsed="false">
      <c r="D128" s="5"/>
    </row>
    <row r="129" customFormat="false" ht="15" hidden="false" customHeight="false" outlineLevel="0" collapsed="false">
      <c r="D129" s="5"/>
    </row>
    <row r="130" customFormat="false" ht="15" hidden="false" customHeight="false" outlineLevel="0" collapsed="false">
      <c r="D130" s="5"/>
    </row>
    <row r="131" customFormat="false" ht="15" hidden="false" customHeight="false" outlineLevel="0" collapsed="false">
      <c r="D131" s="5"/>
    </row>
    <row r="132" customFormat="false" ht="15" hidden="false" customHeight="false" outlineLevel="0" collapsed="false">
      <c r="D132" s="5"/>
    </row>
    <row r="133" customFormat="false" ht="15" hidden="false" customHeight="false" outlineLevel="0" collapsed="false">
      <c r="D133" s="5"/>
    </row>
    <row r="134" customFormat="false" ht="15" hidden="false" customHeight="false" outlineLevel="0" collapsed="false">
      <c r="D134" s="5"/>
    </row>
    <row r="135" customFormat="false" ht="15" hidden="false" customHeight="false" outlineLevel="0" collapsed="false">
      <c r="D135" s="5"/>
    </row>
    <row r="136" customFormat="false" ht="15" hidden="false" customHeight="false" outlineLevel="0" collapsed="false">
      <c r="D136" s="5"/>
    </row>
    <row r="137" customFormat="false" ht="15" hidden="false" customHeight="false" outlineLevel="0" collapsed="false">
      <c r="D137" s="5"/>
    </row>
    <row r="138" customFormat="false" ht="15" hidden="false" customHeight="false" outlineLevel="0" collapsed="false">
      <c r="D138" s="5"/>
    </row>
    <row r="139" customFormat="false" ht="15" hidden="false" customHeight="false" outlineLevel="0" collapsed="false">
      <c r="D139" s="5"/>
    </row>
    <row r="140" customFormat="false" ht="15" hidden="false" customHeight="false" outlineLevel="0" collapsed="false">
      <c r="D140" s="5"/>
    </row>
    <row r="141" customFormat="false" ht="15" hidden="false" customHeight="false" outlineLevel="0" collapsed="false">
      <c r="D141" s="5"/>
    </row>
    <row r="142" customFormat="false" ht="15" hidden="false" customHeight="false" outlineLevel="0" collapsed="false">
      <c r="D142" s="5"/>
    </row>
    <row r="143" customFormat="false" ht="15" hidden="false" customHeight="false" outlineLevel="0" collapsed="false">
      <c r="D143" s="5"/>
    </row>
    <row r="144" customFormat="false" ht="15" hidden="false" customHeight="false" outlineLevel="0" collapsed="false">
      <c r="D144" s="5"/>
    </row>
    <row r="145" customFormat="false" ht="15" hidden="false" customHeight="false" outlineLevel="0" collapsed="false">
      <c r="D145" s="5"/>
    </row>
    <row r="146" customFormat="false" ht="15" hidden="false" customHeight="false" outlineLevel="0" collapsed="false">
      <c r="D146" s="5"/>
    </row>
    <row r="147" customFormat="false" ht="15" hidden="false" customHeight="false" outlineLevel="0" collapsed="false">
      <c r="D147" s="5"/>
    </row>
    <row r="148" customFormat="false" ht="15" hidden="false" customHeight="false" outlineLevel="0" collapsed="false">
      <c r="D148" s="5"/>
    </row>
    <row r="149" customFormat="false" ht="15" hidden="false" customHeight="false" outlineLevel="0" collapsed="false">
      <c r="D149" s="5"/>
    </row>
    <row r="150" customFormat="false" ht="15" hidden="false" customHeight="false" outlineLevel="0" collapsed="false">
      <c r="D150" s="5"/>
    </row>
    <row r="151" customFormat="false" ht="15" hidden="false" customHeight="false" outlineLevel="0" collapsed="false">
      <c r="D151" s="5"/>
    </row>
    <row r="152" customFormat="false" ht="15" hidden="false" customHeight="false" outlineLevel="0" collapsed="false">
      <c r="D152" s="5"/>
    </row>
    <row r="153" customFormat="false" ht="15" hidden="false" customHeight="false" outlineLevel="0" collapsed="false">
      <c r="D153" s="5"/>
    </row>
    <row r="154" customFormat="false" ht="15" hidden="false" customHeight="false" outlineLevel="0" collapsed="false">
      <c r="D154" s="5"/>
    </row>
    <row r="155" customFormat="false" ht="15" hidden="false" customHeight="false" outlineLevel="0" collapsed="false">
      <c r="D155" s="5"/>
    </row>
    <row r="156" customFormat="false" ht="15" hidden="false" customHeight="false" outlineLevel="0" collapsed="false">
      <c r="D156" s="5"/>
    </row>
    <row r="157" customFormat="false" ht="15" hidden="false" customHeight="false" outlineLevel="0" collapsed="false">
      <c r="D157" s="5"/>
    </row>
    <row r="158" customFormat="false" ht="15" hidden="false" customHeight="false" outlineLevel="0" collapsed="false">
      <c r="D158" s="5"/>
    </row>
    <row r="159" customFormat="false" ht="15" hidden="false" customHeight="false" outlineLevel="0" collapsed="false">
      <c r="D159" s="5"/>
    </row>
    <row r="160" customFormat="false" ht="15" hidden="false" customHeight="false" outlineLevel="0" collapsed="false">
      <c r="D160" s="5"/>
    </row>
    <row r="161" customFormat="false" ht="15" hidden="false" customHeight="false" outlineLevel="0" collapsed="false">
      <c r="D161" s="5"/>
    </row>
    <row r="162" customFormat="false" ht="15" hidden="false" customHeight="false" outlineLevel="0" collapsed="false">
      <c r="D162" s="5"/>
    </row>
    <row r="163" customFormat="false" ht="15" hidden="false" customHeight="false" outlineLevel="0" collapsed="false">
      <c r="D163" s="5"/>
    </row>
    <row r="164" customFormat="false" ht="15" hidden="false" customHeight="false" outlineLevel="0" collapsed="false">
      <c r="D164" s="5"/>
    </row>
    <row r="165" customFormat="false" ht="15" hidden="false" customHeight="false" outlineLevel="0" collapsed="false">
      <c r="D165" s="5"/>
    </row>
    <row r="166" customFormat="false" ht="15" hidden="false" customHeight="false" outlineLevel="0" collapsed="false">
      <c r="D166" s="5"/>
    </row>
    <row r="167" customFormat="false" ht="15" hidden="false" customHeight="false" outlineLevel="0" collapsed="false">
      <c r="D167" s="5"/>
    </row>
    <row r="168" customFormat="false" ht="15" hidden="false" customHeight="false" outlineLevel="0" collapsed="false">
      <c r="D168" s="5"/>
    </row>
    <row r="169" customFormat="false" ht="15" hidden="false" customHeight="false" outlineLevel="0" collapsed="false">
      <c r="D169" s="5"/>
    </row>
    <row r="170" customFormat="false" ht="15" hidden="false" customHeight="false" outlineLevel="0" collapsed="false">
      <c r="D170" s="5"/>
    </row>
    <row r="171" customFormat="false" ht="15" hidden="false" customHeight="false" outlineLevel="0" collapsed="false">
      <c r="D171" s="5"/>
    </row>
    <row r="172" customFormat="false" ht="15" hidden="false" customHeight="false" outlineLevel="0" collapsed="false">
      <c r="D172" s="5"/>
    </row>
    <row r="173" customFormat="false" ht="15" hidden="false" customHeight="false" outlineLevel="0" collapsed="false">
      <c r="D173" s="5"/>
    </row>
    <row r="174" customFormat="false" ht="15" hidden="false" customHeight="false" outlineLevel="0" collapsed="false">
      <c r="D174" s="5"/>
    </row>
    <row r="175" customFormat="false" ht="15" hidden="false" customHeight="false" outlineLevel="0" collapsed="false">
      <c r="D175" s="5"/>
    </row>
    <row r="176" customFormat="false" ht="15" hidden="false" customHeight="false" outlineLevel="0" collapsed="false">
      <c r="D176" s="5"/>
    </row>
    <row r="177" customFormat="false" ht="15" hidden="false" customHeight="false" outlineLevel="0" collapsed="false">
      <c r="D177" s="5"/>
    </row>
    <row r="178" customFormat="false" ht="15" hidden="false" customHeight="false" outlineLevel="0" collapsed="false">
      <c r="D178" s="5"/>
    </row>
    <row r="179" customFormat="false" ht="15" hidden="false" customHeight="false" outlineLevel="0" collapsed="false">
      <c r="D179" s="5"/>
    </row>
    <row r="180" customFormat="false" ht="15" hidden="false" customHeight="false" outlineLevel="0" collapsed="false">
      <c r="D180" s="5"/>
    </row>
    <row r="181" customFormat="false" ht="15" hidden="false" customHeight="false" outlineLevel="0" collapsed="false">
      <c r="D181" s="5"/>
    </row>
    <row r="182" customFormat="false" ht="15" hidden="false" customHeight="false" outlineLevel="0" collapsed="false">
      <c r="D182" s="5"/>
    </row>
    <row r="183" customFormat="false" ht="15" hidden="false" customHeight="false" outlineLevel="0" collapsed="false">
      <c r="D183" s="5"/>
    </row>
    <row r="184" customFormat="false" ht="15" hidden="false" customHeight="false" outlineLevel="0" collapsed="false">
      <c r="D184" s="5"/>
    </row>
    <row r="185" customFormat="false" ht="15" hidden="false" customHeight="false" outlineLevel="0" collapsed="false">
      <c r="D185" s="5"/>
    </row>
    <row r="186" customFormat="false" ht="15" hidden="false" customHeight="false" outlineLevel="0" collapsed="false">
      <c r="D186" s="5"/>
    </row>
    <row r="187" customFormat="false" ht="15" hidden="false" customHeight="false" outlineLevel="0" collapsed="false">
      <c r="D187" s="5"/>
    </row>
    <row r="188" customFormat="false" ht="15" hidden="false" customHeight="false" outlineLevel="0" collapsed="false">
      <c r="D188" s="5"/>
    </row>
    <row r="189" customFormat="false" ht="15" hidden="false" customHeight="false" outlineLevel="0" collapsed="false">
      <c r="D189" s="5"/>
    </row>
    <row r="190" customFormat="false" ht="15" hidden="false" customHeight="false" outlineLevel="0" collapsed="false">
      <c r="D190" s="5"/>
    </row>
    <row r="191" customFormat="false" ht="15" hidden="false" customHeight="false" outlineLevel="0" collapsed="false">
      <c r="D191" s="5"/>
    </row>
    <row r="192" customFormat="false" ht="15" hidden="false" customHeight="false" outlineLevel="0" collapsed="false">
      <c r="D192" s="5"/>
    </row>
    <row r="193" customFormat="false" ht="15" hidden="false" customHeight="false" outlineLevel="0" collapsed="false">
      <c r="D193" s="5"/>
    </row>
    <row r="194" customFormat="false" ht="15" hidden="false" customHeight="false" outlineLevel="0" collapsed="false">
      <c r="D194" s="5"/>
    </row>
    <row r="195" customFormat="false" ht="15" hidden="false" customHeight="false" outlineLevel="0" collapsed="false">
      <c r="D195" s="5"/>
    </row>
    <row r="196" customFormat="false" ht="15" hidden="false" customHeight="false" outlineLevel="0" collapsed="false">
      <c r="D196" s="5"/>
    </row>
    <row r="197" customFormat="false" ht="15" hidden="false" customHeight="false" outlineLevel="0" collapsed="false">
      <c r="D197" s="5"/>
    </row>
    <row r="198" customFormat="false" ht="15" hidden="false" customHeight="false" outlineLevel="0" collapsed="false">
      <c r="D198" s="5"/>
    </row>
    <row r="199" customFormat="false" ht="15" hidden="false" customHeight="false" outlineLevel="0" collapsed="false">
      <c r="D199" s="5"/>
    </row>
    <row r="200" customFormat="false" ht="15" hidden="false" customHeight="false" outlineLevel="0" collapsed="false">
      <c r="D200" s="5"/>
    </row>
    <row r="201" customFormat="false" ht="15" hidden="false" customHeight="false" outlineLevel="0" collapsed="false">
      <c r="D201" s="5"/>
    </row>
    <row r="202" customFormat="false" ht="15" hidden="false" customHeight="false" outlineLevel="0" collapsed="false">
      <c r="D202" s="5"/>
    </row>
    <row r="203" customFormat="false" ht="15" hidden="false" customHeight="false" outlineLevel="0" collapsed="false">
      <c r="D203" s="5"/>
    </row>
    <row r="204" customFormat="false" ht="15" hidden="false" customHeight="false" outlineLevel="0" collapsed="false">
      <c r="D204" s="5"/>
    </row>
    <row r="205" customFormat="false" ht="15" hidden="false" customHeight="false" outlineLevel="0" collapsed="false">
      <c r="D205" s="5"/>
    </row>
    <row r="206" customFormat="false" ht="15" hidden="false" customHeight="false" outlineLevel="0" collapsed="false">
      <c r="D206" s="5"/>
    </row>
    <row r="207" customFormat="false" ht="15" hidden="false" customHeight="false" outlineLevel="0" collapsed="false">
      <c r="D207" s="5"/>
    </row>
    <row r="208" customFormat="false" ht="15" hidden="false" customHeight="false" outlineLevel="0" collapsed="false">
      <c r="D208" s="5"/>
    </row>
    <row r="209" customFormat="false" ht="15" hidden="false" customHeight="false" outlineLevel="0" collapsed="false">
      <c r="D209" s="5"/>
    </row>
    <row r="210" customFormat="false" ht="15" hidden="false" customHeight="false" outlineLevel="0" collapsed="false">
      <c r="D210" s="5"/>
    </row>
    <row r="211" customFormat="false" ht="15" hidden="false" customHeight="false" outlineLevel="0" collapsed="false">
      <c r="D211" s="5"/>
    </row>
    <row r="212" customFormat="false" ht="15" hidden="false" customHeight="false" outlineLevel="0" collapsed="false">
      <c r="D212" s="5"/>
    </row>
    <row r="213" customFormat="false" ht="15" hidden="false" customHeight="false" outlineLevel="0" collapsed="false">
      <c r="D213" s="5"/>
    </row>
    <row r="214" customFormat="false" ht="15" hidden="false" customHeight="false" outlineLevel="0" collapsed="false">
      <c r="D214" s="5"/>
    </row>
    <row r="215" customFormat="false" ht="15" hidden="false" customHeight="false" outlineLevel="0" collapsed="false">
      <c r="D215" s="5"/>
    </row>
    <row r="216" customFormat="false" ht="15" hidden="false" customHeight="false" outlineLevel="0" collapsed="false">
      <c r="D216" s="5"/>
    </row>
    <row r="217" customFormat="false" ht="15" hidden="false" customHeight="false" outlineLevel="0" collapsed="false">
      <c r="D217" s="5"/>
    </row>
    <row r="218" customFormat="false" ht="15" hidden="false" customHeight="false" outlineLevel="0" collapsed="false">
      <c r="D218" s="5"/>
    </row>
    <row r="219" customFormat="false" ht="15" hidden="false" customHeight="false" outlineLevel="0" collapsed="false">
      <c r="D219" s="5"/>
    </row>
    <row r="220" customFormat="false" ht="15" hidden="false" customHeight="false" outlineLevel="0" collapsed="false">
      <c r="D220" s="5"/>
    </row>
    <row r="221" customFormat="false" ht="15" hidden="false" customHeight="false" outlineLevel="0" collapsed="false">
      <c r="D221" s="5"/>
    </row>
    <row r="222" customFormat="false" ht="15" hidden="false" customHeight="false" outlineLevel="0" collapsed="false">
      <c r="D222" s="5"/>
    </row>
    <row r="223" customFormat="false" ht="15" hidden="false" customHeight="false" outlineLevel="0" collapsed="false">
      <c r="D223" s="5"/>
    </row>
    <row r="224" customFormat="false" ht="15" hidden="false" customHeight="false" outlineLevel="0" collapsed="false">
      <c r="D224" s="5"/>
    </row>
    <row r="225" customFormat="false" ht="15" hidden="false" customHeight="false" outlineLevel="0" collapsed="false">
      <c r="D225" s="5"/>
    </row>
    <row r="226" customFormat="false" ht="15" hidden="false" customHeight="false" outlineLevel="0" collapsed="false">
      <c r="D226" s="5"/>
    </row>
    <row r="227" customFormat="false" ht="15" hidden="false" customHeight="false" outlineLevel="0" collapsed="false">
      <c r="D227" s="5"/>
    </row>
    <row r="228" customFormat="false" ht="15" hidden="false" customHeight="false" outlineLevel="0" collapsed="false">
      <c r="D228" s="5"/>
    </row>
    <row r="229" customFormat="false" ht="15" hidden="false" customHeight="false" outlineLevel="0" collapsed="false">
      <c r="D229" s="5"/>
    </row>
    <row r="230" customFormat="false" ht="15" hidden="false" customHeight="false" outlineLevel="0" collapsed="false">
      <c r="D230" s="5"/>
    </row>
    <row r="231" customFormat="false" ht="15" hidden="false" customHeight="false" outlineLevel="0" collapsed="false">
      <c r="D231" s="5"/>
    </row>
    <row r="232" customFormat="false" ht="15" hidden="false" customHeight="false" outlineLevel="0" collapsed="false">
      <c r="D232" s="5"/>
    </row>
    <row r="233" customFormat="false" ht="15" hidden="false" customHeight="false" outlineLevel="0" collapsed="false">
      <c r="D233" s="5"/>
    </row>
    <row r="234" customFormat="false" ht="15" hidden="false" customHeight="false" outlineLevel="0" collapsed="false">
      <c r="D234" s="5"/>
    </row>
    <row r="235" customFormat="false" ht="15" hidden="false" customHeight="false" outlineLevel="0" collapsed="false">
      <c r="D235" s="5"/>
    </row>
    <row r="236" customFormat="false" ht="15" hidden="false" customHeight="false" outlineLevel="0" collapsed="false">
      <c r="D236" s="5"/>
    </row>
    <row r="237" customFormat="false" ht="15" hidden="false" customHeight="false" outlineLevel="0" collapsed="false">
      <c r="D237" s="5"/>
    </row>
    <row r="238" customFormat="false" ht="15" hidden="false" customHeight="false" outlineLevel="0" collapsed="false">
      <c r="D238" s="5"/>
    </row>
    <row r="239" customFormat="false" ht="15" hidden="false" customHeight="false" outlineLevel="0" collapsed="false">
      <c r="D239" s="5"/>
    </row>
    <row r="240" customFormat="false" ht="15" hidden="false" customHeight="false" outlineLevel="0" collapsed="false">
      <c r="D240" s="5"/>
    </row>
    <row r="241" customFormat="false" ht="15" hidden="false" customHeight="false" outlineLevel="0" collapsed="false">
      <c r="D241" s="5"/>
    </row>
    <row r="242" customFormat="false" ht="15" hidden="false" customHeight="false" outlineLevel="0" collapsed="false">
      <c r="D242" s="5"/>
    </row>
    <row r="243" customFormat="false" ht="15" hidden="false" customHeight="false" outlineLevel="0" collapsed="false">
      <c r="D243" s="5"/>
    </row>
    <row r="244" customFormat="false" ht="15" hidden="false" customHeight="false" outlineLevel="0" collapsed="false">
      <c r="D244" s="5"/>
    </row>
    <row r="245" customFormat="false" ht="15" hidden="false" customHeight="false" outlineLevel="0" collapsed="false">
      <c r="D245" s="5"/>
    </row>
    <row r="246" customFormat="false" ht="15" hidden="false" customHeight="false" outlineLevel="0" collapsed="false">
      <c r="D246" s="5"/>
    </row>
    <row r="247" customFormat="false" ht="15" hidden="false" customHeight="false" outlineLevel="0" collapsed="false">
      <c r="D247" s="5"/>
    </row>
    <row r="248" customFormat="false" ht="15" hidden="false" customHeight="false" outlineLevel="0" collapsed="false">
      <c r="D248" s="5"/>
    </row>
    <row r="249" customFormat="false" ht="15" hidden="false" customHeight="false" outlineLevel="0" collapsed="false">
      <c r="D249" s="5"/>
    </row>
    <row r="250" customFormat="false" ht="15" hidden="false" customHeight="false" outlineLevel="0" collapsed="false">
      <c r="D250" s="5"/>
    </row>
    <row r="251" customFormat="false" ht="15" hidden="false" customHeight="false" outlineLevel="0" collapsed="false">
      <c r="D251" s="5"/>
    </row>
    <row r="252" customFormat="false" ht="15" hidden="false" customHeight="false" outlineLevel="0" collapsed="false">
      <c r="D252" s="5"/>
    </row>
    <row r="253" customFormat="false" ht="15" hidden="false" customHeight="false" outlineLevel="0" collapsed="false">
      <c r="D253" s="5"/>
    </row>
    <row r="254" customFormat="false" ht="15" hidden="false" customHeight="false" outlineLevel="0" collapsed="false">
      <c r="D254" s="5"/>
    </row>
    <row r="255" customFormat="false" ht="15" hidden="false" customHeight="false" outlineLevel="0" collapsed="false">
      <c r="D255" s="5"/>
    </row>
    <row r="256" customFormat="false" ht="15" hidden="false" customHeight="false" outlineLevel="0" collapsed="false">
      <c r="D256" s="5"/>
    </row>
    <row r="257" customFormat="false" ht="15" hidden="false" customHeight="false" outlineLevel="0" collapsed="false">
      <c r="D257" s="5"/>
    </row>
    <row r="258" customFormat="false" ht="15" hidden="false" customHeight="false" outlineLevel="0" collapsed="false">
      <c r="D258" s="5"/>
    </row>
    <row r="259" customFormat="false" ht="15" hidden="false" customHeight="false" outlineLevel="0" collapsed="false">
      <c r="D259" s="5"/>
    </row>
    <row r="260" customFormat="false" ht="15" hidden="false" customHeight="false" outlineLevel="0" collapsed="false">
      <c r="D260" s="5"/>
    </row>
    <row r="261" customFormat="false" ht="15" hidden="false" customHeight="false" outlineLevel="0" collapsed="false">
      <c r="D261" s="5"/>
    </row>
    <row r="262" customFormat="false" ht="15" hidden="false" customHeight="false" outlineLevel="0" collapsed="false">
      <c r="D262" s="5"/>
    </row>
    <row r="263" customFormat="false" ht="15" hidden="false" customHeight="false" outlineLevel="0" collapsed="false">
      <c r="D263" s="5"/>
    </row>
    <row r="264" customFormat="false" ht="15" hidden="false" customHeight="false" outlineLevel="0" collapsed="false">
      <c r="D264" s="5"/>
    </row>
    <row r="265" customFormat="false" ht="15" hidden="false" customHeight="false" outlineLevel="0" collapsed="false">
      <c r="D265" s="5"/>
    </row>
    <row r="266" customFormat="false" ht="15" hidden="false" customHeight="false" outlineLevel="0" collapsed="false">
      <c r="D266" s="5"/>
    </row>
    <row r="267" customFormat="false" ht="15" hidden="false" customHeight="false" outlineLevel="0" collapsed="false">
      <c r="D267" s="5"/>
    </row>
    <row r="268" customFormat="false" ht="15" hidden="false" customHeight="false" outlineLevel="0" collapsed="false">
      <c r="D268" s="5"/>
    </row>
    <row r="269" customFormat="false" ht="15" hidden="false" customHeight="false" outlineLevel="0" collapsed="false">
      <c r="D269" s="5"/>
    </row>
    <row r="270" customFormat="false" ht="15" hidden="false" customHeight="false" outlineLevel="0" collapsed="false">
      <c r="D270" s="5"/>
    </row>
    <row r="271" customFormat="false" ht="15" hidden="false" customHeight="false" outlineLevel="0" collapsed="false">
      <c r="D271" s="5"/>
    </row>
    <row r="272" customFormat="false" ht="15" hidden="false" customHeight="false" outlineLevel="0" collapsed="false">
      <c r="D272" s="5"/>
    </row>
    <row r="273" customFormat="false" ht="15" hidden="false" customHeight="false" outlineLevel="0" collapsed="false">
      <c r="D273" s="5"/>
    </row>
    <row r="274" customFormat="false" ht="15" hidden="false" customHeight="false" outlineLevel="0" collapsed="false">
      <c r="D274" s="5"/>
    </row>
    <row r="275" customFormat="false" ht="15" hidden="false" customHeight="false" outlineLevel="0" collapsed="false">
      <c r="D275" s="5"/>
    </row>
    <row r="276" customFormat="false" ht="15" hidden="false" customHeight="false" outlineLevel="0" collapsed="false">
      <c r="D276" s="5"/>
    </row>
    <row r="277" customFormat="false" ht="15" hidden="false" customHeight="false" outlineLevel="0" collapsed="false">
      <c r="D277" s="5"/>
    </row>
    <row r="278" customFormat="false" ht="15" hidden="false" customHeight="false" outlineLevel="0" collapsed="false">
      <c r="D278" s="5"/>
    </row>
    <row r="279" customFormat="false" ht="15" hidden="false" customHeight="false" outlineLevel="0" collapsed="false">
      <c r="D279" s="5"/>
    </row>
    <row r="280" customFormat="false" ht="15" hidden="false" customHeight="false" outlineLevel="0" collapsed="false">
      <c r="D280" s="5"/>
    </row>
    <row r="281" customFormat="false" ht="15" hidden="false" customHeight="false" outlineLevel="0" collapsed="false">
      <c r="D281" s="5"/>
    </row>
    <row r="282" customFormat="false" ht="15" hidden="false" customHeight="false" outlineLevel="0" collapsed="false">
      <c r="D282" s="5"/>
    </row>
    <row r="283" customFormat="false" ht="15" hidden="false" customHeight="false" outlineLevel="0" collapsed="false">
      <c r="D283" s="5"/>
    </row>
    <row r="284" customFormat="false" ht="15" hidden="false" customHeight="false" outlineLevel="0" collapsed="false">
      <c r="D284" s="5"/>
    </row>
    <row r="285" customFormat="false" ht="15" hidden="false" customHeight="false" outlineLevel="0" collapsed="false">
      <c r="D285" s="5"/>
    </row>
    <row r="286" customFormat="false" ht="15" hidden="false" customHeight="false" outlineLevel="0" collapsed="false">
      <c r="D286" s="5"/>
    </row>
    <row r="287" customFormat="false" ht="15" hidden="false" customHeight="false" outlineLevel="0" collapsed="false">
      <c r="D287" s="5"/>
    </row>
    <row r="288" customFormat="false" ht="15" hidden="false" customHeight="false" outlineLevel="0" collapsed="false">
      <c r="D288" s="5"/>
    </row>
    <row r="289" customFormat="false" ht="15" hidden="false" customHeight="false" outlineLevel="0" collapsed="false">
      <c r="D289" s="5"/>
    </row>
    <row r="290" customFormat="false" ht="15" hidden="false" customHeight="false" outlineLevel="0" collapsed="false">
      <c r="D290" s="5"/>
    </row>
    <row r="291" customFormat="false" ht="15" hidden="false" customHeight="false" outlineLevel="0" collapsed="false">
      <c r="D291" s="5"/>
    </row>
    <row r="292" customFormat="false" ht="15" hidden="false" customHeight="false" outlineLevel="0" collapsed="false">
      <c r="D292" s="5"/>
    </row>
    <row r="293" customFormat="false" ht="15" hidden="false" customHeight="false" outlineLevel="0" collapsed="false">
      <c r="D293" s="5"/>
    </row>
    <row r="294" customFormat="false" ht="15" hidden="false" customHeight="false" outlineLevel="0" collapsed="false">
      <c r="D294" s="5"/>
    </row>
    <row r="295" customFormat="false" ht="15" hidden="false" customHeight="false" outlineLevel="0" collapsed="false">
      <c r="D295" s="5"/>
    </row>
    <row r="296" customFormat="false" ht="15" hidden="false" customHeight="false" outlineLevel="0" collapsed="false">
      <c r="D296" s="5"/>
    </row>
    <row r="297" customFormat="false" ht="15" hidden="false" customHeight="false" outlineLevel="0" collapsed="false">
      <c r="D297" s="5"/>
    </row>
    <row r="298" customFormat="false" ht="15" hidden="false" customHeight="false" outlineLevel="0" collapsed="false">
      <c r="D298" s="5"/>
    </row>
    <row r="299" customFormat="false" ht="15" hidden="false" customHeight="false" outlineLevel="0" collapsed="false">
      <c r="D299" s="5"/>
    </row>
    <row r="300" customFormat="false" ht="15" hidden="false" customHeight="false" outlineLevel="0" collapsed="false">
      <c r="D300" s="5"/>
    </row>
    <row r="301" customFormat="false" ht="15" hidden="false" customHeight="false" outlineLevel="0" collapsed="false">
      <c r="D301" s="5"/>
    </row>
    <row r="302" customFormat="false" ht="15" hidden="false" customHeight="false" outlineLevel="0" collapsed="false">
      <c r="D302" s="5"/>
    </row>
    <row r="303" customFormat="false" ht="15" hidden="false" customHeight="false" outlineLevel="0" collapsed="false">
      <c r="D303" s="5"/>
    </row>
    <row r="304" customFormat="false" ht="15" hidden="false" customHeight="false" outlineLevel="0" collapsed="false">
      <c r="D304" s="5"/>
    </row>
    <row r="305" customFormat="false" ht="15" hidden="false" customHeight="false" outlineLevel="0" collapsed="false">
      <c r="D305" s="5"/>
    </row>
    <row r="306" customFormat="false" ht="15" hidden="false" customHeight="false" outlineLevel="0" collapsed="false">
      <c r="D306" s="5"/>
    </row>
    <row r="307" customFormat="false" ht="15" hidden="false" customHeight="false" outlineLevel="0" collapsed="false">
      <c r="D307" s="5"/>
    </row>
    <row r="308" customFormat="false" ht="15" hidden="false" customHeight="false" outlineLevel="0" collapsed="false">
      <c r="D308" s="5"/>
    </row>
    <row r="309" customFormat="false" ht="15" hidden="false" customHeight="false" outlineLevel="0" collapsed="false">
      <c r="D309" s="5"/>
    </row>
    <row r="310" customFormat="false" ht="15" hidden="false" customHeight="false" outlineLevel="0" collapsed="false">
      <c r="D310" s="5"/>
    </row>
    <row r="311" customFormat="false" ht="15" hidden="false" customHeight="false" outlineLevel="0" collapsed="false">
      <c r="D311" s="5"/>
    </row>
    <row r="312" customFormat="false" ht="15" hidden="false" customHeight="false" outlineLevel="0" collapsed="false">
      <c r="D312" s="5"/>
    </row>
    <row r="313" customFormat="false" ht="15" hidden="false" customHeight="false" outlineLevel="0" collapsed="false">
      <c r="D313" s="5"/>
    </row>
    <row r="314" customFormat="false" ht="15" hidden="false" customHeight="false" outlineLevel="0" collapsed="false">
      <c r="D314" s="5"/>
    </row>
    <row r="315" customFormat="false" ht="15" hidden="false" customHeight="false" outlineLevel="0" collapsed="false">
      <c r="D315" s="5"/>
    </row>
    <row r="316" customFormat="false" ht="15" hidden="false" customHeight="false" outlineLevel="0" collapsed="false">
      <c r="D316" s="5"/>
    </row>
    <row r="317" customFormat="false" ht="15" hidden="false" customHeight="false" outlineLevel="0" collapsed="false">
      <c r="D317" s="5"/>
    </row>
    <row r="318" customFormat="false" ht="15" hidden="false" customHeight="false" outlineLevel="0" collapsed="false">
      <c r="D318" s="5"/>
    </row>
    <row r="319" customFormat="false" ht="15" hidden="false" customHeight="false" outlineLevel="0" collapsed="false">
      <c r="D319" s="5"/>
    </row>
    <row r="320" customFormat="false" ht="15" hidden="false" customHeight="false" outlineLevel="0" collapsed="false">
      <c r="D320" s="5"/>
    </row>
    <row r="321" customFormat="false" ht="15" hidden="false" customHeight="false" outlineLevel="0" collapsed="false">
      <c r="D321" s="5"/>
    </row>
    <row r="322" customFormat="false" ht="15" hidden="false" customHeight="false" outlineLevel="0" collapsed="false">
      <c r="D322" s="5"/>
    </row>
    <row r="323" customFormat="false" ht="15" hidden="false" customHeight="false" outlineLevel="0" collapsed="false">
      <c r="D323" s="5"/>
    </row>
    <row r="324" customFormat="false" ht="15" hidden="false" customHeight="false" outlineLevel="0" collapsed="false">
      <c r="D324" s="5"/>
    </row>
    <row r="325" customFormat="false" ht="15" hidden="false" customHeight="false" outlineLevel="0" collapsed="false">
      <c r="D325" s="5"/>
    </row>
    <row r="326" customFormat="false" ht="15" hidden="false" customHeight="false" outlineLevel="0" collapsed="false">
      <c r="D326" s="5"/>
    </row>
    <row r="327" customFormat="false" ht="15" hidden="false" customHeight="false" outlineLevel="0" collapsed="false">
      <c r="D327" s="5"/>
    </row>
    <row r="328" customFormat="false" ht="15" hidden="false" customHeight="false" outlineLevel="0" collapsed="false">
      <c r="D328" s="5"/>
    </row>
    <row r="329" customFormat="false" ht="15" hidden="false" customHeight="false" outlineLevel="0" collapsed="false">
      <c r="D329" s="5"/>
    </row>
    <row r="330" customFormat="false" ht="15" hidden="false" customHeight="false" outlineLevel="0" collapsed="false">
      <c r="D330" s="5"/>
    </row>
    <row r="331" customFormat="false" ht="15" hidden="false" customHeight="false" outlineLevel="0" collapsed="false">
      <c r="D331" s="5"/>
    </row>
    <row r="332" customFormat="false" ht="15" hidden="false" customHeight="false" outlineLevel="0" collapsed="false">
      <c r="D332" s="5"/>
    </row>
    <row r="333" customFormat="false" ht="15" hidden="false" customHeight="false" outlineLevel="0" collapsed="false">
      <c r="D333" s="5"/>
    </row>
    <row r="334" customFormat="false" ht="15" hidden="false" customHeight="false" outlineLevel="0" collapsed="false">
      <c r="D334" s="5"/>
    </row>
    <row r="335" customFormat="false" ht="15" hidden="false" customHeight="false" outlineLevel="0" collapsed="false">
      <c r="D335" s="5"/>
    </row>
    <row r="336" customFormat="false" ht="15" hidden="false" customHeight="false" outlineLevel="0" collapsed="false">
      <c r="D336" s="5"/>
    </row>
    <row r="337" customFormat="false" ht="15" hidden="false" customHeight="false" outlineLevel="0" collapsed="false">
      <c r="D337" s="5"/>
    </row>
    <row r="338" customFormat="false" ht="15" hidden="false" customHeight="false" outlineLevel="0" collapsed="false">
      <c r="D338" s="5"/>
    </row>
    <row r="339" customFormat="false" ht="15" hidden="false" customHeight="false" outlineLevel="0" collapsed="false">
      <c r="D339" s="5"/>
    </row>
    <row r="340" customFormat="false" ht="15" hidden="false" customHeight="false" outlineLevel="0" collapsed="false">
      <c r="D340" s="5"/>
    </row>
    <row r="341" customFormat="false" ht="15" hidden="false" customHeight="false" outlineLevel="0" collapsed="false">
      <c r="D341" s="5"/>
    </row>
    <row r="342" customFormat="false" ht="15" hidden="false" customHeight="false" outlineLevel="0" collapsed="false">
      <c r="D342" s="5"/>
    </row>
    <row r="343" customFormat="false" ht="15" hidden="false" customHeight="false" outlineLevel="0" collapsed="false">
      <c r="D343" s="5"/>
    </row>
    <row r="344" customFormat="false" ht="15" hidden="false" customHeight="false" outlineLevel="0" collapsed="false">
      <c r="D344" s="5"/>
    </row>
    <row r="345" customFormat="false" ht="15" hidden="false" customHeight="false" outlineLevel="0" collapsed="false">
      <c r="D345" s="5"/>
    </row>
    <row r="346" customFormat="false" ht="15" hidden="false" customHeight="false" outlineLevel="0" collapsed="false">
      <c r="D346" s="5"/>
    </row>
    <row r="347" customFormat="false" ht="15" hidden="false" customHeight="false" outlineLevel="0" collapsed="false">
      <c r="D347" s="5"/>
    </row>
    <row r="348" customFormat="false" ht="15" hidden="false" customHeight="false" outlineLevel="0" collapsed="false">
      <c r="D348" s="5"/>
    </row>
    <row r="349" customFormat="false" ht="15" hidden="false" customHeight="false" outlineLevel="0" collapsed="false">
      <c r="D349" s="5"/>
    </row>
    <row r="350" customFormat="false" ht="15" hidden="false" customHeight="false" outlineLevel="0" collapsed="false">
      <c r="D350" s="5"/>
    </row>
    <row r="351" customFormat="false" ht="15" hidden="false" customHeight="false" outlineLevel="0" collapsed="false">
      <c r="D351" s="5"/>
    </row>
    <row r="352" customFormat="false" ht="15" hidden="false" customHeight="false" outlineLevel="0" collapsed="false">
      <c r="D352" s="5"/>
    </row>
    <row r="353" customFormat="false" ht="15" hidden="false" customHeight="false" outlineLevel="0" collapsed="false">
      <c r="D353" s="5"/>
    </row>
    <row r="354" customFormat="false" ht="15" hidden="false" customHeight="false" outlineLevel="0" collapsed="false">
      <c r="D354" s="5"/>
    </row>
    <row r="355" customFormat="false" ht="15" hidden="false" customHeight="false" outlineLevel="0" collapsed="false">
      <c r="D355" s="5"/>
    </row>
    <row r="356" customFormat="false" ht="15" hidden="false" customHeight="false" outlineLevel="0" collapsed="false">
      <c r="D356" s="5"/>
    </row>
    <row r="357" customFormat="false" ht="15" hidden="false" customHeight="false" outlineLevel="0" collapsed="false">
      <c r="D357" s="5"/>
    </row>
    <row r="358" customFormat="false" ht="15" hidden="false" customHeight="false" outlineLevel="0" collapsed="false">
      <c r="D358" s="5"/>
    </row>
    <row r="359" customFormat="false" ht="15" hidden="false" customHeight="false" outlineLevel="0" collapsed="false">
      <c r="D359" s="5"/>
    </row>
    <row r="360" customFormat="false" ht="15" hidden="false" customHeight="false" outlineLevel="0" collapsed="false">
      <c r="D360" s="5"/>
    </row>
    <row r="361" customFormat="false" ht="15" hidden="false" customHeight="false" outlineLevel="0" collapsed="false">
      <c r="D361" s="5"/>
    </row>
    <row r="362" customFormat="false" ht="15" hidden="false" customHeight="false" outlineLevel="0" collapsed="false">
      <c r="D362" s="5"/>
    </row>
    <row r="363" customFormat="false" ht="15" hidden="false" customHeight="false" outlineLevel="0" collapsed="false">
      <c r="D363" s="5"/>
    </row>
    <row r="364" customFormat="false" ht="15" hidden="false" customHeight="false" outlineLevel="0" collapsed="false">
      <c r="D364" s="5"/>
    </row>
    <row r="365" customFormat="false" ht="15" hidden="false" customHeight="false" outlineLevel="0" collapsed="false">
      <c r="D365" s="5"/>
    </row>
    <row r="366" customFormat="false" ht="15" hidden="false" customHeight="false" outlineLevel="0" collapsed="false">
      <c r="D366" s="5"/>
    </row>
    <row r="367" customFormat="false" ht="15" hidden="false" customHeight="false" outlineLevel="0" collapsed="false">
      <c r="D367" s="5"/>
    </row>
    <row r="368" customFormat="false" ht="15" hidden="false" customHeight="false" outlineLevel="0" collapsed="false">
      <c r="D368" s="5"/>
    </row>
    <row r="369" customFormat="false" ht="15" hidden="false" customHeight="false" outlineLevel="0" collapsed="false">
      <c r="D369" s="5"/>
    </row>
    <row r="370" customFormat="false" ht="15" hidden="false" customHeight="false" outlineLevel="0" collapsed="false">
      <c r="D370" s="5"/>
    </row>
    <row r="371" customFormat="false" ht="15" hidden="false" customHeight="false" outlineLevel="0" collapsed="false">
      <c r="D371" s="5"/>
    </row>
    <row r="372" customFormat="false" ht="15" hidden="false" customHeight="false" outlineLevel="0" collapsed="false">
      <c r="D372" s="5"/>
    </row>
    <row r="373" customFormat="false" ht="15" hidden="false" customHeight="false" outlineLevel="0" collapsed="false">
      <c r="D373" s="5"/>
    </row>
    <row r="374" customFormat="false" ht="15" hidden="false" customHeight="false" outlineLevel="0" collapsed="false">
      <c r="D374" s="5"/>
    </row>
    <row r="375" customFormat="false" ht="15" hidden="false" customHeight="false" outlineLevel="0" collapsed="false">
      <c r="D375" s="5"/>
    </row>
    <row r="376" customFormat="false" ht="15" hidden="false" customHeight="false" outlineLevel="0" collapsed="false">
      <c r="D376" s="5"/>
    </row>
    <row r="377" customFormat="false" ht="15" hidden="false" customHeight="false" outlineLevel="0" collapsed="false">
      <c r="D377" s="5"/>
    </row>
    <row r="378" customFormat="false" ht="15" hidden="false" customHeight="false" outlineLevel="0" collapsed="false">
      <c r="D378" s="5"/>
    </row>
    <row r="379" customFormat="false" ht="15" hidden="false" customHeight="false" outlineLevel="0" collapsed="false">
      <c r="D379" s="5"/>
    </row>
    <row r="380" customFormat="false" ht="15" hidden="false" customHeight="false" outlineLevel="0" collapsed="false">
      <c r="D380" s="5"/>
    </row>
    <row r="381" customFormat="false" ht="15" hidden="false" customHeight="false" outlineLevel="0" collapsed="false">
      <c r="D381" s="5"/>
    </row>
    <row r="382" customFormat="false" ht="15" hidden="false" customHeight="false" outlineLevel="0" collapsed="false">
      <c r="D382" s="5"/>
    </row>
    <row r="383" customFormat="false" ht="15" hidden="false" customHeight="false" outlineLevel="0" collapsed="false">
      <c r="D383" s="5"/>
    </row>
    <row r="384" customFormat="false" ht="15" hidden="false" customHeight="false" outlineLevel="0" collapsed="false">
      <c r="D384" s="5"/>
    </row>
    <row r="385" customFormat="false" ht="15" hidden="false" customHeight="false" outlineLevel="0" collapsed="false">
      <c r="D385" s="5"/>
    </row>
    <row r="386" customFormat="false" ht="15" hidden="false" customHeight="false" outlineLevel="0" collapsed="false">
      <c r="D386" s="5"/>
    </row>
    <row r="387" customFormat="false" ht="15" hidden="false" customHeight="false" outlineLevel="0" collapsed="false">
      <c r="D387" s="5"/>
    </row>
    <row r="388" customFormat="false" ht="15" hidden="false" customHeight="false" outlineLevel="0" collapsed="false">
      <c r="D388" s="5"/>
    </row>
    <row r="389" customFormat="false" ht="15" hidden="false" customHeight="false" outlineLevel="0" collapsed="false">
      <c r="D389" s="5"/>
    </row>
    <row r="390" customFormat="false" ht="15" hidden="false" customHeight="false" outlineLevel="0" collapsed="false">
      <c r="D390" s="5"/>
    </row>
    <row r="391" customFormat="false" ht="15" hidden="false" customHeight="false" outlineLevel="0" collapsed="false">
      <c r="D391" s="5"/>
    </row>
    <row r="392" customFormat="false" ht="15" hidden="false" customHeight="false" outlineLevel="0" collapsed="false">
      <c r="D392" s="5"/>
    </row>
    <row r="393" customFormat="false" ht="15" hidden="false" customHeight="false" outlineLevel="0" collapsed="false">
      <c r="D393" s="5"/>
    </row>
    <row r="394" customFormat="false" ht="15" hidden="false" customHeight="false" outlineLevel="0" collapsed="false">
      <c r="D394" s="5"/>
    </row>
    <row r="395" customFormat="false" ht="15" hidden="false" customHeight="false" outlineLevel="0" collapsed="false">
      <c r="D395" s="5"/>
    </row>
    <row r="396" customFormat="false" ht="15" hidden="false" customHeight="false" outlineLevel="0" collapsed="false">
      <c r="D396" s="5"/>
    </row>
    <row r="397" customFormat="false" ht="15" hidden="false" customHeight="false" outlineLevel="0" collapsed="false">
      <c r="D397" s="5"/>
    </row>
    <row r="398" customFormat="false" ht="15" hidden="false" customHeight="false" outlineLevel="0" collapsed="false">
      <c r="D398" s="5"/>
    </row>
    <row r="399" customFormat="false" ht="15" hidden="false" customHeight="false" outlineLevel="0" collapsed="false">
      <c r="D399" s="5"/>
    </row>
    <row r="400" customFormat="false" ht="15" hidden="false" customHeight="false" outlineLevel="0" collapsed="false">
      <c r="D400" s="5"/>
    </row>
    <row r="401" customFormat="false" ht="15" hidden="false" customHeight="false" outlineLevel="0" collapsed="false">
      <c r="D401" s="5"/>
    </row>
    <row r="402" customFormat="false" ht="15" hidden="false" customHeight="false" outlineLevel="0" collapsed="false">
      <c r="D402" s="5"/>
    </row>
    <row r="403" customFormat="false" ht="15" hidden="false" customHeight="false" outlineLevel="0" collapsed="false">
      <c r="D403" s="5"/>
    </row>
    <row r="404" customFormat="false" ht="15" hidden="false" customHeight="false" outlineLevel="0" collapsed="false">
      <c r="D404" s="5"/>
    </row>
    <row r="405" customFormat="false" ht="15" hidden="false" customHeight="false" outlineLevel="0" collapsed="false">
      <c r="D405" s="5"/>
    </row>
    <row r="406" customFormat="false" ht="15" hidden="false" customHeight="false" outlineLevel="0" collapsed="false">
      <c r="D406" s="5"/>
    </row>
    <row r="407" customFormat="false" ht="15" hidden="false" customHeight="false" outlineLevel="0" collapsed="false">
      <c r="D407" s="5"/>
    </row>
    <row r="408" customFormat="false" ht="15" hidden="false" customHeight="false" outlineLevel="0" collapsed="false">
      <c r="D408" s="5"/>
    </row>
    <row r="409" customFormat="false" ht="15" hidden="false" customHeight="false" outlineLevel="0" collapsed="false">
      <c r="D409" s="5"/>
    </row>
    <row r="410" customFormat="false" ht="15" hidden="false" customHeight="false" outlineLevel="0" collapsed="false">
      <c r="D410" s="5"/>
    </row>
    <row r="411" customFormat="false" ht="15" hidden="false" customHeight="false" outlineLevel="0" collapsed="false">
      <c r="D411" s="5"/>
    </row>
    <row r="412" customFormat="false" ht="15" hidden="false" customHeight="false" outlineLevel="0" collapsed="false">
      <c r="D412" s="5"/>
    </row>
    <row r="413" customFormat="false" ht="15" hidden="false" customHeight="false" outlineLevel="0" collapsed="false">
      <c r="D413" s="5"/>
    </row>
    <row r="414" customFormat="false" ht="15" hidden="false" customHeight="false" outlineLevel="0" collapsed="false">
      <c r="D414" s="5"/>
    </row>
    <row r="415" customFormat="false" ht="15" hidden="false" customHeight="false" outlineLevel="0" collapsed="false">
      <c r="D415" s="5"/>
    </row>
    <row r="416" customFormat="false" ht="15" hidden="false" customHeight="false" outlineLevel="0" collapsed="false">
      <c r="D416" s="5"/>
    </row>
    <row r="417" customFormat="false" ht="15" hidden="false" customHeight="false" outlineLevel="0" collapsed="false">
      <c r="D417" s="5"/>
    </row>
    <row r="418" customFormat="false" ht="15" hidden="false" customHeight="false" outlineLevel="0" collapsed="false">
      <c r="D418" s="5"/>
    </row>
    <row r="419" customFormat="false" ht="15" hidden="false" customHeight="false" outlineLevel="0" collapsed="false">
      <c r="D419" s="5"/>
    </row>
    <row r="420" customFormat="false" ht="15" hidden="false" customHeight="false" outlineLevel="0" collapsed="false">
      <c r="D420" s="5"/>
    </row>
    <row r="421" customFormat="false" ht="15" hidden="false" customHeight="false" outlineLevel="0" collapsed="false">
      <c r="D421" s="5"/>
    </row>
    <row r="422" customFormat="false" ht="15" hidden="false" customHeight="false" outlineLevel="0" collapsed="false">
      <c r="D422" s="5"/>
    </row>
    <row r="423" customFormat="false" ht="15" hidden="false" customHeight="false" outlineLevel="0" collapsed="false">
      <c r="D423" s="5"/>
    </row>
    <row r="424" customFormat="false" ht="15" hidden="false" customHeight="false" outlineLevel="0" collapsed="false">
      <c r="D424" s="5"/>
    </row>
    <row r="425" customFormat="false" ht="15" hidden="false" customHeight="false" outlineLevel="0" collapsed="false">
      <c r="D425" s="5"/>
    </row>
    <row r="426" customFormat="false" ht="15" hidden="false" customHeight="false" outlineLevel="0" collapsed="false">
      <c r="D426" s="5"/>
    </row>
    <row r="427" customFormat="false" ht="15" hidden="false" customHeight="false" outlineLevel="0" collapsed="false">
      <c r="D427" s="5"/>
    </row>
    <row r="428" customFormat="false" ht="15" hidden="false" customHeight="false" outlineLevel="0" collapsed="false">
      <c r="D428" s="5"/>
    </row>
    <row r="429" customFormat="false" ht="15" hidden="false" customHeight="false" outlineLevel="0" collapsed="false">
      <c r="D429" s="5"/>
    </row>
    <row r="430" customFormat="false" ht="15" hidden="false" customHeight="false" outlineLevel="0" collapsed="false">
      <c r="D430" s="5"/>
    </row>
    <row r="431" customFormat="false" ht="15" hidden="false" customHeight="false" outlineLevel="0" collapsed="false">
      <c r="D431" s="5"/>
    </row>
    <row r="432" customFormat="false" ht="15" hidden="false" customHeight="false" outlineLevel="0" collapsed="false">
      <c r="D432" s="5"/>
    </row>
    <row r="433" customFormat="false" ht="15" hidden="false" customHeight="false" outlineLevel="0" collapsed="false">
      <c r="D433" s="5"/>
    </row>
    <row r="434" customFormat="false" ht="15" hidden="false" customHeight="false" outlineLevel="0" collapsed="false">
      <c r="D434" s="5"/>
    </row>
    <row r="435" customFormat="false" ht="15" hidden="false" customHeight="false" outlineLevel="0" collapsed="false">
      <c r="D435" s="5"/>
    </row>
    <row r="436" customFormat="false" ht="15" hidden="false" customHeight="false" outlineLevel="0" collapsed="false">
      <c r="D436" s="5"/>
    </row>
    <row r="437" customFormat="false" ht="15" hidden="false" customHeight="false" outlineLevel="0" collapsed="false">
      <c r="D437" s="5"/>
    </row>
    <row r="438" customFormat="false" ht="15" hidden="false" customHeight="false" outlineLevel="0" collapsed="false">
      <c r="D438" s="5"/>
    </row>
    <row r="439" customFormat="false" ht="15" hidden="false" customHeight="false" outlineLevel="0" collapsed="false">
      <c r="D439" s="5"/>
    </row>
    <row r="440" customFormat="false" ht="15" hidden="false" customHeight="false" outlineLevel="0" collapsed="false">
      <c r="D440" s="5"/>
    </row>
    <row r="441" customFormat="false" ht="15" hidden="false" customHeight="false" outlineLevel="0" collapsed="false">
      <c r="D441" s="5"/>
    </row>
    <row r="442" customFormat="false" ht="15" hidden="false" customHeight="false" outlineLevel="0" collapsed="false">
      <c r="D442" s="5"/>
    </row>
    <row r="443" customFormat="false" ht="15" hidden="false" customHeight="false" outlineLevel="0" collapsed="false">
      <c r="D443" s="5"/>
    </row>
    <row r="444" customFormat="false" ht="15" hidden="false" customHeight="false" outlineLevel="0" collapsed="false">
      <c r="D444" s="5"/>
    </row>
    <row r="445" customFormat="false" ht="15" hidden="false" customHeight="false" outlineLevel="0" collapsed="false">
      <c r="D445" s="5"/>
    </row>
    <row r="446" customFormat="false" ht="15" hidden="false" customHeight="false" outlineLevel="0" collapsed="false">
      <c r="D446" s="5"/>
    </row>
    <row r="447" customFormat="false" ht="15" hidden="false" customHeight="false" outlineLevel="0" collapsed="false">
      <c r="D447" s="5"/>
    </row>
    <row r="448" customFormat="false" ht="15" hidden="false" customHeight="false" outlineLevel="0" collapsed="false">
      <c r="D448" s="5"/>
    </row>
    <row r="449" customFormat="false" ht="15" hidden="false" customHeight="false" outlineLevel="0" collapsed="false">
      <c r="D449" s="5"/>
    </row>
    <row r="450" customFormat="false" ht="15" hidden="false" customHeight="false" outlineLevel="0" collapsed="false">
      <c r="D450" s="5"/>
    </row>
    <row r="451" customFormat="false" ht="15" hidden="false" customHeight="false" outlineLevel="0" collapsed="false">
      <c r="D451" s="5"/>
    </row>
    <row r="452" customFormat="false" ht="15" hidden="false" customHeight="false" outlineLevel="0" collapsed="false">
      <c r="D452" s="5"/>
    </row>
    <row r="453" customFormat="false" ht="15" hidden="false" customHeight="false" outlineLevel="0" collapsed="false">
      <c r="D453" s="5"/>
    </row>
    <row r="454" customFormat="false" ht="15" hidden="false" customHeight="false" outlineLevel="0" collapsed="false">
      <c r="D454" s="5"/>
    </row>
    <row r="455" customFormat="false" ht="15" hidden="false" customHeight="false" outlineLevel="0" collapsed="false">
      <c r="D455" s="5"/>
    </row>
    <row r="456" customFormat="false" ht="15" hidden="false" customHeight="false" outlineLevel="0" collapsed="false">
      <c r="D456" s="5"/>
    </row>
    <row r="457" customFormat="false" ht="15" hidden="false" customHeight="false" outlineLevel="0" collapsed="false">
      <c r="D457" s="5"/>
    </row>
    <row r="458" customFormat="false" ht="15" hidden="false" customHeight="false" outlineLevel="0" collapsed="false">
      <c r="D458" s="5"/>
    </row>
    <row r="459" customFormat="false" ht="15" hidden="false" customHeight="false" outlineLevel="0" collapsed="false">
      <c r="D459" s="5"/>
    </row>
    <row r="460" customFormat="false" ht="15" hidden="false" customHeight="false" outlineLevel="0" collapsed="false">
      <c r="D460" s="5"/>
    </row>
    <row r="461" customFormat="false" ht="15" hidden="false" customHeight="false" outlineLevel="0" collapsed="false">
      <c r="D461" s="5"/>
    </row>
    <row r="462" customFormat="false" ht="15" hidden="false" customHeight="false" outlineLevel="0" collapsed="false">
      <c r="D462" s="5"/>
    </row>
    <row r="463" customFormat="false" ht="15" hidden="false" customHeight="false" outlineLevel="0" collapsed="false">
      <c r="D463" s="5"/>
    </row>
    <row r="464" customFormat="false" ht="15" hidden="false" customHeight="false" outlineLevel="0" collapsed="false">
      <c r="D464" s="5"/>
    </row>
    <row r="465" customFormat="false" ht="15" hidden="false" customHeight="false" outlineLevel="0" collapsed="false">
      <c r="D465" s="5"/>
    </row>
    <row r="466" customFormat="false" ht="15" hidden="false" customHeight="false" outlineLevel="0" collapsed="false">
      <c r="D466" s="5"/>
    </row>
    <row r="467" customFormat="false" ht="15" hidden="false" customHeight="false" outlineLevel="0" collapsed="false">
      <c r="D467" s="5"/>
    </row>
    <row r="468" customFormat="false" ht="15" hidden="false" customHeight="false" outlineLevel="0" collapsed="false">
      <c r="D468" s="5"/>
    </row>
    <row r="469" customFormat="false" ht="15" hidden="false" customHeight="false" outlineLevel="0" collapsed="false">
      <c r="D469" s="5"/>
    </row>
    <row r="470" customFormat="false" ht="15" hidden="false" customHeight="false" outlineLevel="0" collapsed="false">
      <c r="D470" s="5"/>
    </row>
    <row r="471" customFormat="false" ht="15" hidden="false" customHeight="false" outlineLevel="0" collapsed="false">
      <c r="D471" s="5"/>
    </row>
    <row r="472" customFormat="false" ht="15" hidden="false" customHeight="false" outlineLevel="0" collapsed="false">
      <c r="D472" s="5"/>
    </row>
    <row r="473" customFormat="false" ht="15" hidden="false" customHeight="false" outlineLevel="0" collapsed="false">
      <c r="D473" s="5"/>
    </row>
    <row r="474" customFormat="false" ht="15" hidden="false" customHeight="false" outlineLevel="0" collapsed="false">
      <c r="D474" s="5"/>
    </row>
    <row r="475" customFormat="false" ht="15" hidden="false" customHeight="false" outlineLevel="0" collapsed="false">
      <c r="D475" s="5"/>
    </row>
    <row r="476" customFormat="false" ht="15" hidden="false" customHeight="false" outlineLevel="0" collapsed="false">
      <c r="D476" s="5"/>
    </row>
    <row r="477" customFormat="false" ht="15" hidden="false" customHeight="false" outlineLevel="0" collapsed="false">
      <c r="D477" s="5"/>
    </row>
    <row r="478" customFormat="false" ht="15" hidden="false" customHeight="false" outlineLevel="0" collapsed="false">
      <c r="D478" s="5"/>
    </row>
    <row r="479" customFormat="false" ht="15" hidden="false" customHeight="false" outlineLevel="0" collapsed="false">
      <c r="D479" s="5"/>
    </row>
    <row r="480" customFormat="false" ht="15" hidden="false" customHeight="false" outlineLevel="0" collapsed="false">
      <c r="D480" s="5"/>
    </row>
    <row r="481" customFormat="false" ht="15" hidden="false" customHeight="false" outlineLevel="0" collapsed="false">
      <c r="D481" s="5"/>
    </row>
    <row r="482" customFormat="false" ht="15" hidden="false" customHeight="false" outlineLevel="0" collapsed="false">
      <c r="D482" s="5"/>
    </row>
    <row r="483" customFormat="false" ht="15" hidden="false" customHeight="false" outlineLevel="0" collapsed="false">
      <c r="D483" s="5"/>
    </row>
    <row r="484" customFormat="false" ht="15" hidden="false" customHeight="false" outlineLevel="0" collapsed="false">
      <c r="D484" s="5"/>
    </row>
    <row r="485" customFormat="false" ht="15" hidden="false" customHeight="false" outlineLevel="0" collapsed="false">
      <c r="D485" s="5"/>
    </row>
    <row r="486" customFormat="false" ht="15" hidden="false" customHeight="false" outlineLevel="0" collapsed="false">
      <c r="D486" s="5"/>
    </row>
    <row r="487" customFormat="false" ht="15" hidden="false" customHeight="false" outlineLevel="0" collapsed="false">
      <c r="D487" s="5"/>
    </row>
    <row r="488" customFormat="false" ht="15" hidden="false" customHeight="false" outlineLevel="0" collapsed="false">
      <c r="D488" s="5"/>
    </row>
    <row r="489" customFormat="false" ht="15" hidden="false" customHeight="false" outlineLevel="0" collapsed="false">
      <c r="D489" s="5"/>
    </row>
    <row r="490" customFormat="false" ht="15" hidden="false" customHeight="false" outlineLevel="0" collapsed="false">
      <c r="D490" s="5"/>
    </row>
    <row r="491" customFormat="false" ht="15" hidden="false" customHeight="false" outlineLevel="0" collapsed="false">
      <c r="D491" s="5"/>
    </row>
    <row r="492" customFormat="false" ht="15" hidden="false" customHeight="false" outlineLevel="0" collapsed="false">
      <c r="D492" s="5"/>
    </row>
    <row r="493" customFormat="false" ht="15" hidden="false" customHeight="false" outlineLevel="0" collapsed="false">
      <c r="D493" s="5"/>
    </row>
    <row r="494" customFormat="false" ht="15" hidden="false" customHeight="false" outlineLevel="0" collapsed="false">
      <c r="D494" s="5"/>
    </row>
    <row r="495" customFormat="false" ht="15" hidden="false" customHeight="false" outlineLevel="0" collapsed="false">
      <c r="D495" s="5"/>
    </row>
    <row r="496" customFormat="false" ht="15" hidden="false" customHeight="false" outlineLevel="0" collapsed="false">
      <c r="D496" s="5"/>
    </row>
    <row r="497" customFormat="false" ht="15" hidden="false" customHeight="false" outlineLevel="0" collapsed="false">
      <c r="D497" s="5"/>
    </row>
    <row r="498" customFormat="false" ht="15" hidden="false" customHeight="false" outlineLevel="0" collapsed="false">
      <c r="D498" s="5"/>
    </row>
    <row r="499" customFormat="false" ht="15" hidden="false" customHeight="false" outlineLevel="0" collapsed="false">
      <c r="D499" s="5"/>
    </row>
    <row r="500" customFormat="false" ht="15" hidden="false" customHeight="false" outlineLevel="0" collapsed="false">
      <c r="D500" s="5"/>
    </row>
  </sheetData>
  <dataValidations count="1">
    <dataValidation allowBlank="true" errorStyle="stop" operator="between" showDropDown="false" showErrorMessage="false" showInputMessage="false" sqref="D2:D50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</cols>
  <sheetData>
    <row r="1" customFormat="false" ht="30" hidden="false" customHeight="true" outlineLevel="0" collapsed="false">
      <c r="A1" s="4" t="s">
        <v>24</v>
      </c>
      <c r="B1" s="4" t="s">
        <v>25</v>
      </c>
    </row>
    <row r="2" customFormat="false" ht="15" hidden="false" customHeight="false" outlineLevel="0" collapsed="false">
      <c r="A2" s="0" t="s">
        <v>33</v>
      </c>
      <c r="B2" s="0" t="s">
        <v>34</v>
      </c>
    </row>
    <row r="3" customFormat="false" ht="15" hidden="false" customHeight="false" outlineLevel="0" collapsed="false">
      <c r="A3" s="0" t="s">
        <v>33</v>
      </c>
      <c r="B3" s="0" t="s">
        <v>56</v>
      </c>
    </row>
    <row r="4" customFormat="false" ht="15" hidden="false" customHeight="false" outlineLevel="0" collapsed="false">
      <c r="A4" s="0" t="s">
        <v>33</v>
      </c>
      <c r="B4" s="0" t="s">
        <v>57</v>
      </c>
    </row>
    <row r="5" customFormat="false" ht="15" hidden="false" customHeight="false" outlineLevel="0" collapsed="false">
      <c r="A5" s="0" t="s">
        <v>33</v>
      </c>
      <c r="B5" s="0" t="s">
        <v>58</v>
      </c>
    </row>
    <row r="6" customFormat="false" ht="15" hidden="false" customHeight="false" outlineLevel="0" collapsed="false">
      <c r="A6" s="0" t="s">
        <v>40</v>
      </c>
      <c r="B6" s="0" t="s">
        <v>41</v>
      </c>
    </row>
    <row r="7" customFormat="false" ht="15" hidden="false" customHeight="false" outlineLevel="0" collapsed="false">
      <c r="A7" s="0" t="s">
        <v>40</v>
      </c>
      <c r="B7" s="0" t="s">
        <v>59</v>
      </c>
    </row>
    <row r="8" customFormat="false" ht="15" hidden="false" customHeight="false" outlineLevel="0" collapsed="false">
      <c r="A8" s="0" t="s">
        <v>40</v>
      </c>
      <c r="B8" s="0" t="s">
        <v>60</v>
      </c>
    </row>
    <row r="9" customFormat="false" ht="15" hidden="false" customHeight="false" outlineLevel="0" collapsed="false">
      <c r="A9" s="0" t="s">
        <v>40</v>
      </c>
      <c r="B9" s="0" t="s">
        <v>61</v>
      </c>
    </row>
    <row r="10" customFormat="false" ht="15" hidden="false" customHeight="false" outlineLevel="0" collapsed="false">
      <c r="A10" s="0" t="s">
        <v>62</v>
      </c>
      <c r="B10" s="0" t="s">
        <v>63</v>
      </c>
    </row>
    <row r="11" customFormat="false" ht="15" hidden="false" customHeight="false" outlineLevel="0" collapsed="false">
      <c r="A11" s="0" t="s">
        <v>62</v>
      </c>
      <c r="B11" s="0" t="s">
        <v>64</v>
      </c>
    </row>
    <row r="12" customFormat="false" ht="15" hidden="false" customHeight="false" outlineLevel="0" collapsed="false">
      <c r="A12" s="0" t="s">
        <v>62</v>
      </c>
      <c r="B12" s="0" t="s">
        <v>65</v>
      </c>
    </row>
    <row r="13" customFormat="false" ht="15" hidden="false" customHeight="false" outlineLevel="0" collapsed="false">
      <c r="A13" s="0" t="s">
        <v>62</v>
      </c>
      <c r="B13" s="0" t="s">
        <v>66</v>
      </c>
    </row>
    <row r="14" customFormat="false" ht="15" hidden="false" customHeight="false" outlineLevel="0" collapsed="false">
      <c r="A14" s="0" t="s">
        <v>62</v>
      </c>
      <c r="B14" s="0" t="s">
        <v>67</v>
      </c>
    </row>
    <row r="15" customFormat="false" ht="15" hidden="false" customHeight="false" outlineLevel="0" collapsed="false">
      <c r="A15" s="0" t="s">
        <v>62</v>
      </c>
      <c r="B15" s="0" t="s">
        <v>68</v>
      </c>
    </row>
    <row r="16" customFormat="false" ht="15" hidden="false" customHeight="false" outlineLevel="0" collapsed="false">
      <c r="A16" s="0" t="s">
        <v>69</v>
      </c>
      <c r="B16" s="0" t="s">
        <v>70</v>
      </c>
    </row>
    <row r="17" customFormat="false" ht="15" hidden="false" customHeight="false" outlineLevel="0" collapsed="false">
      <c r="A17" s="0" t="s">
        <v>69</v>
      </c>
      <c r="B17" s="0" t="s">
        <v>71</v>
      </c>
    </row>
    <row r="18" customFormat="false" ht="15" hidden="false" customHeight="false" outlineLevel="0" collapsed="false">
      <c r="A18" s="0" t="s">
        <v>69</v>
      </c>
      <c r="B18" s="0" t="s">
        <v>72</v>
      </c>
    </row>
    <row r="19" customFormat="false" ht="15" hidden="false" customHeight="false" outlineLevel="0" collapsed="false">
      <c r="A19" s="0" t="s">
        <v>73</v>
      </c>
      <c r="B19" s="0" t="s">
        <v>74</v>
      </c>
    </row>
    <row r="20" customFormat="false" ht="15" hidden="false" customHeight="false" outlineLevel="0" collapsed="false">
      <c r="A20" s="0" t="s">
        <v>73</v>
      </c>
      <c r="B20" s="0" t="s">
        <v>75</v>
      </c>
    </row>
    <row r="21" customFormat="false" ht="15" hidden="false" customHeight="false" outlineLevel="0" collapsed="false">
      <c r="A21" s="0" t="s">
        <v>73</v>
      </c>
      <c r="B21" s="0" t="s">
        <v>76</v>
      </c>
    </row>
    <row r="22" customFormat="false" ht="15" hidden="false" customHeight="false" outlineLevel="0" collapsed="false">
      <c r="A22" s="0" t="s">
        <v>73</v>
      </c>
      <c r="B22" s="0" t="s">
        <v>77</v>
      </c>
    </row>
    <row r="23" customFormat="false" ht="15" hidden="false" customHeight="false" outlineLevel="0" collapsed="false">
      <c r="A23" s="0" t="s">
        <v>78</v>
      </c>
      <c r="B23" s="0" t="s">
        <v>79</v>
      </c>
    </row>
    <row r="24" customFormat="false" ht="15" hidden="false" customHeight="false" outlineLevel="0" collapsed="false">
      <c r="A24" s="0" t="s">
        <v>78</v>
      </c>
      <c r="B24" s="0" t="s">
        <v>80</v>
      </c>
    </row>
    <row r="25" customFormat="false" ht="15" hidden="false" customHeight="false" outlineLevel="0" collapsed="false">
      <c r="A25" s="0" t="s">
        <v>78</v>
      </c>
      <c r="B25" s="0" t="s">
        <v>81</v>
      </c>
    </row>
    <row r="26" customFormat="false" ht="15" hidden="false" customHeight="false" outlineLevel="0" collapsed="false">
      <c r="A26" s="0" t="s">
        <v>82</v>
      </c>
      <c r="B26" s="0" t="s">
        <v>83</v>
      </c>
    </row>
    <row r="27" customFormat="false" ht="15" hidden="false" customHeight="false" outlineLevel="0" collapsed="false">
      <c r="A27" s="0" t="s">
        <v>82</v>
      </c>
      <c r="B27" s="0" t="s">
        <v>84</v>
      </c>
    </row>
    <row r="28" customFormat="false" ht="15" hidden="false" customHeight="false" outlineLevel="0" collapsed="false">
      <c r="A28" s="0" t="s">
        <v>82</v>
      </c>
      <c r="B28" s="0" t="s">
        <v>85</v>
      </c>
    </row>
    <row r="29" customFormat="false" ht="15" hidden="false" customHeight="false" outlineLevel="0" collapsed="false">
      <c r="A29" s="0" t="s">
        <v>86</v>
      </c>
      <c r="B29" s="0" t="s">
        <v>87</v>
      </c>
    </row>
    <row r="30" customFormat="false" ht="15" hidden="false" customHeight="false" outlineLevel="0" collapsed="false">
      <c r="A30" s="0" t="s">
        <v>86</v>
      </c>
      <c r="B30" s="0" t="s">
        <v>88</v>
      </c>
    </row>
    <row r="31" customFormat="false" ht="15" hidden="false" customHeight="false" outlineLevel="0" collapsed="false">
      <c r="A31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25"/>
    <col collapsed="false" customWidth="true" hidden="false" outlineLevel="0" max="7" min="7" style="0" width="50"/>
  </cols>
  <sheetData>
    <row r="1" customFormat="false" ht="30" hidden="false" customHeight="true" outlineLevel="0" collapsed="false">
      <c r="A1" s="4" t="s">
        <v>43</v>
      </c>
      <c r="B1" s="4" t="s">
        <v>23</v>
      </c>
      <c r="C1" s="4" t="s">
        <v>90</v>
      </c>
      <c r="D1" s="4" t="s">
        <v>91</v>
      </c>
      <c r="E1" s="4" t="s">
        <v>92</v>
      </c>
      <c r="F1" s="4" t="s">
        <v>29</v>
      </c>
      <c r="G1" s="4" t="s">
        <v>45</v>
      </c>
    </row>
    <row r="2" customFormat="false" ht="15" hidden="false" customHeight="false" outlineLevel="0" collapsed="false">
      <c r="A2" s="0" t="s">
        <v>93</v>
      </c>
      <c r="B2" s="0" t="s">
        <v>94</v>
      </c>
      <c r="C2" s="0" t="s">
        <v>95</v>
      </c>
      <c r="D2" s="5" t="s">
        <v>96</v>
      </c>
      <c r="E2" s="0" t="s">
        <v>97</v>
      </c>
    </row>
    <row r="3" customFormat="false" ht="15" hidden="false" customHeight="false" outlineLevel="0" collapsed="false">
      <c r="D3" s="5"/>
    </row>
    <row r="4" customFormat="false" ht="15" hidden="false" customHeight="false" outlineLevel="0" collapsed="false">
      <c r="D4" s="5"/>
    </row>
    <row r="5" customFormat="false" ht="15" hidden="false" customHeight="false" outlineLevel="0" collapsed="false">
      <c r="D5" s="5"/>
    </row>
    <row r="6" customFormat="false" ht="15" hidden="false" customHeight="false" outlineLevel="0" collapsed="false">
      <c r="D6" s="5"/>
    </row>
    <row r="7" customFormat="false" ht="15" hidden="false" customHeight="false" outlineLevel="0" collapsed="false">
      <c r="D7" s="5"/>
    </row>
    <row r="8" customFormat="false" ht="15" hidden="false" customHeight="false" outlineLevel="0" collapsed="false">
      <c r="D8" s="5"/>
    </row>
    <row r="9" customFormat="false" ht="15" hidden="false" customHeight="false" outlineLevel="0" collapsed="false">
      <c r="D9" s="5"/>
    </row>
    <row r="10" customFormat="false" ht="15" hidden="false" customHeight="false" outlineLevel="0" collapsed="false">
      <c r="D10" s="5"/>
    </row>
    <row r="11" customFormat="false" ht="15" hidden="false" customHeight="false" outlineLevel="0" collapsed="false">
      <c r="D11" s="5"/>
    </row>
    <row r="12" customFormat="false" ht="15" hidden="false" customHeight="false" outlineLevel="0" collapsed="false">
      <c r="D12" s="5"/>
    </row>
    <row r="13" customFormat="false" ht="15" hidden="false" customHeight="false" outlineLevel="0" collapsed="false">
      <c r="D13" s="5"/>
    </row>
    <row r="14" customFormat="false" ht="15" hidden="false" customHeight="false" outlineLevel="0" collapsed="false">
      <c r="D14" s="5"/>
    </row>
    <row r="15" customFormat="false" ht="15" hidden="false" customHeight="false" outlineLevel="0" collapsed="false">
      <c r="D15" s="5"/>
    </row>
    <row r="16" customFormat="false" ht="15" hidden="false" customHeight="false" outlineLevel="0" collapsed="false">
      <c r="D16" s="5"/>
    </row>
    <row r="17" customFormat="false" ht="15" hidden="false" customHeight="false" outlineLevel="0" collapsed="false">
      <c r="D17" s="5"/>
    </row>
    <row r="18" customFormat="false" ht="15" hidden="false" customHeight="false" outlineLevel="0" collapsed="false">
      <c r="D18" s="5"/>
    </row>
    <row r="19" customFormat="false" ht="15" hidden="false" customHeight="false" outlineLevel="0" collapsed="false">
      <c r="D19" s="5"/>
    </row>
    <row r="20" customFormat="false" ht="15" hidden="false" customHeight="false" outlineLevel="0" collapsed="false">
      <c r="D20" s="5"/>
    </row>
    <row r="21" customFormat="false" ht="15" hidden="false" customHeight="false" outlineLevel="0" collapsed="false">
      <c r="D21" s="5"/>
    </row>
    <row r="22" customFormat="false" ht="15" hidden="false" customHeight="false" outlineLevel="0" collapsed="false">
      <c r="D22" s="5"/>
    </row>
    <row r="23" customFormat="false" ht="15" hidden="false" customHeight="false" outlineLevel="0" collapsed="false">
      <c r="D23" s="5"/>
    </row>
    <row r="24" customFormat="false" ht="15" hidden="false" customHeight="false" outlineLevel="0" collapsed="false">
      <c r="D24" s="5"/>
    </row>
    <row r="25" customFormat="false" ht="15" hidden="false" customHeight="false" outlineLevel="0" collapsed="false">
      <c r="D25" s="5"/>
    </row>
    <row r="26" customFormat="false" ht="15" hidden="false" customHeight="false" outlineLevel="0" collapsed="false">
      <c r="D26" s="5"/>
    </row>
    <row r="27" customFormat="false" ht="15" hidden="false" customHeight="false" outlineLevel="0" collapsed="false">
      <c r="D27" s="5"/>
    </row>
    <row r="28" customFormat="false" ht="15" hidden="false" customHeight="false" outlineLevel="0" collapsed="false">
      <c r="D28" s="5"/>
    </row>
    <row r="29" customFormat="false" ht="15" hidden="false" customHeight="false" outlineLevel="0" collapsed="false">
      <c r="D29" s="5"/>
    </row>
    <row r="30" customFormat="false" ht="15" hidden="false" customHeight="false" outlineLevel="0" collapsed="false">
      <c r="D30" s="5"/>
    </row>
    <row r="31" customFormat="false" ht="15" hidden="false" customHeight="false" outlineLevel="0" collapsed="false">
      <c r="D31" s="5"/>
    </row>
    <row r="32" customFormat="false" ht="15" hidden="false" customHeight="false" outlineLevel="0" collapsed="false">
      <c r="D32" s="5"/>
    </row>
    <row r="33" customFormat="false" ht="15" hidden="false" customHeight="false" outlineLevel="0" collapsed="false">
      <c r="D33" s="5"/>
    </row>
    <row r="34" customFormat="false" ht="15" hidden="false" customHeight="false" outlineLevel="0" collapsed="false">
      <c r="D34" s="5"/>
    </row>
    <row r="35" customFormat="false" ht="15" hidden="false" customHeight="false" outlineLevel="0" collapsed="false">
      <c r="D35" s="5"/>
    </row>
    <row r="36" customFormat="false" ht="15" hidden="false" customHeight="false" outlineLevel="0" collapsed="false">
      <c r="D36" s="5"/>
    </row>
    <row r="37" customFormat="false" ht="15" hidden="false" customHeight="false" outlineLevel="0" collapsed="false">
      <c r="D37" s="5"/>
    </row>
    <row r="38" customFormat="false" ht="15" hidden="false" customHeight="false" outlineLevel="0" collapsed="false">
      <c r="D38" s="5"/>
    </row>
    <row r="39" customFormat="false" ht="15" hidden="false" customHeight="false" outlineLevel="0" collapsed="false">
      <c r="D39" s="5"/>
    </row>
    <row r="40" customFormat="false" ht="15" hidden="false" customHeight="false" outlineLevel="0" collapsed="false">
      <c r="D40" s="5"/>
    </row>
    <row r="41" customFormat="false" ht="15" hidden="false" customHeight="false" outlineLevel="0" collapsed="false">
      <c r="D41" s="5"/>
    </row>
    <row r="42" customFormat="false" ht="15" hidden="false" customHeight="false" outlineLevel="0" collapsed="false">
      <c r="D42" s="5"/>
    </row>
    <row r="43" customFormat="false" ht="15" hidden="false" customHeight="false" outlineLevel="0" collapsed="false">
      <c r="D43" s="5"/>
    </row>
    <row r="44" customFormat="false" ht="15" hidden="false" customHeight="false" outlineLevel="0" collapsed="false">
      <c r="D44" s="5"/>
    </row>
    <row r="45" customFormat="false" ht="15" hidden="false" customHeight="false" outlineLevel="0" collapsed="false">
      <c r="D45" s="5"/>
    </row>
    <row r="46" customFormat="false" ht="15" hidden="false" customHeight="false" outlineLevel="0" collapsed="false">
      <c r="D46" s="5"/>
    </row>
    <row r="47" customFormat="false" ht="15" hidden="false" customHeight="false" outlineLevel="0" collapsed="false">
      <c r="D47" s="5"/>
    </row>
    <row r="48" customFormat="false" ht="15" hidden="false" customHeight="false" outlineLevel="0" collapsed="false">
      <c r="D48" s="5"/>
    </row>
    <row r="49" customFormat="false" ht="15" hidden="false" customHeight="false" outlineLevel="0" collapsed="false">
      <c r="D49" s="5"/>
    </row>
    <row r="50" customFormat="false" ht="15" hidden="false" customHeight="false" outlineLevel="0" collapsed="false">
      <c r="D50" s="5"/>
    </row>
    <row r="51" customFormat="false" ht="15" hidden="false" customHeight="false" outlineLevel="0" collapsed="false">
      <c r="D51" s="5"/>
    </row>
    <row r="52" customFormat="false" ht="15" hidden="false" customHeight="false" outlineLevel="0" collapsed="false">
      <c r="D52" s="5"/>
    </row>
    <row r="53" customFormat="false" ht="15" hidden="false" customHeight="false" outlineLevel="0" collapsed="false">
      <c r="D53" s="5"/>
    </row>
    <row r="54" customFormat="false" ht="15" hidden="false" customHeight="false" outlineLevel="0" collapsed="false">
      <c r="D54" s="5"/>
    </row>
    <row r="55" customFormat="false" ht="15" hidden="false" customHeight="false" outlineLevel="0" collapsed="false">
      <c r="D55" s="5"/>
    </row>
    <row r="56" customFormat="false" ht="15" hidden="false" customHeight="false" outlineLevel="0" collapsed="false">
      <c r="D56" s="5"/>
    </row>
    <row r="57" customFormat="false" ht="15" hidden="false" customHeight="false" outlineLevel="0" collapsed="false">
      <c r="D57" s="5"/>
    </row>
    <row r="58" customFormat="false" ht="15" hidden="false" customHeight="false" outlineLevel="0" collapsed="false">
      <c r="D58" s="5"/>
    </row>
    <row r="59" customFormat="false" ht="15" hidden="false" customHeight="false" outlineLevel="0" collapsed="false">
      <c r="D59" s="5"/>
    </row>
    <row r="60" customFormat="false" ht="15" hidden="false" customHeight="false" outlineLevel="0" collapsed="false">
      <c r="D60" s="5"/>
    </row>
    <row r="61" customFormat="false" ht="15" hidden="false" customHeight="false" outlineLevel="0" collapsed="false">
      <c r="D61" s="5"/>
    </row>
    <row r="62" customFormat="false" ht="15" hidden="false" customHeight="false" outlineLevel="0" collapsed="false">
      <c r="D62" s="5"/>
    </row>
    <row r="63" customFormat="false" ht="15" hidden="false" customHeight="false" outlineLevel="0" collapsed="false">
      <c r="D63" s="5"/>
    </row>
    <row r="64" customFormat="false" ht="15" hidden="false" customHeight="false" outlineLevel="0" collapsed="false">
      <c r="D64" s="5"/>
    </row>
    <row r="65" customFormat="false" ht="15" hidden="false" customHeight="false" outlineLevel="0" collapsed="false">
      <c r="D65" s="5"/>
    </row>
    <row r="66" customFormat="false" ht="15" hidden="false" customHeight="false" outlineLevel="0" collapsed="false">
      <c r="D66" s="5"/>
    </row>
    <row r="67" customFormat="false" ht="15" hidden="false" customHeight="false" outlineLevel="0" collapsed="false">
      <c r="D67" s="5"/>
    </row>
    <row r="68" customFormat="false" ht="15" hidden="false" customHeight="false" outlineLevel="0" collapsed="false">
      <c r="D68" s="5"/>
    </row>
    <row r="69" customFormat="false" ht="15" hidden="false" customHeight="false" outlineLevel="0" collapsed="false">
      <c r="D69" s="5"/>
    </row>
    <row r="70" customFormat="false" ht="15" hidden="false" customHeight="false" outlineLevel="0" collapsed="false">
      <c r="D70" s="5"/>
    </row>
    <row r="71" customFormat="false" ht="15" hidden="false" customHeight="false" outlineLevel="0" collapsed="false">
      <c r="D71" s="5"/>
    </row>
    <row r="72" customFormat="false" ht="15" hidden="false" customHeight="false" outlineLevel="0" collapsed="false">
      <c r="D72" s="5"/>
    </row>
    <row r="73" customFormat="false" ht="15" hidden="false" customHeight="false" outlineLevel="0" collapsed="false">
      <c r="D73" s="5"/>
    </row>
    <row r="74" customFormat="false" ht="15" hidden="false" customHeight="false" outlineLevel="0" collapsed="false">
      <c r="D74" s="5"/>
    </row>
    <row r="75" customFormat="false" ht="15" hidden="false" customHeight="false" outlineLevel="0" collapsed="false">
      <c r="D75" s="5"/>
    </row>
    <row r="76" customFormat="false" ht="15" hidden="false" customHeight="false" outlineLevel="0" collapsed="false">
      <c r="D76" s="5"/>
    </row>
    <row r="77" customFormat="false" ht="15" hidden="false" customHeight="false" outlineLevel="0" collapsed="false">
      <c r="D77" s="5"/>
    </row>
    <row r="78" customFormat="false" ht="15" hidden="false" customHeight="false" outlineLevel="0" collapsed="false">
      <c r="D78" s="5"/>
    </row>
    <row r="79" customFormat="false" ht="15" hidden="false" customHeight="false" outlineLevel="0" collapsed="false">
      <c r="D79" s="5"/>
    </row>
    <row r="80" customFormat="false" ht="15" hidden="false" customHeight="false" outlineLevel="0" collapsed="false">
      <c r="D80" s="5"/>
    </row>
    <row r="81" customFormat="false" ht="15" hidden="false" customHeight="false" outlineLevel="0" collapsed="false">
      <c r="D81" s="5"/>
    </row>
    <row r="82" customFormat="false" ht="15" hidden="false" customHeight="false" outlineLevel="0" collapsed="false">
      <c r="D82" s="5"/>
    </row>
    <row r="83" customFormat="false" ht="15" hidden="false" customHeight="false" outlineLevel="0" collapsed="false">
      <c r="D83" s="5"/>
    </row>
    <row r="84" customFormat="false" ht="15" hidden="false" customHeight="false" outlineLevel="0" collapsed="false">
      <c r="D84" s="5"/>
    </row>
    <row r="85" customFormat="false" ht="15" hidden="false" customHeight="false" outlineLevel="0" collapsed="false">
      <c r="D85" s="5"/>
    </row>
    <row r="86" customFormat="false" ht="15" hidden="false" customHeight="false" outlineLevel="0" collapsed="false">
      <c r="D86" s="5"/>
    </row>
    <row r="87" customFormat="false" ht="15" hidden="false" customHeight="false" outlineLevel="0" collapsed="false">
      <c r="D87" s="5"/>
    </row>
    <row r="88" customFormat="false" ht="15" hidden="false" customHeight="false" outlineLevel="0" collapsed="false">
      <c r="D88" s="5"/>
    </row>
    <row r="89" customFormat="false" ht="15" hidden="false" customHeight="false" outlineLevel="0" collapsed="false">
      <c r="D89" s="5"/>
    </row>
    <row r="90" customFormat="false" ht="15" hidden="false" customHeight="false" outlineLevel="0" collapsed="false">
      <c r="D90" s="5"/>
    </row>
    <row r="91" customFormat="false" ht="15" hidden="false" customHeight="false" outlineLevel="0" collapsed="false">
      <c r="D91" s="5"/>
    </row>
    <row r="92" customFormat="false" ht="15" hidden="false" customHeight="false" outlineLevel="0" collapsed="false">
      <c r="D92" s="5"/>
    </row>
    <row r="93" customFormat="false" ht="15" hidden="false" customHeight="false" outlineLevel="0" collapsed="false">
      <c r="D93" s="5"/>
    </row>
    <row r="94" customFormat="false" ht="15" hidden="false" customHeight="false" outlineLevel="0" collapsed="false">
      <c r="D94" s="5"/>
    </row>
    <row r="95" customFormat="false" ht="15" hidden="false" customHeight="false" outlineLevel="0" collapsed="false">
      <c r="D95" s="5"/>
    </row>
    <row r="96" customFormat="false" ht="15" hidden="false" customHeight="false" outlineLevel="0" collapsed="false">
      <c r="D96" s="5"/>
    </row>
    <row r="97" customFormat="false" ht="15" hidden="false" customHeight="false" outlineLevel="0" collapsed="false">
      <c r="D97" s="5"/>
    </row>
    <row r="98" customFormat="false" ht="15" hidden="false" customHeight="false" outlineLevel="0" collapsed="false">
      <c r="D98" s="5"/>
    </row>
    <row r="99" customFormat="false" ht="15" hidden="false" customHeight="false" outlineLevel="0" collapsed="false">
      <c r="D99" s="5"/>
    </row>
    <row r="100" customFormat="false" ht="15" hidden="false" customHeight="false" outlineLevel="0" collapsed="false">
      <c r="D100" s="5"/>
    </row>
    <row r="101" customFormat="false" ht="15" hidden="false" customHeight="false" outlineLevel="0" collapsed="false">
      <c r="D101" s="5"/>
    </row>
    <row r="102" customFormat="false" ht="15" hidden="false" customHeight="false" outlineLevel="0" collapsed="false">
      <c r="D102" s="5"/>
    </row>
    <row r="103" customFormat="false" ht="15" hidden="false" customHeight="false" outlineLevel="0" collapsed="false">
      <c r="D103" s="5"/>
    </row>
    <row r="104" customFormat="false" ht="15" hidden="false" customHeight="false" outlineLevel="0" collapsed="false">
      <c r="D104" s="5"/>
    </row>
    <row r="105" customFormat="false" ht="15" hidden="false" customHeight="false" outlineLevel="0" collapsed="false">
      <c r="D105" s="5"/>
    </row>
    <row r="106" customFormat="false" ht="15" hidden="false" customHeight="false" outlineLevel="0" collapsed="false">
      <c r="D106" s="5"/>
    </row>
    <row r="107" customFormat="false" ht="15" hidden="false" customHeight="false" outlineLevel="0" collapsed="false">
      <c r="D107" s="5"/>
    </row>
    <row r="108" customFormat="false" ht="15" hidden="false" customHeight="false" outlineLevel="0" collapsed="false">
      <c r="D108" s="5"/>
    </row>
    <row r="109" customFormat="false" ht="15" hidden="false" customHeight="false" outlineLevel="0" collapsed="false">
      <c r="D109" s="5"/>
    </row>
    <row r="110" customFormat="false" ht="15" hidden="false" customHeight="false" outlineLevel="0" collapsed="false">
      <c r="D110" s="5"/>
    </row>
    <row r="111" customFormat="false" ht="15" hidden="false" customHeight="false" outlineLevel="0" collapsed="false">
      <c r="D111" s="5"/>
    </row>
    <row r="112" customFormat="false" ht="15" hidden="false" customHeight="false" outlineLevel="0" collapsed="false">
      <c r="D112" s="5"/>
    </row>
    <row r="113" customFormat="false" ht="15" hidden="false" customHeight="false" outlineLevel="0" collapsed="false">
      <c r="D113" s="5"/>
    </row>
    <row r="114" customFormat="false" ht="15" hidden="false" customHeight="false" outlineLevel="0" collapsed="false">
      <c r="D114" s="5"/>
    </row>
    <row r="115" customFormat="false" ht="15" hidden="false" customHeight="false" outlineLevel="0" collapsed="false">
      <c r="D115" s="5"/>
    </row>
    <row r="116" customFormat="false" ht="15" hidden="false" customHeight="false" outlineLevel="0" collapsed="false">
      <c r="D116" s="5"/>
    </row>
    <row r="117" customFormat="false" ht="15" hidden="false" customHeight="false" outlineLevel="0" collapsed="false">
      <c r="D117" s="5"/>
    </row>
    <row r="118" customFormat="false" ht="15" hidden="false" customHeight="false" outlineLevel="0" collapsed="false">
      <c r="D118" s="5"/>
    </row>
    <row r="119" customFormat="false" ht="15" hidden="false" customHeight="false" outlineLevel="0" collapsed="false">
      <c r="D119" s="5"/>
    </row>
    <row r="120" customFormat="false" ht="15" hidden="false" customHeight="false" outlineLevel="0" collapsed="false">
      <c r="D120" s="5"/>
    </row>
    <row r="121" customFormat="false" ht="15" hidden="false" customHeight="false" outlineLevel="0" collapsed="false">
      <c r="D121" s="5"/>
    </row>
    <row r="122" customFormat="false" ht="15" hidden="false" customHeight="false" outlineLevel="0" collapsed="false">
      <c r="D122" s="5"/>
    </row>
    <row r="123" customFormat="false" ht="15" hidden="false" customHeight="false" outlineLevel="0" collapsed="false">
      <c r="D123" s="5"/>
    </row>
    <row r="124" customFormat="false" ht="15" hidden="false" customHeight="false" outlineLevel="0" collapsed="false">
      <c r="D124" s="5"/>
    </row>
    <row r="125" customFormat="false" ht="15" hidden="false" customHeight="false" outlineLevel="0" collapsed="false">
      <c r="D125" s="5"/>
    </row>
    <row r="126" customFormat="false" ht="15" hidden="false" customHeight="false" outlineLevel="0" collapsed="false">
      <c r="D126" s="5"/>
    </row>
    <row r="127" customFormat="false" ht="15" hidden="false" customHeight="false" outlineLevel="0" collapsed="false">
      <c r="D127" s="5"/>
    </row>
    <row r="128" customFormat="false" ht="15" hidden="false" customHeight="false" outlineLevel="0" collapsed="false">
      <c r="D128" s="5"/>
    </row>
    <row r="129" customFormat="false" ht="15" hidden="false" customHeight="false" outlineLevel="0" collapsed="false">
      <c r="D129" s="5"/>
    </row>
    <row r="130" customFormat="false" ht="15" hidden="false" customHeight="false" outlineLevel="0" collapsed="false">
      <c r="D130" s="5"/>
    </row>
    <row r="131" customFormat="false" ht="15" hidden="false" customHeight="false" outlineLevel="0" collapsed="false">
      <c r="D131" s="5"/>
    </row>
    <row r="132" customFormat="false" ht="15" hidden="false" customHeight="false" outlineLevel="0" collapsed="false">
      <c r="D132" s="5"/>
    </row>
    <row r="133" customFormat="false" ht="15" hidden="false" customHeight="false" outlineLevel="0" collapsed="false">
      <c r="D133" s="5"/>
    </row>
    <row r="134" customFormat="false" ht="15" hidden="false" customHeight="false" outlineLevel="0" collapsed="false">
      <c r="D134" s="5"/>
    </row>
    <row r="135" customFormat="false" ht="15" hidden="false" customHeight="false" outlineLevel="0" collapsed="false">
      <c r="D135" s="5"/>
    </row>
    <row r="136" customFormat="false" ht="15" hidden="false" customHeight="false" outlineLevel="0" collapsed="false">
      <c r="D136" s="5"/>
    </row>
    <row r="137" customFormat="false" ht="15" hidden="false" customHeight="false" outlineLevel="0" collapsed="false">
      <c r="D137" s="5"/>
    </row>
    <row r="138" customFormat="false" ht="15" hidden="false" customHeight="false" outlineLevel="0" collapsed="false">
      <c r="D138" s="5"/>
    </row>
    <row r="139" customFormat="false" ht="15" hidden="false" customHeight="false" outlineLevel="0" collapsed="false">
      <c r="D139" s="5"/>
    </row>
    <row r="140" customFormat="false" ht="15" hidden="false" customHeight="false" outlineLevel="0" collapsed="false">
      <c r="D140" s="5"/>
    </row>
    <row r="141" customFormat="false" ht="15" hidden="false" customHeight="false" outlineLevel="0" collapsed="false">
      <c r="D141" s="5"/>
    </row>
    <row r="142" customFormat="false" ht="15" hidden="false" customHeight="false" outlineLevel="0" collapsed="false">
      <c r="D142" s="5"/>
    </row>
    <row r="143" customFormat="false" ht="15" hidden="false" customHeight="false" outlineLevel="0" collapsed="false">
      <c r="D143" s="5"/>
    </row>
    <row r="144" customFormat="false" ht="15" hidden="false" customHeight="false" outlineLevel="0" collapsed="false">
      <c r="D144" s="5"/>
    </row>
    <row r="145" customFormat="false" ht="15" hidden="false" customHeight="false" outlineLevel="0" collapsed="false">
      <c r="D145" s="5"/>
    </row>
    <row r="146" customFormat="false" ht="15" hidden="false" customHeight="false" outlineLevel="0" collapsed="false">
      <c r="D146" s="5"/>
    </row>
    <row r="147" customFormat="false" ht="15" hidden="false" customHeight="false" outlineLevel="0" collapsed="false">
      <c r="D147" s="5"/>
    </row>
    <row r="148" customFormat="false" ht="15" hidden="false" customHeight="false" outlineLevel="0" collapsed="false">
      <c r="D148" s="5"/>
    </row>
    <row r="149" customFormat="false" ht="15" hidden="false" customHeight="false" outlineLevel="0" collapsed="false">
      <c r="D149" s="5"/>
    </row>
    <row r="150" customFormat="false" ht="15" hidden="false" customHeight="false" outlineLevel="0" collapsed="false">
      <c r="D150" s="5"/>
    </row>
    <row r="151" customFormat="false" ht="15" hidden="false" customHeight="false" outlineLevel="0" collapsed="false">
      <c r="D151" s="5"/>
    </row>
    <row r="152" customFormat="false" ht="15" hidden="false" customHeight="false" outlineLevel="0" collapsed="false">
      <c r="D152" s="5"/>
    </row>
    <row r="153" customFormat="false" ht="15" hidden="false" customHeight="false" outlineLevel="0" collapsed="false">
      <c r="D153" s="5"/>
    </row>
    <row r="154" customFormat="false" ht="15" hidden="false" customHeight="false" outlineLevel="0" collapsed="false">
      <c r="D154" s="5"/>
    </row>
    <row r="155" customFormat="false" ht="15" hidden="false" customHeight="false" outlineLevel="0" collapsed="false">
      <c r="D155" s="5"/>
    </row>
    <row r="156" customFormat="false" ht="15" hidden="false" customHeight="false" outlineLevel="0" collapsed="false">
      <c r="D156" s="5"/>
    </row>
    <row r="157" customFormat="false" ht="15" hidden="false" customHeight="false" outlineLevel="0" collapsed="false">
      <c r="D157" s="5"/>
    </row>
    <row r="158" customFormat="false" ht="15" hidden="false" customHeight="false" outlineLevel="0" collapsed="false">
      <c r="D158" s="5"/>
    </row>
    <row r="159" customFormat="false" ht="15" hidden="false" customHeight="false" outlineLevel="0" collapsed="false">
      <c r="D159" s="5"/>
    </row>
    <row r="160" customFormat="false" ht="15" hidden="false" customHeight="false" outlineLevel="0" collapsed="false">
      <c r="D160" s="5"/>
    </row>
    <row r="161" customFormat="false" ht="15" hidden="false" customHeight="false" outlineLevel="0" collapsed="false">
      <c r="D161" s="5"/>
    </row>
    <row r="162" customFormat="false" ht="15" hidden="false" customHeight="false" outlineLevel="0" collapsed="false">
      <c r="D162" s="5"/>
    </row>
    <row r="163" customFormat="false" ht="15" hidden="false" customHeight="false" outlineLevel="0" collapsed="false">
      <c r="D163" s="5"/>
    </row>
    <row r="164" customFormat="false" ht="15" hidden="false" customHeight="false" outlineLevel="0" collapsed="false">
      <c r="D164" s="5"/>
    </row>
    <row r="165" customFormat="false" ht="15" hidden="false" customHeight="false" outlineLevel="0" collapsed="false">
      <c r="D165" s="5"/>
    </row>
    <row r="166" customFormat="false" ht="15" hidden="false" customHeight="false" outlineLevel="0" collapsed="false">
      <c r="D166" s="5"/>
    </row>
    <row r="167" customFormat="false" ht="15" hidden="false" customHeight="false" outlineLevel="0" collapsed="false">
      <c r="D167" s="5"/>
    </row>
    <row r="168" customFormat="false" ht="15" hidden="false" customHeight="false" outlineLevel="0" collapsed="false">
      <c r="D168" s="5"/>
    </row>
    <row r="169" customFormat="false" ht="15" hidden="false" customHeight="false" outlineLevel="0" collapsed="false">
      <c r="D169" s="5"/>
    </row>
    <row r="170" customFormat="false" ht="15" hidden="false" customHeight="false" outlineLevel="0" collapsed="false">
      <c r="D170" s="5"/>
    </row>
    <row r="171" customFormat="false" ht="15" hidden="false" customHeight="false" outlineLevel="0" collapsed="false">
      <c r="D171" s="5"/>
    </row>
    <row r="172" customFormat="false" ht="15" hidden="false" customHeight="false" outlineLevel="0" collapsed="false">
      <c r="D172" s="5"/>
    </row>
    <row r="173" customFormat="false" ht="15" hidden="false" customHeight="false" outlineLevel="0" collapsed="false">
      <c r="D173" s="5"/>
    </row>
    <row r="174" customFormat="false" ht="15" hidden="false" customHeight="false" outlineLevel="0" collapsed="false">
      <c r="D174" s="5"/>
    </row>
    <row r="175" customFormat="false" ht="15" hidden="false" customHeight="false" outlineLevel="0" collapsed="false">
      <c r="D175" s="5"/>
    </row>
    <row r="176" customFormat="false" ht="15" hidden="false" customHeight="false" outlineLevel="0" collapsed="false">
      <c r="D176" s="5"/>
    </row>
    <row r="177" customFormat="false" ht="15" hidden="false" customHeight="false" outlineLevel="0" collapsed="false">
      <c r="D177" s="5"/>
    </row>
    <row r="178" customFormat="false" ht="15" hidden="false" customHeight="false" outlineLevel="0" collapsed="false">
      <c r="D178" s="5"/>
    </row>
    <row r="179" customFormat="false" ht="15" hidden="false" customHeight="false" outlineLevel="0" collapsed="false">
      <c r="D179" s="5"/>
    </row>
    <row r="180" customFormat="false" ht="15" hidden="false" customHeight="false" outlineLevel="0" collapsed="false">
      <c r="D180" s="5"/>
    </row>
    <row r="181" customFormat="false" ht="15" hidden="false" customHeight="false" outlineLevel="0" collapsed="false">
      <c r="D181" s="5"/>
    </row>
    <row r="182" customFormat="false" ht="15" hidden="false" customHeight="false" outlineLevel="0" collapsed="false">
      <c r="D182" s="5"/>
    </row>
    <row r="183" customFormat="false" ht="15" hidden="false" customHeight="false" outlineLevel="0" collapsed="false">
      <c r="D183" s="5"/>
    </row>
    <row r="184" customFormat="false" ht="15" hidden="false" customHeight="false" outlineLevel="0" collapsed="false">
      <c r="D184" s="5"/>
    </row>
    <row r="185" customFormat="false" ht="15" hidden="false" customHeight="false" outlineLevel="0" collapsed="false">
      <c r="D185" s="5"/>
    </row>
    <row r="186" customFormat="false" ht="15" hidden="false" customHeight="false" outlineLevel="0" collapsed="false">
      <c r="D186" s="5"/>
    </row>
    <row r="187" customFormat="false" ht="15" hidden="false" customHeight="false" outlineLevel="0" collapsed="false">
      <c r="D187" s="5"/>
    </row>
    <row r="188" customFormat="false" ht="15" hidden="false" customHeight="false" outlineLevel="0" collapsed="false">
      <c r="D188" s="5"/>
    </row>
    <row r="189" customFormat="false" ht="15" hidden="false" customHeight="false" outlineLevel="0" collapsed="false">
      <c r="D189" s="5"/>
    </row>
    <row r="190" customFormat="false" ht="15" hidden="false" customHeight="false" outlineLevel="0" collapsed="false">
      <c r="D190" s="5"/>
    </row>
    <row r="191" customFormat="false" ht="15" hidden="false" customHeight="false" outlineLevel="0" collapsed="false">
      <c r="D191" s="5"/>
    </row>
    <row r="192" customFormat="false" ht="15" hidden="false" customHeight="false" outlineLevel="0" collapsed="false">
      <c r="D192" s="5"/>
    </row>
    <row r="193" customFormat="false" ht="15" hidden="false" customHeight="false" outlineLevel="0" collapsed="false">
      <c r="D193" s="5"/>
    </row>
    <row r="194" customFormat="false" ht="15" hidden="false" customHeight="false" outlineLevel="0" collapsed="false">
      <c r="D194" s="5"/>
    </row>
    <row r="195" customFormat="false" ht="15" hidden="false" customHeight="false" outlineLevel="0" collapsed="false">
      <c r="D195" s="5"/>
    </row>
    <row r="196" customFormat="false" ht="15" hidden="false" customHeight="false" outlineLevel="0" collapsed="false">
      <c r="D196" s="5"/>
    </row>
    <row r="197" customFormat="false" ht="15" hidden="false" customHeight="false" outlineLevel="0" collapsed="false">
      <c r="D197" s="5"/>
    </row>
    <row r="198" customFormat="false" ht="15" hidden="false" customHeight="false" outlineLevel="0" collapsed="false">
      <c r="D198" s="5"/>
    </row>
    <row r="199" customFormat="false" ht="15" hidden="false" customHeight="false" outlineLevel="0" collapsed="false">
      <c r="D199" s="5"/>
    </row>
    <row r="200" customFormat="false" ht="15" hidden="false" customHeight="false" outlineLevel="0" collapsed="false">
      <c r="D200" s="5"/>
    </row>
    <row r="201" customFormat="false" ht="15" hidden="false" customHeight="false" outlineLevel="0" collapsed="false">
      <c r="D201" s="5"/>
    </row>
    <row r="202" customFormat="false" ht="15" hidden="false" customHeight="false" outlineLevel="0" collapsed="false">
      <c r="D202" s="5"/>
    </row>
    <row r="203" customFormat="false" ht="15" hidden="false" customHeight="false" outlineLevel="0" collapsed="false">
      <c r="D203" s="5"/>
    </row>
    <row r="204" customFormat="false" ht="15" hidden="false" customHeight="false" outlineLevel="0" collapsed="false">
      <c r="D204" s="5"/>
    </row>
    <row r="205" customFormat="false" ht="15" hidden="false" customHeight="false" outlineLevel="0" collapsed="false">
      <c r="D205" s="5"/>
    </row>
    <row r="206" customFormat="false" ht="15" hidden="false" customHeight="false" outlineLevel="0" collapsed="false">
      <c r="D206" s="5"/>
    </row>
    <row r="207" customFormat="false" ht="15" hidden="false" customHeight="false" outlineLevel="0" collapsed="false">
      <c r="D207" s="5"/>
    </row>
    <row r="208" customFormat="false" ht="15" hidden="false" customHeight="false" outlineLevel="0" collapsed="false">
      <c r="D208" s="5"/>
    </row>
    <row r="209" customFormat="false" ht="15" hidden="false" customHeight="false" outlineLevel="0" collapsed="false">
      <c r="D209" s="5"/>
    </row>
    <row r="210" customFormat="false" ht="15" hidden="false" customHeight="false" outlineLevel="0" collapsed="false">
      <c r="D210" s="5"/>
    </row>
    <row r="211" customFormat="false" ht="15" hidden="false" customHeight="false" outlineLevel="0" collapsed="false">
      <c r="D211" s="5"/>
    </row>
    <row r="212" customFormat="false" ht="15" hidden="false" customHeight="false" outlineLevel="0" collapsed="false">
      <c r="D212" s="5"/>
    </row>
    <row r="213" customFormat="false" ht="15" hidden="false" customHeight="false" outlineLevel="0" collapsed="false">
      <c r="D213" s="5"/>
    </row>
    <row r="214" customFormat="false" ht="15" hidden="false" customHeight="false" outlineLevel="0" collapsed="false">
      <c r="D214" s="5"/>
    </row>
    <row r="215" customFormat="false" ht="15" hidden="false" customHeight="false" outlineLevel="0" collapsed="false">
      <c r="D215" s="5"/>
    </row>
    <row r="216" customFormat="false" ht="15" hidden="false" customHeight="false" outlineLevel="0" collapsed="false">
      <c r="D216" s="5"/>
    </row>
    <row r="217" customFormat="false" ht="15" hidden="false" customHeight="false" outlineLevel="0" collapsed="false">
      <c r="D217" s="5"/>
    </row>
    <row r="218" customFormat="false" ht="15" hidden="false" customHeight="false" outlineLevel="0" collapsed="false">
      <c r="D218" s="5"/>
    </row>
    <row r="219" customFormat="false" ht="15" hidden="false" customHeight="false" outlineLevel="0" collapsed="false">
      <c r="D219" s="5"/>
    </row>
    <row r="220" customFormat="false" ht="15" hidden="false" customHeight="false" outlineLevel="0" collapsed="false">
      <c r="D220" s="5"/>
    </row>
    <row r="221" customFormat="false" ht="15" hidden="false" customHeight="false" outlineLevel="0" collapsed="false">
      <c r="D221" s="5"/>
    </row>
    <row r="222" customFormat="false" ht="15" hidden="false" customHeight="false" outlineLevel="0" collapsed="false">
      <c r="D222" s="5"/>
    </row>
    <row r="223" customFormat="false" ht="15" hidden="false" customHeight="false" outlineLevel="0" collapsed="false">
      <c r="D223" s="5"/>
    </row>
    <row r="224" customFormat="false" ht="15" hidden="false" customHeight="false" outlineLevel="0" collapsed="false">
      <c r="D224" s="5"/>
    </row>
    <row r="225" customFormat="false" ht="15" hidden="false" customHeight="false" outlineLevel="0" collapsed="false">
      <c r="D225" s="5"/>
    </row>
    <row r="226" customFormat="false" ht="15" hidden="false" customHeight="false" outlineLevel="0" collapsed="false">
      <c r="D226" s="5"/>
    </row>
    <row r="227" customFormat="false" ht="15" hidden="false" customHeight="false" outlineLevel="0" collapsed="false">
      <c r="D227" s="5"/>
    </row>
    <row r="228" customFormat="false" ht="15" hidden="false" customHeight="false" outlineLevel="0" collapsed="false">
      <c r="D228" s="5"/>
    </row>
    <row r="229" customFormat="false" ht="15" hidden="false" customHeight="false" outlineLevel="0" collapsed="false">
      <c r="D229" s="5"/>
    </row>
    <row r="230" customFormat="false" ht="15" hidden="false" customHeight="false" outlineLevel="0" collapsed="false">
      <c r="D230" s="5"/>
    </row>
    <row r="231" customFormat="false" ht="15" hidden="false" customHeight="false" outlineLevel="0" collapsed="false">
      <c r="D231" s="5"/>
    </row>
    <row r="232" customFormat="false" ht="15" hidden="false" customHeight="false" outlineLevel="0" collapsed="false">
      <c r="D232" s="5"/>
    </row>
    <row r="233" customFormat="false" ht="15" hidden="false" customHeight="false" outlineLevel="0" collapsed="false">
      <c r="D233" s="5"/>
    </row>
    <row r="234" customFormat="false" ht="15" hidden="false" customHeight="false" outlineLevel="0" collapsed="false">
      <c r="D234" s="5"/>
    </row>
    <row r="235" customFormat="false" ht="15" hidden="false" customHeight="false" outlineLevel="0" collapsed="false">
      <c r="D235" s="5"/>
    </row>
    <row r="236" customFormat="false" ht="15" hidden="false" customHeight="false" outlineLevel="0" collapsed="false">
      <c r="D236" s="5"/>
    </row>
    <row r="237" customFormat="false" ht="15" hidden="false" customHeight="false" outlineLevel="0" collapsed="false">
      <c r="D237" s="5"/>
    </row>
    <row r="238" customFormat="false" ht="15" hidden="false" customHeight="false" outlineLevel="0" collapsed="false">
      <c r="D238" s="5"/>
    </row>
    <row r="239" customFormat="false" ht="15" hidden="false" customHeight="false" outlineLevel="0" collapsed="false">
      <c r="D239" s="5"/>
    </row>
    <row r="240" customFormat="false" ht="15" hidden="false" customHeight="false" outlineLevel="0" collapsed="false">
      <c r="D240" s="5"/>
    </row>
    <row r="241" customFormat="false" ht="15" hidden="false" customHeight="false" outlineLevel="0" collapsed="false">
      <c r="D241" s="5"/>
    </row>
    <row r="242" customFormat="false" ht="15" hidden="false" customHeight="false" outlineLevel="0" collapsed="false">
      <c r="D242" s="5"/>
    </row>
    <row r="243" customFormat="false" ht="15" hidden="false" customHeight="false" outlineLevel="0" collapsed="false">
      <c r="D243" s="5"/>
    </row>
    <row r="244" customFormat="false" ht="15" hidden="false" customHeight="false" outlineLevel="0" collapsed="false">
      <c r="D244" s="5"/>
    </row>
    <row r="245" customFormat="false" ht="15" hidden="false" customHeight="false" outlineLevel="0" collapsed="false">
      <c r="D245" s="5"/>
    </row>
    <row r="246" customFormat="false" ht="15" hidden="false" customHeight="false" outlineLevel="0" collapsed="false">
      <c r="D246" s="5"/>
    </row>
    <row r="247" customFormat="false" ht="15" hidden="false" customHeight="false" outlineLevel="0" collapsed="false">
      <c r="D247" s="5"/>
    </row>
    <row r="248" customFormat="false" ht="15" hidden="false" customHeight="false" outlineLevel="0" collapsed="false">
      <c r="D248" s="5"/>
    </row>
    <row r="249" customFormat="false" ht="15" hidden="false" customHeight="false" outlineLevel="0" collapsed="false">
      <c r="D249" s="5"/>
    </row>
    <row r="250" customFormat="false" ht="15" hidden="false" customHeight="false" outlineLevel="0" collapsed="false">
      <c r="D250" s="5"/>
    </row>
    <row r="251" customFormat="false" ht="15" hidden="false" customHeight="false" outlineLevel="0" collapsed="false">
      <c r="D251" s="5"/>
    </row>
    <row r="252" customFormat="false" ht="15" hidden="false" customHeight="false" outlineLevel="0" collapsed="false">
      <c r="D252" s="5"/>
    </row>
    <row r="253" customFormat="false" ht="15" hidden="false" customHeight="false" outlineLevel="0" collapsed="false">
      <c r="D253" s="5"/>
    </row>
    <row r="254" customFormat="false" ht="15" hidden="false" customHeight="false" outlineLevel="0" collapsed="false">
      <c r="D254" s="5"/>
    </row>
    <row r="255" customFormat="false" ht="15" hidden="false" customHeight="false" outlineLevel="0" collapsed="false">
      <c r="D255" s="5"/>
    </row>
    <row r="256" customFormat="false" ht="15" hidden="false" customHeight="false" outlineLevel="0" collapsed="false">
      <c r="D256" s="5"/>
    </row>
    <row r="257" customFormat="false" ht="15" hidden="false" customHeight="false" outlineLevel="0" collapsed="false">
      <c r="D257" s="5"/>
    </row>
    <row r="258" customFormat="false" ht="15" hidden="false" customHeight="false" outlineLevel="0" collapsed="false">
      <c r="D258" s="5"/>
    </row>
    <row r="259" customFormat="false" ht="15" hidden="false" customHeight="false" outlineLevel="0" collapsed="false">
      <c r="D259" s="5"/>
    </row>
    <row r="260" customFormat="false" ht="15" hidden="false" customHeight="false" outlineLevel="0" collapsed="false">
      <c r="D260" s="5"/>
    </row>
    <row r="261" customFormat="false" ht="15" hidden="false" customHeight="false" outlineLevel="0" collapsed="false">
      <c r="D261" s="5"/>
    </row>
    <row r="262" customFormat="false" ht="15" hidden="false" customHeight="false" outlineLevel="0" collapsed="false">
      <c r="D262" s="5"/>
    </row>
    <row r="263" customFormat="false" ht="15" hidden="false" customHeight="false" outlineLevel="0" collapsed="false">
      <c r="D263" s="5"/>
    </row>
    <row r="264" customFormat="false" ht="15" hidden="false" customHeight="false" outlineLevel="0" collapsed="false">
      <c r="D264" s="5"/>
    </row>
    <row r="265" customFormat="false" ht="15" hidden="false" customHeight="false" outlineLevel="0" collapsed="false">
      <c r="D265" s="5"/>
    </row>
    <row r="266" customFormat="false" ht="15" hidden="false" customHeight="false" outlineLevel="0" collapsed="false">
      <c r="D266" s="5"/>
    </row>
    <row r="267" customFormat="false" ht="15" hidden="false" customHeight="false" outlineLevel="0" collapsed="false">
      <c r="D267" s="5"/>
    </row>
    <row r="268" customFormat="false" ht="15" hidden="false" customHeight="false" outlineLevel="0" collapsed="false">
      <c r="D268" s="5"/>
    </row>
    <row r="269" customFormat="false" ht="15" hidden="false" customHeight="false" outlineLevel="0" collapsed="false">
      <c r="D269" s="5"/>
    </row>
    <row r="270" customFormat="false" ht="15" hidden="false" customHeight="false" outlineLevel="0" collapsed="false">
      <c r="D270" s="5"/>
    </row>
    <row r="271" customFormat="false" ht="15" hidden="false" customHeight="false" outlineLevel="0" collapsed="false">
      <c r="D271" s="5"/>
    </row>
    <row r="272" customFormat="false" ht="15" hidden="false" customHeight="false" outlineLevel="0" collapsed="false">
      <c r="D272" s="5"/>
    </row>
    <row r="273" customFormat="false" ht="15" hidden="false" customHeight="false" outlineLevel="0" collapsed="false">
      <c r="D273" s="5"/>
    </row>
    <row r="274" customFormat="false" ht="15" hidden="false" customHeight="false" outlineLevel="0" collapsed="false">
      <c r="D274" s="5"/>
    </row>
    <row r="275" customFormat="false" ht="15" hidden="false" customHeight="false" outlineLevel="0" collapsed="false">
      <c r="D275" s="5"/>
    </row>
    <row r="276" customFormat="false" ht="15" hidden="false" customHeight="false" outlineLevel="0" collapsed="false">
      <c r="D276" s="5"/>
    </row>
    <row r="277" customFormat="false" ht="15" hidden="false" customHeight="false" outlineLevel="0" collapsed="false">
      <c r="D277" s="5"/>
    </row>
    <row r="278" customFormat="false" ht="15" hidden="false" customHeight="false" outlineLevel="0" collapsed="false">
      <c r="D278" s="5"/>
    </row>
    <row r="279" customFormat="false" ht="15" hidden="false" customHeight="false" outlineLevel="0" collapsed="false">
      <c r="D279" s="5"/>
    </row>
    <row r="280" customFormat="false" ht="15" hidden="false" customHeight="false" outlineLevel="0" collapsed="false">
      <c r="D280" s="5"/>
    </row>
    <row r="281" customFormat="false" ht="15" hidden="false" customHeight="false" outlineLevel="0" collapsed="false">
      <c r="D281" s="5"/>
    </row>
    <row r="282" customFormat="false" ht="15" hidden="false" customHeight="false" outlineLevel="0" collapsed="false">
      <c r="D282" s="5"/>
    </row>
    <row r="283" customFormat="false" ht="15" hidden="false" customHeight="false" outlineLevel="0" collapsed="false">
      <c r="D283" s="5"/>
    </row>
    <row r="284" customFormat="false" ht="15" hidden="false" customHeight="false" outlineLevel="0" collapsed="false">
      <c r="D284" s="5"/>
    </row>
    <row r="285" customFormat="false" ht="15" hidden="false" customHeight="false" outlineLevel="0" collapsed="false">
      <c r="D285" s="5"/>
    </row>
    <row r="286" customFormat="false" ht="15" hidden="false" customHeight="false" outlineLevel="0" collapsed="false">
      <c r="D286" s="5"/>
    </row>
    <row r="287" customFormat="false" ht="15" hidden="false" customHeight="false" outlineLevel="0" collapsed="false">
      <c r="D287" s="5"/>
    </row>
    <row r="288" customFormat="false" ht="15" hidden="false" customHeight="false" outlineLevel="0" collapsed="false">
      <c r="D288" s="5"/>
    </row>
    <row r="289" customFormat="false" ht="15" hidden="false" customHeight="false" outlineLevel="0" collapsed="false">
      <c r="D289" s="5"/>
    </row>
    <row r="290" customFormat="false" ht="15" hidden="false" customHeight="false" outlineLevel="0" collapsed="false">
      <c r="D290" s="5"/>
    </row>
    <row r="291" customFormat="false" ht="15" hidden="false" customHeight="false" outlineLevel="0" collapsed="false">
      <c r="D291" s="5"/>
    </row>
    <row r="292" customFormat="false" ht="15" hidden="false" customHeight="false" outlineLevel="0" collapsed="false">
      <c r="D292" s="5"/>
    </row>
    <row r="293" customFormat="false" ht="15" hidden="false" customHeight="false" outlineLevel="0" collapsed="false">
      <c r="D293" s="5"/>
    </row>
    <row r="294" customFormat="false" ht="15" hidden="false" customHeight="false" outlineLevel="0" collapsed="false">
      <c r="D294" s="5"/>
    </row>
    <row r="295" customFormat="false" ht="15" hidden="false" customHeight="false" outlineLevel="0" collapsed="false">
      <c r="D295" s="5"/>
    </row>
    <row r="296" customFormat="false" ht="15" hidden="false" customHeight="false" outlineLevel="0" collapsed="false">
      <c r="D296" s="5"/>
    </row>
    <row r="297" customFormat="false" ht="15" hidden="false" customHeight="false" outlineLevel="0" collapsed="false">
      <c r="D297" s="5"/>
    </row>
    <row r="298" customFormat="false" ht="15" hidden="false" customHeight="false" outlineLevel="0" collapsed="false">
      <c r="D298" s="5"/>
    </row>
    <row r="299" customFormat="false" ht="15" hidden="false" customHeight="false" outlineLevel="0" collapsed="false">
      <c r="D299" s="5"/>
    </row>
    <row r="300" customFormat="false" ht="15" hidden="false" customHeight="false" outlineLevel="0" collapsed="false">
      <c r="D300" s="5"/>
    </row>
    <row r="301" customFormat="false" ht="15" hidden="false" customHeight="false" outlineLevel="0" collapsed="false">
      <c r="D301" s="5"/>
    </row>
    <row r="302" customFormat="false" ht="15" hidden="false" customHeight="false" outlineLevel="0" collapsed="false">
      <c r="D302" s="5"/>
    </row>
    <row r="303" customFormat="false" ht="15" hidden="false" customHeight="false" outlineLevel="0" collapsed="false">
      <c r="D303" s="5"/>
    </row>
    <row r="304" customFormat="false" ht="15" hidden="false" customHeight="false" outlineLevel="0" collapsed="false">
      <c r="D304" s="5"/>
    </row>
    <row r="305" customFormat="false" ht="15" hidden="false" customHeight="false" outlineLevel="0" collapsed="false">
      <c r="D305" s="5"/>
    </row>
    <row r="306" customFormat="false" ht="15" hidden="false" customHeight="false" outlineLevel="0" collapsed="false">
      <c r="D306" s="5"/>
    </row>
    <row r="307" customFormat="false" ht="15" hidden="false" customHeight="false" outlineLevel="0" collapsed="false">
      <c r="D307" s="5"/>
    </row>
    <row r="308" customFormat="false" ht="15" hidden="false" customHeight="false" outlineLevel="0" collapsed="false">
      <c r="D308" s="5"/>
    </row>
    <row r="309" customFormat="false" ht="15" hidden="false" customHeight="false" outlineLevel="0" collapsed="false">
      <c r="D309" s="5"/>
    </row>
    <row r="310" customFormat="false" ht="15" hidden="false" customHeight="false" outlineLevel="0" collapsed="false">
      <c r="D310" s="5"/>
    </row>
    <row r="311" customFormat="false" ht="15" hidden="false" customHeight="false" outlineLevel="0" collapsed="false">
      <c r="D311" s="5"/>
    </row>
    <row r="312" customFormat="false" ht="15" hidden="false" customHeight="false" outlineLevel="0" collapsed="false">
      <c r="D312" s="5"/>
    </row>
    <row r="313" customFormat="false" ht="15" hidden="false" customHeight="false" outlineLevel="0" collapsed="false">
      <c r="D313" s="5"/>
    </row>
    <row r="314" customFormat="false" ht="15" hidden="false" customHeight="false" outlineLevel="0" collapsed="false">
      <c r="D314" s="5"/>
    </row>
    <row r="315" customFormat="false" ht="15" hidden="false" customHeight="false" outlineLevel="0" collapsed="false">
      <c r="D315" s="5"/>
    </row>
    <row r="316" customFormat="false" ht="15" hidden="false" customHeight="false" outlineLevel="0" collapsed="false">
      <c r="D316" s="5"/>
    </row>
    <row r="317" customFormat="false" ht="15" hidden="false" customHeight="false" outlineLevel="0" collapsed="false">
      <c r="D317" s="5"/>
    </row>
    <row r="318" customFormat="false" ht="15" hidden="false" customHeight="false" outlineLevel="0" collapsed="false">
      <c r="D318" s="5"/>
    </row>
    <row r="319" customFormat="false" ht="15" hidden="false" customHeight="false" outlineLevel="0" collapsed="false">
      <c r="D319" s="5"/>
    </row>
    <row r="320" customFormat="false" ht="15" hidden="false" customHeight="false" outlineLevel="0" collapsed="false">
      <c r="D320" s="5"/>
    </row>
    <row r="321" customFormat="false" ht="15" hidden="false" customHeight="false" outlineLevel="0" collapsed="false">
      <c r="D321" s="5"/>
    </row>
    <row r="322" customFormat="false" ht="15" hidden="false" customHeight="false" outlineLevel="0" collapsed="false">
      <c r="D322" s="5"/>
    </row>
    <row r="323" customFormat="false" ht="15" hidden="false" customHeight="false" outlineLevel="0" collapsed="false">
      <c r="D323" s="5"/>
    </row>
    <row r="324" customFormat="false" ht="15" hidden="false" customHeight="false" outlineLevel="0" collapsed="false">
      <c r="D324" s="5"/>
    </row>
    <row r="325" customFormat="false" ht="15" hidden="false" customHeight="false" outlineLevel="0" collapsed="false">
      <c r="D325" s="5"/>
    </row>
    <row r="326" customFormat="false" ht="15" hidden="false" customHeight="false" outlineLevel="0" collapsed="false">
      <c r="D326" s="5"/>
    </row>
    <row r="327" customFormat="false" ht="15" hidden="false" customHeight="false" outlineLevel="0" collapsed="false">
      <c r="D327" s="5"/>
    </row>
    <row r="328" customFormat="false" ht="15" hidden="false" customHeight="false" outlineLevel="0" collapsed="false">
      <c r="D328" s="5"/>
    </row>
    <row r="329" customFormat="false" ht="15" hidden="false" customHeight="false" outlineLevel="0" collapsed="false">
      <c r="D329" s="5"/>
    </row>
    <row r="330" customFormat="false" ht="15" hidden="false" customHeight="false" outlineLevel="0" collapsed="false">
      <c r="D330" s="5"/>
    </row>
    <row r="331" customFormat="false" ht="15" hidden="false" customHeight="false" outlineLevel="0" collapsed="false">
      <c r="D331" s="5"/>
    </row>
    <row r="332" customFormat="false" ht="15" hidden="false" customHeight="false" outlineLevel="0" collapsed="false">
      <c r="D332" s="5"/>
    </row>
    <row r="333" customFormat="false" ht="15" hidden="false" customHeight="false" outlineLevel="0" collapsed="false">
      <c r="D333" s="5"/>
    </row>
    <row r="334" customFormat="false" ht="15" hidden="false" customHeight="false" outlineLevel="0" collapsed="false">
      <c r="D334" s="5"/>
    </row>
    <row r="335" customFormat="false" ht="15" hidden="false" customHeight="false" outlineLevel="0" collapsed="false">
      <c r="D335" s="5"/>
    </row>
    <row r="336" customFormat="false" ht="15" hidden="false" customHeight="false" outlineLevel="0" collapsed="false">
      <c r="D336" s="5"/>
    </row>
    <row r="337" customFormat="false" ht="15" hidden="false" customHeight="false" outlineLevel="0" collapsed="false">
      <c r="D337" s="5"/>
    </row>
    <row r="338" customFormat="false" ht="15" hidden="false" customHeight="false" outlineLevel="0" collapsed="false">
      <c r="D338" s="5"/>
    </row>
    <row r="339" customFormat="false" ht="15" hidden="false" customHeight="false" outlineLevel="0" collapsed="false">
      <c r="D339" s="5"/>
    </row>
    <row r="340" customFormat="false" ht="15" hidden="false" customHeight="false" outlineLevel="0" collapsed="false">
      <c r="D340" s="5"/>
    </row>
    <row r="341" customFormat="false" ht="15" hidden="false" customHeight="false" outlineLevel="0" collapsed="false">
      <c r="D341" s="5"/>
    </row>
    <row r="342" customFormat="false" ht="15" hidden="false" customHeight="false" outlineLevel="0" collapsed="false">
      <c r="D342" s="5"/>
    </row>
    <row r="343" customFormat="false" ht="15" hidden="false" customHeight="false" outlineLevel="0" collapsed="false">
      <c r="D343" s="5"/>
    </row>
    <row r="344" customFormat="false" ht="15" hidden="false" customHeight="false" outlineLevel="0" collapsed="false">
      <c r="D344" s="5"/>
    </row>
    <row r="345" customFormat="false" ht="15" hidden="false" customHeight="false" outlineLevel="0" collapsed="false">
      <c r="D345" s="5"/>
    </row>
    <row r="346" customFormat="false" ht="15" hidden="false" customHeight="false" outlineLevel="0" collapsed="false">
      <c r="D346" s="5"/>
    </row>
    <row r="347" customFormat="false" ht="15" hidden="false" customHeight="false" outlineLevel="0" collapsed="false">
      <c r="D347" s="5"/>
    </row>
    <row r="348" customFormat="false" ht="15" hidden="false" customHeight="false" outlineLevel="0" collapsed="false">
      <c r="D348" s="5"/>
    </row>
    <row r="349" customFormat="false" ht="15" hidden="false" customHeight="false" outlineLevel="0" collapsed="false">
      <c r="D349" s="5"/>
    </row>
    <row r="350" customFormat="false" ht="15" hidden="false" customHeight="false" outlineLevel="0" collapsed="false">
      <c r="D350" s="5"/>
    </row>
    <row r="351" customFormat="false" ht="15" hidden="false" customHeight="false" outlineLevel="0" collapsed="false">
      <c r="D351" s="5"/>
    </row>
    <row r="352" customFormat="false" ht="15" hidden="false" customHeight="false" outlineLevel="0" collapsed="false">
      <c r="D352" s="5"/>
    </row>
    <row r="353" customFormat="false" ht="15" hidden="false" customHeight="false" outlineLevel="0" collapsed="false">
      <c r="D353" s="5"/>
    </row>
    <row r="354" customFormat="false" ht="15" hidden="false" customHeight="false" outlineLevel="0" collapsed="false">
      <c r="D354" s="5"/>
    </row>
    <row r="355" customFormat="false" ht="15" hidden="false" customHeight="false" outlineLevel="0" collapsed="false">
      <c r="D355" s="5"/>
    </row>
    <row r="356" customFormat="false" ht="15" hidden="false" customHeight="false" outlineLevel="0" collapsed="false">
      <c r="D356" s="5"/>
    </row>
    <row r="357" customFormat="false" ht="15" hidden="false" customHeight="false" outlineLevel="0" collapsed="false">
      <c r="D357" s="5"/>
    </row>
    <row r="358" customFormat="false" ht="15" hidden="false" customHeight="false" outlineLevel="0" collapsed="false">
      <c r="D358" s="5"/>
    </row>
    <row r="359" customFormat="false" ht="15" hidden="false" customHeight="false" outlineLevel="0" collapsed="false">
      <c r="D359" s="5"/>
    </row>
    <row r="360" customFormat="false" ht="15" hidden="false" customHeight="false" outlineLevel="0" collapsed="false">
      <c r="D360" s="5"/>
    </row>
    <row r="361" customFormat="false" ht="15" hidden="false" customHeight="false" outlineLevel="0" collapsed="false">
      <c r="D361" s="5"/>
    </row>
    <row r="362" customFormat="false" ht="15" hidden="false" customHeight="false" outlineLevel="0" collapsed="false">
      <c r="D362" s="5"/>
    </row>
    <row r="363" customFormat="false" ht="15" hidden="false" customHeight="false" outlineLevel="0" collapsed="false">
      <c r="D363" s="5"/>
    </row>
    <row r="364" customFormat="false" ht="15" hidden="false" customHeight="false" outlineLevel="0" collapsed="false">
      <c r="D364" s="5"/>
    </row>
    <row r="365" customFormat="false" ht="15" hidden="false" customHeight="false" outlineLevel="0" collapsed="false">
      <c r="D365" s="5"/>
    </row>
    <row r="366" customFormat="false" ht="15" hidden="false" customHeight="false" outlineLevel="0" collapsed="false">
      <c r="D366" s="5"/>
    </row>
    <row r="367" customFormat="false" ht="15" hidden="false" customHeight="false" outlineLevel="0" collapsed="false">
      <c r="D367" s="5"/>
    </row>
    <row r="368" customFormat="false" ht="15" hidden="false" customHeight="false" outlineLevel="0" collapsed="false">
      <c r="D368" s="5"/>
    </row>
    <row r="369" customFormat="false" ht="15" hidden="false" customHeight="false" outlineLevel="0" collapsed="false">
      <c r="D369" s="5"/>
    </row>
    <row r="370" customFormat="false" ht="15" hidden="false" customHeight="false" outlineLevel="0" collapsed="false">
      <c r="D370" s="5"/>
    </row>
    <row r="371" customFormat="false" ht="15" hidden="false" customHeight="false" outlineLevel="0" collapsed="false">
      <c r="D371" s="5"/>
    </row>
    <row r="372" customFormat="false" ht="15" hidden="false" customHeight="false" outlineLevel="0" collapsed="false">
      <c r="D372" s="5"/>
    </row>
    <row r="373" customFormat="false" ht="15" hidden="false" customHeight="false" outlineLevel="0" collapsed="false">
      <c r="D373" s="5"/>
    </row>
    <row r="374" customFormat="false" ht="15" hidden="false" customHeight="false" outlineLevel="0" collapsed="false">
      <c r="D374" s="5"/>
    </row>
    <row r="375" customFormat="false" ht="15" hidden="false" customHeight="false" outlineLevel="0" collapsed="false">
      <c r="D375" s="5"/>
    </row>
    <row r="376" customFormat="false" ht="15" hidden="false" customHeight="false" outlineLevel="0" collapsed="false">
      <c r="D376" s="5"/>
    </row>
    <row r="377" customFormat="false" ht="15" hidden="false" customHeight="false" outlineLevel="0" collapsed="false">
      <c r="D377" s="5"/>
    </row>
    <row r="378" customFormat="false" ht="15" hidden="false" customHeight="false" outlineLevel="0" collapsed="false">
      <c r="D378" s="5"/>
    </row>
    <row r="379" customFormat="false" ht="15" hidden="false" customHeight="false" outlineLevel="0" collapsed="false">
      <c r="D379" s="5"/>
    </row>
    <row r="380" customFormat="false" ht="15" hidden="false" customHeight="false" outlineLevel="0" collapsed="false">
      <c r="D380" s="5"/>
    </row>
    <row r="381" customFormat="false" ht="15" hidden="false" customHeight="false" outlineLevel="0" collapsed="false">
      <c r="D381" s="5"/>
    </row>
    <row r="382" customFormat="false" ht="15" hidden="false" customHeight="false" outlineLevel="0" collapsed="false">
      <c r="D382" s="5"/>
    </row>
    <row r="383" customFormat="false" ht="15" hidden="false" customHeight="false" outlineLevel="0" collapsed="false">
      <c r="D383" s="5"/>
    </row>
    <row r="384" customFormat="false" ht="15" hidden="false" customHeight="false" outlineLevel="0" collapsed="false">
      <c r="D384" s="5"/>
    </row>
    <row r="385" customFormat="false" ht="15" hidden="false" customHeight="false" outlineLevel="0" collapsed="false">
      <c r="D385" s="5"/>
    </row>
    <row r="386" customFormat="false" ht="15" hidden="false" customHeight="false" outlineLevel="0" collapsed="false">
      <c r="D386" s="5"/>
    </row>
    <row r="387" customFormat="false" ht="15" hidden="false" customHeight="false" outlineLevel="0" collapsed="false">
      <c r="D387" s="5"/>
    </row>
    <row r="388" customFormat="false" ht="15" hidden="false" customHeight="false" outlineLevel="0" collapsed="false">
      <c r="D388" s="5"/>
    </row>
    <row r="389" customFormat="false" ht="15" hidden="false" customHeight="false" outlineLevel="0" collapsed="false">
      <c r="D389" s="5"/>
    </row>
    <row r="390" customFormat="false" ht="15" hidden="false" customHeight="false" outlineLevel="0" collapsed="false">
      <c r="D390" s="5"/>
    </row>
    <row r="391" customFormat="false" ht="15" hidden="false" customHeight="false" outlineLevel="0" collapsed="false">
      <c r="D391" s="5"/>
    </row>
    <row r="392" customFormat="false" ht="15" hidden="false" customHeight="false" outlineLevel="0" collapsed="false">
      <c r="D392" s="5"/>
    </row>
    <row r="393" customFormat="false" ht="15" hidden="false" customHeight="false" outlineLevel="0" collapsed="false">
      <c r="D393" s="5"/>
    </row>
    <row r="394" customFormat="false" ht="15" hidden="false" customHeight="false" outlineLevel="0" collapsed="false">
      <c r="D394" s="5"/>
    </row>
    <row r="395" customFormat="false" ht="15" hidden="false" customHeight="false" outlineLevel="0" collapsed="false">
      <c r="D395" s="5"/>
    </row>
    <row r="396" customFormat="false" ht="15" hidden="false" customHeight="false" outlineLevel="0" collapsed="false">
      <c r="D396" s="5"/>
    </row>
    <row r="397" customFormat="false" ht="15" hidden="false" customHeight="false" outlineLevel="0" collapsed="false">
      <c r="D397" s="5"/>
    </row>
    <row r="398" customFormat="false" ht="15" hidden="false" customHeight="false" outlineLevel="0" collapsed="false">
      <c r="D398" s="5"/>
    </row>
    <row r="399" customFormat="false" ht="15" hidden="false" customHeight="false" outlineLevel="0" collapsed="false">
      <c r="D399" s="5"/>
    </row>
    <row r="400" customFormat="false" ht="15" hidden="false" customHeight="false" outlineLevel="0" collapsed="false">
      <c r="D400" s="5"/>
    </row>
    <row r="401" customFormat="false" ht="15" hidden="false" customHeight="false" outlineLevel="0" collapsed="false">
      <c r="D401" s="5"/>
    </row>
    <row r="402" customFormat="false" ht="15" hidden="false" customHeight="false" outlineLevel="0" collapsed="false">
      <c r="D402" s="5"/>
    </row>
    <row r="403" customFormat="false" ht="15" hidden="false" customHeight="false" outlineLevel="0" collapsed="false">
      <c r="D403" s="5"/>
    </row>
    <row r="404" customFormat="false" ht="15" hidden="false" customHeight="false" outlineLevel="0" collapsed="false">
      <c r="D404" s="5"/>
    </row>
    <row r="405" customFormat="false" ht="15" hidden="false" customHeight="false" outlineLevel="0" collapsed="false">
      <c r="D405" s="5"/>
    </row>
    <row r="406" customFormat="false" ht="15" hidden="false" customHeight="false" outlineLevel="0" collapsed="false">
      <c r="D406" s="5"/>
    </row>
    <row r="407" customFormat="false" ht="15" hidden="false" customHeight="false" outlineLevel="0" collapsed="false">
      <c r="D407" s="5"/>
    </row>
    <row r="408" customFormat="false" ht="15" hidden="false" customHeight="false" outlineLevel="0" collapsed="false">
      <c r="D408" s="5"/>
    </row>
    <row r="409" customFormat="false" ht="15" hidden="false" customHeight="false" outlineLevel="0" collapsed="false">
      <c r="D409" s="5"/>
    </row>
    <row r="410" customFormat="false" ht="15" hidden="false" customHeight="false" outlineLevel="0" collapsed="false">
      <c r="D410" s="5"/>
    </row>
    <row r="411" customFormat="false" ht="15" hidden="false" customHeight="false" outlineLevel="0" collapsed="false">
      <c r="D411" s="5"/>
    </row>
    <row r="412" customFormat="false" ht="15" hidden="false" customHeight="false" outlineLevel="0" collapsed="false">
      <c r="D412" s="5"/>
    </row>
    <row r="413" customFormat="false" ht="15" hidden="false" customHeight="false" outlineLevel="0" collapsed="false">
      <c r="D413" s="5"/>
    </row>
    <row r="414" customFormat="false" ht="15" hidden="false" customHeight="false" outlineLevel="0" collapsed="false">
      <c r="D414" s="5"/>
    </row>
    <row r="415" customFormat="false" ht="15" hidden="false" customHeight="false" outlineLevel="0" collapsed="false">
      <c r="D415" s="5"/>
    </row>
    <row r="416" customFormat="false" ht="15" hidden="false" customHeight="false" outlineLevel="0" collapsed="false">
      <c r="D416" s="5"/>
    </row>
    <row r="417" customFormat="false" ht="15" hidden="false" customHeight="false" outlineLevel="0" collapsed="false">
      <c r="D417" s="5"/>
    </row>
    <row r="418" customFormat="false" ht="15" hidden="false" customHeight="false" outlineLevel="0" collapsed="false">
      <c r="D418" s="5"/>
    </row>
    <row r="419" customFormat="false" ht="15" hidden="false" customHeight="false" outlineLevel="0" collapsed="false">
      <c r="D419" s="5"/>
    </row>
    <row r="420" customFormat="false" ht="15" hidden="false" customHeight="false" outlineLevel="0" collapsed="false">
      <c r="D420" s="5"/>
    </row>
    <row r="421" customFormat="false" ht="15" hidden="false" customHeight="false" outlineLevel="0" collapsed="false">
      <c r="D421" s="5"/>
    </row>
    <row r="422" customFormat="false" ht="15" hidden="false" customHeight="false" outlineLevel="0" collapsed="false">
      <c r="D422" s="5"/>
    </row>
    <row r="423" customFormat="false" ht="15" hidden="false" customHeight="false" outlineLevel="0" collapsed="false">
      <c r="D423" s="5"/>
    </row>
    <row r="424" customFormat="false" ht="15" hidden="false" customHeight="false" outlineLevel="0" collapsed="false">
      <c r="D424" s="5"/>
    </row>
    <row r="425" customFormat="false" ht="15" hidden="false" customHeight="false" outlineLevel="0" collapsed="false">
      <c r="D425" s="5"/>
    </row>
    <row r="426" customFormat="false" ht="15" hidden="false" customHeight="false" outlineLevel="0" collapsed="false">
      <c r="D426" s="5"/>
    </row>
    <row r="427" customFormat="false" ht="15" hidden="false" customHeight="false" outlineLevel="0" collapsed="false">
      <c r="D427" s="5"/>
    </row>
    <row r="428" customFormat="false" ht="15" hidden="false" customHeight="false" outlineLevel="0" collapsed="false">
      <c r="D428" s="5"/>
    </row>
    <row r="429" customFormat="false" ht="15" hidden="false" customHeight="false" outlineLevel="0" collapsed="false">
      <c r="D429" s="5"/>
    </row>
    <row r="430" customFormat="false" ht="15" hidden="false" customHeight="false" outlineLevel="0" collapsed="false">
      <c r="D430" s="5"/>
    </row>
    <row r="431" customFormat="false" ht="15" hidden="false" customHeight="false" outlineLevel="0" collapsed="false">
      <c r="D431" s="5"/>
    </row>
    <row r="432" customFormat="false" ht="15" hidden="false" customHeight="false" outlineLevel="0" collapsed="false">
      <c r="D432" s="5"/>
    </row>
    <row r="433" customFormat="false" ht="15" hidden="false" customHeight="false" outlineLevel="0" collapsed="false">
      <c r="D433" s="5"/>
    </row>
    <row r="434" customFormat="false" ht="15" hidden="false" customHeight="false" outlineLevel="0" collapsed="false">
      <c r="D434" s="5"/>
    </row>
    <row r="435" customFormat="false" ht="15" hidden="false" customHeight="false" outlineLevel="0" collapsed="false">
      <c r="D435" s="5"/>
    </row>
    <row r="436" customFormat="false" ht="15" hidden="false" customHeight="false" outlineLevel="0" collapsed="false">
      <c r="D436" s="5"/>
    </row>
    <row r="437" customFormat="false" ht="15" hidden="false" customHeight="false" outlineLevel="0" collapsed="false">
      <c r="D437" s="5"/>
    </row>
    <row r="438" customFormat="false" ht="15" hidden="false" customHeight="false" outlineLevel="0" collapsed="false">
      <c r="D438" s="5"/>
    </row>
    <row r="439" customFormat="false" ht="15" hidden="false" customHeight="false" outlineLevel="0" collapsed="false">
      <c r="D439" s="5"/>
    </row>
    <row r="440" customFormat="false" ht="15" hidden="false" customHeight="false" outlineLevel="0" collapsed="false">
      <c r="D440" s="5"/>
    </row>
    <row r="441" customFormat="false" ht="15" hidden="false" customHeight="false" outlineLevel="0" collapsed="false">
      <c r="D441" s="5"/>
    </row>
    <row r="442" customFormat="false" ht="15" hidden="false" customHeight="false" outlineLevel="0" collapsed="false">
      <c r="D442" s="5"/>
    </row>
    <row r="443" customFormat="false" ht="15" hidden="false" customHeight="false" outlineLevel="0" collapsed="false">
      <c r="D443" s="5"/>
    </row>
    <row r="444" customFormat="false" ht="15" hidden="false" customHeight="false" outlineLevel="0" collapsed="false">
      <c r="D444" s="5"/>
    </row>
    <row r="445" customFormat="false" ht="15" hidden="false" customHeight="false" outlineLevel="0" collapsed="false">
      <c r="D445" s="5"/>
    </row>
    <row r="446" customFormat="false" ht="15" hidden="false" customHeight="false" outlineLevel="0" collapsed="false">
      <c r="D446" s="5"/>
    </row>
    <row r="447" customFormat="false" ht="15" hidden="false" customHeight="false" outlineLevel="0" collapsed="false">
      <c r="D447" s="5"/>
    </row>
    <row r="448" customFormat="false" ht="15" hidden="false" customHeight="false" outlineLevel="0" collapsed="false">
      <c r="D448" s="5"/>
    </row>
    <row r="449" customFormat="false" ht="15" hidden="false" customHeight="false" outlineLevel="0" collapsed="false">
      <c r="D449" s="5"/>
    </row>
    <row r="450" customFormat="false" ht="15" hidden="false" customHeight="false" outlineLevel="0" collapsed="false">
      <c r="D450" s="5"/>
    </row>
    <row r="451" customFormat="false" ht="15" hidden="false" customHeight="false" outlineLevel="0" collapsed="false">
      <c r="D451" s="5"/>
    </row>
    <row r="452" customFormat="false" ht="15" hidden="false" customHeight="false" outlineLevel="0" collapsed="false">
      <c r="D452" s="5"/>
    </row>
    <row r="453" customFormat="false" ht="15" hidden="false" customHeight="false" outlineLevel="0" collapsed="false">
      <c r="D453" s="5"/>
    </row>
    <row r="454" customFormat="false" ht="15" hidden="false" customHeight="false" outlineLevel="0" collapsed="false">
      <c r="D454" s="5"/>
    </row>
    <row r="455" customFormat="false" ht="15" hidden="false" customHeight="false" outlineLevel="0" collapsed="false">
      <c r="D455" s="5"/>
    </row>
    <row r="456" customFormat="false" ht="15" hidden="false" customHeight="false" outlineLevel="0" collapsed="false">
      <c r="D456" s="5"/>
    </row>
    <row r="457" customFormat="false" ht="15" hidden="false" customHeight="false" outlineLevel="0" collapsed="false">
      <c r="D457" s="5"/>
    </row>
    <row r="458" customFormat="false" ht="15" hidden="false" customHeight="false" outlineLevel="0" collapsed="false">
      <c r="D458" s="5"/>
    </row>
    <row r="459" customFormat="false" ht="15" hidden="false" customHeight="false" outlineLevel="0" collapsed="false">
      <c r="D459" s="5"/>
    </row>
    <row r="460" customFormat="false" ht="15" hidden="false" customHeight="false" outlineLevel="0" collapsed="false">
      <c r="D460" s="5"/>
    </row>
    <row r="461" customFormat="false" ht="15" hidden="false" customHeight="false" outlineLevel="0" collapsed="false">
      <c r="D461" s="5"/>
    </row>
    <row r="462" customFormat="false" ht="15" hidden="false" customHeight="false" outlineLevel="0" collapsed="false">
      <c r="D462" s="5"/>
    </row>
    <row r="463" customFormat="false" ht="15" hidden="false" customHeight="false" outlineLevel="0" collapsed="false">
      <c r="D463" s="5"/>
    </row>
    <row r="464" customFormat="false" ht="15" hidden="false" customHeight="false" outlineLevel="0" collapsed="false">
      <c r="D464" s="5"/>
    </row>
    <row r="465" customFormat="false" ht="15" hidden="false" customHeight="false" outlineLevel="0" collapsed="false">
      <c r="D465" s="5"/>
    </row>
    <row r="466" customFormat="false" ht="15" hidden="false" customHeight="false" outlineLevel="0" collapsed="false">
      <c r="D466" s="5"/>
    </row>
    <row r="467" customFormat="false" ht="15" hidden="false" customHeight="false" outlineLevel="0" collapsed="false">
      <c r="D467" s="5"/>
    </row>
    <row r="468" customFormat="false" ht="15" hidden="false" customHeight="false" outlineLevel="0" collapsed="false">
      <c r="D468" s="5"/>
    </row>
    <row r="469" customFormat="false" ht="15" hidden="false" customHeight="false" outlineLevel="0" collapsed="false">
      <c r="D469" s="5"/>
    </row>
    <row r="470" customFormat="false" ht="15" hidden="false" customHeight="false" outlineLevel="0" collapsed="false">
      <c r="D470" s="5"/>
    </row>
    <row r="471" customFormat="false" ht="15" hidden="false" customHeight="false" outlineLevel="0" collapsed="false">
      <c r="D471" s="5"/>
    </row>
    <row r="472" customFormat="false" ht="15" hidden="false" customHeight="false" outlineLevel="0" collapsed="false">
      <c r="D472" s="5"/>
    </row>
    <row r="473" customFormat="false" ht="15" hidden="false" customHeight="false" outlineLevel="0" collapsed="false">
      <c r="D473" s="5"/>
    </row>
    <row r="474" customFormat="false" ht="15" hidden="false" customHeight="false" outlineLevel="0" collapsed="false">
      <c r="D474" s="5"/>
    </row>
    <row r="475" customFormat="false" ht="15" hidden="false" customHeight="false" outlineLevel="0" collapsed="false">
      <c r="D475" s="5"/>
    </row>
    <row r="476" customFormat="false" ht="15" hidden="false" customHeight="false" outlineLevel="0" collapsed="false">
      <c r="D476" s="5"/>
    </row>
    <row r="477" customFormat="false" ht="15" hidden="false" customHeight="false" outlineLevel="0" collapsed="false">
      <c r="D477" s="5"/>
    </row>
    <row r="478" customFormat="false" ht="15" hidden="false" customHeight="false" outlineLevel="0" collapsed="false">
      <c r="D478" s="5"/>
    </row>
    <row r="479" customFormat="false" ht="15" hidden="false" customHeight="false" outlineLevel="0" collapsed="false">
      <c r="D479" s="5"/>
    </row>
    <row r="480" customFormat="false" ht="15" hidden="false" customHeight="false" outlineLevel="0" collapsed="false">
      <c r="D480" s="5"/>
    </row>
    <row r="481" customFormat="false" ht="15" hidden="false" customHeight="false" outlineLevel="0" collapsed="false">
      <c r="D481" s="5"/>
    </row>
    <row r="482" customFormat="false" ht="15" hidden="false" customHeight="false" outlineLevel="0" collapsed="false">
      <c r="D482" s="5"/>
    </row>
    <row r="483" customFormat="false" ht="15" hidden="false" customHeight="false" outlineLevel="0" collapsed="false">
      <c r="D483" s="5"/>
    </row>
    <row r="484" customFormat="false" ht="15" hidden="false" customHeight="false" outlineLevel="0" collapsed="false">
      <c r="D484" s="5"/>
    </row>
    <row r="485" customFormat="false" ht="15" hidden="false" customHeight="false" outlineLevel="0" collapsed="false">
      <c r="D485" s="5"/>
    </row>
    <row r="486" customFormat="false" ht="15" hidden="false" customHeight="false" outlineLevel="0" collapsed="false">
      <c r="D486" s="5"/>
    </row>
    <row r="487" customFormat="false" ht="15" hidden="false" customHeight="false" outlineLevel="0" collapsed="false">
      <c r="D487" s="5"/>
    </row>
    <row r="488" customFormat="false" ht="15" hidden="false" customHeight="false" outlineLevel="0" collapsed="false">
      <c r="D488" s="5"/>
    </row>
    <row r="489" customFormat="false" ht="15" hidden="false" customHeight="false" outlineLevel="0" collapsed="false">
      <c r="D489" s="5"/>
    </row>
    <row r="490" customFormat="false" ht="15" hidden="false" customHeight="false" outlineLevel="0" collapsed="false">
      <c r="D490" s="5"/>
    </row>
    <row r="491" customFormat="false" ht="15" hidden="false" customHeight="false" outlineLevel="0" collapsed="false">
      <c r="D491" s="5"/>
    </row>
    <row r="492" customFormat="false" ht="15" hidden="false" customHeight="false" outlineLevel="0" collapsed="false">
      <c r="D492" s="5"/>
    </row>
    <row r="493" customFormat="false" ht="15" hidden="false" customHeight="false" outlineLevel="0" collapsed="false">
      <c r="D493" s="5"/>
    </row>
    <row r="494" customFormat="false" ht="15" hidden="false" customHeight="false" outlineLevel="0" collapsed="false">
      <c r="D494" s="5"/>
    </row>
    <row r="495" customFormat="false" ht="15" hidden="false" customHeight="false" outlineLevel="0" collapsed="false">
      <c r="D495" s="5"/>
    </row>
    <row r="496" customFormat="false" ht="15" hidden="false" customHeight="false" outlineLevel="0" collapsed="false">
      <c r="D496" s="5"/>
    </row>
    <row r="497" customFormat="false" ht="15" hidden="false" customHeight="false" outlineLevel="0" collapsed="false">
      <c r="D497" s="5"/>
    </row>
    <row r="498" customFormat="false" ht="15" hidden="false" customHeight="false" outlineLevel="0" collapsed="false">
      <c r="D498" s="5"/>
    </row>
    <row r="499" customFormat="false" ht="15" hidden="false" customHeight="false" outlineLevel="0" collapsed="false">
      <c r="D499" s="5"/>
    </row>
    <row r="500" customFormat="false" ht="15" hidden="false" customHeight="false" outlineLevel="0" collapsed="false">
      <c r="D500" s="5"/>
    </row>
  </sheetData>
  <dataValidations count="1">
    <dataValidation allowBlank="true" errorStyle="stop" operator="between" showDropDown="false" showErrorMessage="false" showInputMessage="false" sqref="D2:D500" type="list">
      <formula1>"Activa,Finalizada,Pausada"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10" min="9" style="0" width="18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4" t="s">
        <v>98</v>
      </c>
      <c r="B1" s="4" t="s">
        <v>99</v>
      </c>
      <c r="C1" s="4" t="s">
        <v>100</v>
      </c>
      <c r="D1" s="4" t="s">
        <v>22</v>
      </c>
      <c r="E1" s="4" t="s">
        <v>101</v>
      </c>
      <c r="F1" s="4" t="s">
        <v>102</v>
      </c>
      <c r="G1" s="4" t="s">
        <v>103</v>
      </c>
      <c r="H1" s="4" t="s">
        <v>104</v>
      </c>
      <c r="I1" s="4" t="s">
        <v>105</v>
      </c>
      <c r="J1" s="4" t="s">
        <v>106</v>
      </c>
      <c r="K1" s="4" t="s">
        <v>29</v>
      </c>
    </row>
  </sheetData>
  <dataValidations count="2">
    <dataValidation allowBlank="true" errorStyle="stop" operator="between" showDropDown="false" showErrorMessage="false" showInputMessage="false" sqref="C2:C1001" type="list">
      <formula1>"Ingreso,Traslado,Egreso,Ajuste,Reserva,Libera_Reserva"</formula1>
      <formula2>0</formula2>
    </dataValidation>
    <dataValidation allowBlank="true" errorStyle="stop" operator="between" showDropDown="false" showErrorMessage="false" showInputMessage="false" sqref="I2:I1001" type="list">
      <formula1>"Rotura,Error conteo,Pérdida/robo,Inventario inicial"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9" min="4" style="0" width="10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10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26</v>
      </c>
      <c r="E1" s="4" t="s">
        <v>46</v>
      </c>
      <c r="F1" s="4" t="s">
        <v>48</v>
      </c>
      <c r="G1" s="4" t="s">
        <v>50</v>
      </c>
      <c r="H1" s="4" t="s">
        <v>52</v>
      </c>
      <c r="I1" s="4" t="s">
        <v>54</v>
      </c>
      <c r="J1" s="4" t="s">
        <v>107</v>
      </c>
      <c r="K1" s="4" t="s">
        <v>108</v>
      </c>
      <c r="L1" s="4" t="s">
        <v>109</v>
      </c>
      <c r="M1" s="4" t="s">
        <v>110</v>
      </c>
      <c r="N1" s="4" t="s">
        <v>111</v>
      </c>
    </row>
    <row r="2" customFormat="false" ht="15" hidden="false" customHeight="false" outlineLevel="0" collapsed="false">
      <c r="A2" s="0" t="str">
        <f aca="false">IFERROR(IF(Productos!A2="","",Productos!A2),"")</f>
        <v>PORC-001</v>
      </c>
      <c r="B2" s="0" t="str">
        <f aca="false">IFERROR(IF(Productos!A2="","",Productos!B2),"")</f>
        <v>Porcelanato símil madera 20x120</v>
      </c>
      <c r="C2" s="0" t="str">
        <f aca="false">IFERROR(IF(Productos!A2="","",Productos!C2),"")</f>
        <v>Revestimientos</v>
      </c>
      <c r="D2" s="0" t="str">
        <f aca="false">IFERROR(IF(Productos!A2="","",Productos!E2),"")</f>
        <v>m²</v>
      </c>
      <c r="E2" s="6" t="n">
        <f aca="false">IFERROR(IF(A2="","",SUMIFS(Movimientos!E:E, Movimientos!D:D, A2, Movimientos!C:C, "Ingreso", Movimientos!G:G, "TIN")+SUMIFS(Movimientos!E:E, Movimientos!D:D, A2, Movimientos!C:C, "Traslado", Movimientos!G:G, "TIN")-SUMIFS(Movimientos!E:E, Movimientos!D:D, A2, Movimientos!C:C, "Traslado", Movimientos!F:F, "TIN")-SUMIFS(Movimientos!E:E, Movimientos!D:D, A2, Movimientos!C:C, "Egreso", Movimientos!F:F, "TIN")+SUMIFS(Movimientos!E:E, Movimientos!D:D, A2, Movimientos!C:C, "Ajuste", Movimientos!F:F, "TIN")),"")</f>
        <v>0</v>
      </c>
      <c r="F2" s="6" t="n">
        <f aca="false">IFERROR(IF(A2="","",SUMIFS(Movimientos!E:E, Movimientos!D:D, A2, Movimientos!C:C, "Ingreso", Movimientos!G:G, "G1000")+SUMIFS(Movimientos!E:E, Movimientos!D:D, A2, Movimientos!C:C, "Traslado", Movimientos!G:G, "G1000")-SUMIFS(Movimientos!E:E, Movimientos!D:D, A2, Movimientos!C:C, "Traslado", Movimientos!F:F, "G1000")-SUMIFS(Movimientos!E:E, Movimientos!D:D, A2, Movimientos!C:C, "Egreso", Movimientos!F:F, "G1000")+SUMIFS(Movimientos!E:E, Movimientos!D:D, A2, Movimientos!C:C, "Ajuste", Movimientos!F:F, "G1000")),"")</f>
        <v>0</v>
      </c>
      <c r="G2" s="6" t="n">
        <f aca="false">IFERROR(IF(A2="","",SUMIFS(Movimientos!E:E, Movimientos!D:D, A2, Movimientos!C:C, "Ingreso", Movimientos!G:G, "G710")+SUMIFS(Movimientos!E:E, Movimientos!D:D, A2, Movimientos!C:C, "Traslado", Movimientos!G:G, "G710")-SUMIFS(Movimientos!E:E, Movimientos!D:D, A2, Movimientos!C:C, "Traslado", Movimientos!F:F, "G710")-SUMIFS(Movimientos!E:E, Movimientos!D:D, A2, Movimientos!C:C, "Egreso", Movimientos!F:F, "G710")+SUMIFS(Movimientos!E:E, Movimientos!D:D, A2, Movimientos!C:C, "Ajuste", Movimientos!F:F, "G710")),"")</f>
        <v>0</v>
      </c>
      <c r="H2" s="6" t="n">
        <f aca="false">IFERROR(IF(A2="","",SUMIFS(Movimientos!E:E, Movimientos!D:D, A2, Movimientos!C:C, "Ingreso", Movimientos!G:G, "G5000")+SUMIFS(Movimientos!E:E, Movimientos!D:D, A2, Movimientos!C:C, "Traslado", Movimientos!G:G, "G5000")-SUMIFS(Movimientos!E:E, Movimientos!D:D, A2, Movimientos!C:C, "Traslado", Movimientos!F:F, "G5000")-SUMIFS(Movimientos!E:E, Movimientos!D:D, A2, Movimientos!C:C, "Egreso", Movimientos!F:F, "G5000")+SUMIFS(Movimientos!E:E, Movimientos!D:D, A2, Movimientos!C:C, "Ajuste", Movimientos!F:F, "G5000")),"")</f>
        <v>0</v>
      </c>
      <c r="I2" s="6" t="n">
        <f aca="false">IFERROR(IF(A2="","",SUMIFS(Movimientos!E:E, Movimientos!D:D, A2, Movimientos!C:C, "Ingreso", Movimientos!G:G, "G3")+SUMIFS(Movimientos!E:E, Movimientos!D:D, A2, Movimientos!C:C, "Traslado", Movimientos!G:G, "G3")-SUMIFS(Movimientos!E:E, Movimientos!D:D, A2, Movimientos!C:C, "Traslado", Movimientos!F:F, "G3")-SUMIFS(Movimientos!E:E, Movimientos!D:D, A2, Movimientos!C:C, "Egreso", Movimientos!F:F, "G3")+SUMIFS(Movimientos!E:E, Movimientos!D:D, A2, Movimientos!C:C, "Ajuste", Movimientos!F:F, "G3")),"")</f>
        <v>0</v>
      </c>
      <c r="J2" s="6" t="n">
        <f aca="false">IFERROR(IF(A2="","",SUM(E2:I2)),"")</f>
        <v>0</v>
      </c>
      <c r="K2" s="6" t="n">
        <f aca="false">IFERROR(IF(A2="","",SUMIFS(Movimientos!E:E, Movimientos!D:D, A2, Movimientos!C:C, "Reserva")-SUMIFS(Movimientos!E:E, Movimientos!D:D, A2, Movimientos!C:C, "Libera_Reserva")),"")</f>
        <v>0</v>
      </c>
      <c r="L2" s="6" t="n">
        <f aca="false">IFERROR(IF(A2="","",J2-K2),"")</f>
        <v>0</v>
      </c>
      <c r="M2" s="6" t="n">
        <f aca="false">IFERROR(IF(Productos!A2="","",Productos!G2),"")</f>
        <v>50</v>
      </c>
      <c r="N2" s="6" t="str">
        <f aca="false">IFERROR(IF(A2="","",IF(L2&lt;M2,"BAJO STOCK","OK")),"")</f>
        <v>BAJO STOCK</v>
      </c>
    </row>
    <row r="3" customFormat="false" ht="15" hidden="false" customHeight="false" outlineLevel="0" collapsed="false">
      <c r="A3" s="0" t="str">
        <f aca="false">IFERROR(IF(Productos!A3="","",Productos!A3),"")</f>
        <v>AA-SPLIT-3000</v>
      </c>
      <c r="B3" s="0" t="str">
        <f aca="false">IFERROR(IF(Productos!A3="","",Productos!B3),"")</f>
        <v>Aire acondicionado split 3000 frig.</v>
      </c>
      <c r="C3" s="0" t="str">
        <f aca="false">IFERROR(IF(Productos!A3="","",Productos!C3),"")</f>
        <v>Climatización</v>
      </c>
      <c r="D3" s="0" t="str">
        <f aca="false">IFERROR(IF(Productos!A3="","",Productos!E3),"")</f>
        <v>u.</v>
      </c>
      <c r="E3" s="6" t="n">
        <f aca="false">IFERROR(IF(A3="","",SUMIFS(Movimientos!E:E, Movimientos!D:D, A3, Movimientos!C:C, "Ingreso", Movimientos!G:G, "TIN")+SUMIFS(Movimientos!E:E, Movimientos!D:D, A3, Movimientos!C:C, "Traslado", Movimientos!G:G, "TIN")-SUMIFS(Movimientos!E:E, Movimientos!D:D, A3, Movimientos!C:C, "Traslado", Movimientos!F:F, "TIN")-SUMIFS(Movimientos!E:E, Movimientos!D:D, A3, Movimientos!C:C, "Egreso", Movimientos!F:F, "TIN")+SUMIFS(Movimientos!E:E, Movimientos!D:D, A3, Movimientos!C:C, "Ajuste", Movimientos!F:F, "TIN")),"")</f>
        <v>0</v>
      </c>
      <c r="F3" s="6" t="n">
        <f aca="false">IFERROR(IF(A3="","",SUMIFS(Movimientos!E:E, Movimientos!D:D, A3, Movimientos!C:C, "Ingreso", Movimientos!G:G, "G1000")+SUMIFS(Movimientos!E:E, Movimientos!D:D, A3, Movimientos!C:C, "Traslado", Movimientos!G:G, "G1000")-SUMIFS(Movimientos!E:E, Movimientos!D:D, A3, Movimientos!C:C, "Traslado", Movimientos!F:F, "G1000")-SUMIFS(Movimientos!E:E, Movimientos!D:D, A3, Movimientos!C:C, "Egreso", Movimientos!F:F, "G1000")+SUMIFS(Movimientos!E:E, Movimientos!D:D, A3, Movimientos!C:C, "Ajuste", Movimientos!F:F, "G1000")),"")</f>
        <v>0</v>
      </c>
      <c r="G3" s="6" t="n">
        <f aca="false">IFERROR(IF(A3="","",SUMIFS(Movimientos!E:E, Movimientos!D:D, A3, Movimientos!C:C, "Ingreso", Movimientos!G:G, "G710")+SUMIFS(Movimientos!E:E, Movimientos!D:D, A3, Movimientos!C:C, "Traslado", Movimientos!G:G, "G710")-SUMIFS(Movimientos!E:E, Movimientos!D:D, A3, Movimientos!C:C, "Traslado", Movimientos!F:F, "G710")-SUMIFS(Movimientos!E:E, Movimientos!D:D, A3, Movimientos!C:C, "Egreso", Movimientos!F:F, "G710")+SUMIFS(Movimientos!E:E, Movimientos!D:D, A3, Movimientos!C:C, "Ajuste", Movimientos!F:F, "G710")),"")</f>
        <v>0</v>
      </c>
      <c r="H3" s="6" t="n">
        <f aca="false">IFERROR(IF(A3="","",SUMIFS(Movimientos!E:E, Movimientos!D:D, A3, Movimientos!C:C, "Ingreso", Movimientos!G:G, "G5000")+SUMIFS(Movimientos!E:E, Movimientos!D:D, A3, Movimientos!C:C, "Traslado", Movimientos!G:G, "G5000")-SUMIFS(Movimientos!E:E, Movimientos!D:D, A3, Movimientos!C:C, "Traslado", Movimientos!F:F, "G5000")-SUMIFS(Movimientos!E:E, Movimientos!D:D, A3, Movimientos!C:C, "Egreso", Movimientos!F:F, "G5000")+SUMIFS(Movimientos!E:E, Movimientos!D:D, A3, Movimientos!C:C, "Ajuste", Movimientos!F:F, "G5000")),"")</f>
        <v>0</v>
      </c>
      <c r="I3" s="6" t="n">
        <f aca="false">IFERROR(IF(A3="","",SUMIFS(Movimientos!E:E, Movimientos!D:D, A3, Movimientos!C:C, "Ingreso", Movimientos!G:G, "G3")+SUMIFS(Movimientos!E:E, Movimientos!D:D, A3, Movimientos!C:C, "Traslado", Movimientos!G:G, "G3")-SUMIFS(Movimientos!E:E, Movimientos!D:D, A3, Movimientos!C:C, "Traslado", Movimientos!F:F, "G3")-SUMIFS(Movimientos!E:E, Movimientos!D:D, A3, Movimientos!C:C, "Egreso", Movimientos!F:F, "G3")+SUMIFS(Movimientos!E:E, Movimientos!D:D, A3, Movimientos!C:C, "Ajuste", Movimientos!F:F, "G3")),"")</f>
        <v>0</v>
      </c>
      <c r="J3" s="6" t="n">
        <f aca="false">IFERROR(IF(A3="","",SUM(E3:I3)),"")</f>
        <v>0</v>
      </c>
      <c r="K3" s="6" t="n">
        <f aca="false">IFERROR(IF(A3="","",SUMIFS(Movimientos!E:E, Movimientos!D:D, A3, Movimientos!C:C, "Reserva")-SUMIFS(Movimientos!E:E, Movimientos!D:D, A3, Movimientos!C:C, "Libera_Reserva")),"")</f>
        <v>0</v>
      </c>
      <c r="L3" s="6" t="n">
        <f aca="false">IFERROR(IF(A3="","",J3-K3),"")</f>
        <v>0</v>
      </c>
      <c r="M3" s="6" t="n">
        <f aca="false">IFERROR(IF(Productos!A3="","",Productos!G3),"")</f>
        <v>2</v>
      </c>
      <c r="N3" s="6" t="str">
        <f aca="false">IFERROR(IF(A3="","",IF(L3&lt;M3,"BAJO STOCK","OK")),"")</f>
        <v>BAJO STOCK</v>
      </c>
    </row>
    <row r="4" customFormat="false" ht="15" hidden="false" customHeight="false" outlineLevel="0" collapsed="false">
      <c r="A4" s="0" t="str">
        <f aca="false">IFERROR(IF(Productos!A4="","",Productos!A4),"")</f>
        <v/>
      </c>
      <c r="B4" s="0" t="str">
        <f aca="false">IFERROR(IF(Productos!A4="","",Productos!B4),"")</f>
        <v/>
      </c>
      <c r="C4" s="0" t="str">
        <f aca="false">IFERROR(IF(Productos!A4="","",Productos!C4),"")</f>
        <v/>
      </c>
      <c r="D4" s="0" t="str">
        <f aca="false">IFERROR(IF(Productos!A4="","",Productos!E4),"")</f>
        <v/>
      </c>
      <c r="E4" s="6" t="str">
        <f aca="false">IFERROR(IF(A4="","",SUMIFS(Movimientos!E:E, Movimientos!D:D, A4, Movimientos!C:C, "Ingreso", Movimientos!G:G, "TIN")+SUMIFS(Movimientos!E:E, Movimientos!D:D, A4, Movimientos!C:C, "Traslado", Movimientos!G:G, "TIN")-SUMIFS(Movimientos!E:E, Movimientos!D:D, A4, Movimientos!C:C, "Traslado", Movimientos!F:F, "TIN")-SUMIFS(Movimientos!E:E, Movimientos!D:D, A4, Movimientos!C:C, "Egreso", Movimientos!F:F, "TIN")+SUMIFS(Movimientos!E:E, Movimientos!D:D, A4, Movimientos!C:C, "Ajuste", Movimientos!F:F, "TIN")),"")</f>
        <v/>
      </c>
      <c r="F4" s="6" t="str">
        <f aca="false">IFERROR(IF(A4="","",SUMIFS(Movimientos!E:E, Movimientos!D:D, A4, Movimientos!C:C, "Ingreso", Movimientos!G:G, "G1000")+SUMIFS(Movimientos!E:E, Movimientos!D:D, A4, Movimientos!C:C, "Traslado", Movimientos!G:G, "G1000")-SUMIFS(Movimientos!E:E, Movimientos!D:D, A4, Movimientos!C:C, "Traslado", Movimientos!F:F, "G1000")-SUMIFS(Movimientos!E:E, Movimientos!D:D, A4, Movimientos!C:C, "Egreso", Movimientos!F:F, "G1000")+SUMIFS(Movimientos!E:E, Movimientos!D:D, A4, Movimientos!C:C, "Ajuste", Movimientos!F:F, "G1000")),"")</f>
        <v/>
      </c>
      <c r="G4" s="6" t="str">
        <f aca="false">IFERROR(IF(A4="","",SUMIFS(Movimientos!E:E, Movimientos!D:D, A4, Movimientos!C:C, "Ingreso", Movimientos!G:G, "G710")+SUMIFS(Movimientos!E:E, Movimientos!D:D, A4, Movimientos!C:C, "Traslado", Movimientos!G:G, "G710")-SUMIFS(Movimientos!E:E, Movimientos!D:D, A4, Movimientos!C:C, "Traslado", Movimientos!F:F, "G710")-SUMIFS(Movimientos!E:E, Movimientos!D:D, A4, Movimientos!C:C, "Egreso", Movimientos!F:F, "G710")+SUMIFS(Movimientos!E:E, Movimientos!D:D, A4, Movimientos!C:C, "Ajuste", Movimientos!F:F, "G710")),"")</f>
        <v/>
      </c>
      <c r="H4" s="6" t="str">
        <f aca="false">IFERROR(IF(A4="","",SUMIFS(Movimientos!E:E, Movimientos!D:D, A4, Movimientos!C:C, "Ingreso", Movimientos!G:G, "G5000")+SUMIFS(Movimientos!E:E, Movimientos!D:D, A4, Movimientos!C:C, "Traslado", Movimientos!G:G, "G5000")-SUMIFS(Movimientos!E:E, Movimientos!D:D, A4, Movimientos!C:C, "Traslado", Movimientos!F:F, "G5000")-SUMIFS(Movimientos!E:E, Movimientos!D:D, A4, Movimientos!C:C, "Egreso", Movimientos!F:F, "G5000")+SUMIFS(Movimientos!E:E, Movimientos!D:D, A4, Movimientos!C:C, "Ajuste", Movimientos!F:F, "G5000")),"")</f>
        <v/>
      </c>
      <c r="I4" s="6" t="str">
        <f aca="false">IFERROR(IF(A4="","",SUMIFS(Movimientos!E:E, Movimientos!D:D, A4, Movimientos!C:C, "Ingreso", Movimientos!G:G, "G3")+SUMIFS(Movimientos!E:E, Movimientos!D:D, A4, Movimientos!C:C, "Traslado", Movimientos!G:G, "G3")-SUMIFS(Movimientos!E:E, Movimientos!D:D, A4, Movimientos!C:C, "Traslado", Movimientos!F:F, "G3")-SUMIFS(Movimientos!E:E, Movimientos!D:D, A4, Movimientos!C:C, "Egreso", Movimientos!F:F, "G3")+SUMIFS(Movimientos!E:E, Movimientos!D:D, A4, Movimientos!C:C, "Ajuste", Movimientos!F:F, "G3")),"")</f>
        <v/>
      </c>
      <c r="J4" s="6" t="str">
        <f aca="false">IFERROR(IF(A4="","",SUM(E4:I4)),"")</f>
        <v/>
      </c>
      <c r="K4" s="6" t="str">
        <f aca="false">IFERROR(IF(A4="","",SUMIFS(Movimientos!E:E, Movimientos!D:D, A4, Movimientos!C:C, "Reserva")-SUMIFS(Movimientos!E:E, Movimientos!D:D, A4, Movimientos!C:C, "Libera_Reserva")),"")</f>
        <v/>
      </c>
      <c r="L4" s="6" t="str">
        <f aca="false">IFERROR(IF(A4="","",J4-K4),"")</f>
        <v/>
      </c>
      <c r="M4" s="6" t="str">
        <f aca="false">IFERROR(IF(Productos!A4="","",Productos!G4),"")</f>
        <v/>
      </c>
      <c r="N4" s="6" t="str">
        <f aca="false">IFERROR(IF(A4="","",IF(L4&lt;M4,"BAJO STOCK","OK")),"")</f>
        <v/>
      </c>
    </row>
    <row r="5" customFormat="false" ht="15" hidden="false" customHeight="false" outlineLevel="0" collapsed="false">
      <c r="A5" s="0" t="str">
        <f aca="false">IFERROR(IF(Productos!A5="","",Productos!A5),"")</f>
        <v/>
      </c>
      <c r="B5" s="0" t="str">
        <f aca="false">IFERROR(IF(Productos!A5="","",Productos!B5),"")</f>
        <v/>
      </c>
      <c r="C5" s="0" t="str">
        <f aca="false">IFERROR(IF(Productos!A5="","",Productos!C5),"")</f>
        <v/>
      </c>
      <c r="D5" s="0" t="str">
        <f aca="false">IFERROR(IF(Productos!A5="","",Productos!E5),"")</f>
        <v/>
      </c>
      <c r="E5" s="6" t="str">
        <f aca="false">IFERROR(IF(A5="","",SUMIFS(Movimientos!E:E, Movimientos!D:D, A5, Movimientos!C:C, "Ingreso", Movimientos!G:G, "TIN")+SUMIFS(Movimientos!E:E, Movimientos!D:D, A5, Movimientos!C:C, "Traslado", Movimientos!G:G, "TIN")-SUMIFS(Movimientos!E:E, Movimientos!D:D, A5, Movimientos!C:C, "Traslado", Movimientos!F:F, "TIN")-SUMIFS(Movimientos!E:E, Movimientos!D:D, A5, Movimientos!C:C, "Egreso", Movimientos!F:F, "TIN")+SUMIFS(Movimientos!E:E, Movimientos!D:D, A5, Movimientos!C:C, "Ajuste", Movimientos!F:F, "TIN")),"")</f>
        <v/>
      </c>
      <c r="F5" s="6" t="str">
        <f aca="false">IFERROR(IF(A5="","",SUMIFS(Movimientos!E:E, Movimientos!D:D, A5, Movimientos!C:C, "Ingreso", Movimientos!G:G, "G1000")+SUMIFS(Movimientos!E:E, Movimientos!D:D, A5, Movimientos!C:C, "Traslado", Movimientos!G:G, "G1000")-SUMIFS(Movimientos!E:E, Movimientos!D:D, A5, Movimientos!C:C, "Traslado", Movimientos!F:F, "G1000")-SUMIFS(Movimientos!E:E, Movimientos!D:D, A5, Movimientos!C:C, "Egreso", Movimientos!F:F, "G1000")+SUMIFS(Movimientos!E:E, Movimientos!D:D, A5, Movimientos!C:C, "Ajuste", Movimientos!F:F, "G1000")),"")</f>
        <v/>
      </c>
      <c r="G5" s="6" t="str">
        <f aca="false">IFERROR(IF(A5="","",SUMIFS(Movimientos!E:E, Movimientos!D:D, A5, Movimientos!C:C, "Ingreso", Movimientos!G:G, "G710")+SUMIFS(Movimientos!E:E, Movimientos!D:D, A5, Movimientos!C:C, "Traslado", Movimientos!G:G, "G710")-SUMIFS(Movimientos!E:E, Movimientos!D:D, A5, Movimientos!C:C, "Traslado", Movimientos!F:F, "G710")-SUMIFS(Movimientos!E:E, Movimientos!D:D, A5, Movimientos!C:C, "Egreso", Movimientos!F:F, "G710")+SUMIFS(Movimientos!E:E, Movimientos!D:D, A5, Movimientos!C:C, "Ajuste", Movimientos!F:F, "G710")),"")</f>
        <v/>
      </c>
      <c r="H5" s="6" t="str">
        <f aca="false">IFERROR(IF(A5="","",SUMIFS(Movimientos!E:E, Movimientos!D:D, A5, Movimientos!C:C, "Ingreso", Movimientos!G:G, "G5000")+SUMIFS(Movimientos!E:E, Movimientos!D:D, A5, Movimientos!C:C, "Traslado", Movimientos!G:G, "G5000")-SUMIFS(Movimientos!E:E, Movimientos!D:D, A5, Movimientos!C:C, "Traslado", Movimientos!F:F, "G5000")-SUMIFS(Movimientos!E:E, Movimientos!D:D, A5, Movimientos!C:C, "Egreso", Movimientos!F:F, "G5000")+SUMIFS(Movimientos!E:E, Movimientos!D:D, A5, Movimientos!C:C, "Ajuste", Movimientos!F:F, "G5000")),"")</f>
        <v/>
      </c>
      <c r="I5" s="6" t="str">
        <f aca="false">IFERROR(IF(A5="","",SUMIFS(Movimientos!E:E, Movimientos!D:D, A5, Movimientos!C:C, "Ingreso", Movimientos!G:G, "G3")+SUMIFS(Movimientos!E:E, Movimientos!D:D, A5, Movimientos!C:C, "Traslado", Movimientos!G:G, "G3")-SUMIFS(Movimientos!E:E, Movimientos!D:D, A5, Movimientos!C:C, "Traslado", Movimientos!F:F, "G3")-SUMIFS(Movimientos!E:E, Movimientos!D:D, A5, Movimientos!C:C, "Egreso", Movimientos!F:F, "G3")+SUMIFS(Movimientos!E:E, Movimientos!D:D, A5, Movimientos!C:C, "Ajuste", Movimientos!F:F, "G3")),"")</f>
        <v/>
      </c>
      <c r="J5" s="6" t="str">
        <f aca="false">IFERROR(IF(A5="","",SUM(E5:I5)),"")</f>
        <v/>
      </c>
      <c r="K5" s="6" t="str">
        <f aca="false">IFERROR(IF(A5="","",SUMIFS(Movimientos!E:E, Movimientos!D:D, A5, Movimientos!C:C, "Reserva")-SUMIFS(Movimientos!E:E, Movimientos!D:D, A5, Movimientos!C:C, "Libera_Reserva")),"")</f>
        <v/>
      </c>
      <c r="L5" s="6" t="str">
        <f aca="false">IFERROR(IF(A5="","",J5-K5),"")</f>
        <v/>
      </c>
      <c r="M5" s="6" t="str">
        <f aca="false">IFERROR(IF(Productos!A5="","",Productos!G5),"")</f>
        <v/>
      </c>
      <c r="N5" s="6" t="str">
        <f aca="false">IFERROR(IF(A5="","",IF(L5&lt;M5,"BAJO STOCK","OK")),"")</f>
        <v/>
      </c>
    </row>
    <row r="6" customFormat="false" ht="15" hidden="false" customHeight="false" outlineLevel="0" collapsed="false">
      <c r="A6" s="0" t="str">
        <f aca="false">IFERROR(IF(Productos!A6="","",Productos!A6),"")</f>
        <v/>
      </c>
      <c r="B6" s="0" t="str">
        <f aca="false">IFERROR(IF(Productos!A6="","",Productos!B6),"")</f>
        <v/>
      </c>
      <c r="C6" s="0" t="str">
        <f aca="false">IFERROR(IF(Productos!A6="","",Productos!C6),"")</f>
        <v/>
      </c>
      <c r="D6" s="0" t="str">
        <f aca="false">IFERROR(IF(Productos!A6="","",Productos!E6),"")</f>
        <v/>
      </c>
      <c r="E6" s="6" t="str">
        <f aca="false">IFERROR(IF(A6="","",SUMIFS(Movimientos!E:E, Movimientos!D:D, A6, Movimientos!C:C, "Ingreso", Movimientos!G:G, "TIN")+SUMIFS(Movimientos!E:E, Movimientos!D:D, A6, Movimientos!C:C, "Traslado", Movimientos!G:G, "TIN")-SUMIFS(Movimientos!E:E, Movimientos!D:D, A6, Movimientos!C:C, "Traslado", Movimientos!F:F, "TIN")-SUMIFS(Movimientos!E:E, Movimientos!D:D, A6, Movimientos!C:C, "Egreso", Movimientos!F:F, "TIN")+SUMIFS(Movimientos!E:E, Movimientos!D:D, A6, Movimientos!C:C, "Ajuste", Movimientos!F:F, "TIN")),"")</f>
        <v/>
      </c>
      <c r="F6" s="6" t="str">
        <f aca="false">IFERROR(IF(A6="","",SUMIFS(Movimientos!E:E, Movimientos!D:D, A6, Movimientos!C:C, "Ingreso", Movimientos!G:G, "G1000")+SUMIFS(Movimientos!E:E, Movimientos!D:D, A6, Movimientos!C:C, "Traslado", Movimientos!G:G, "G1000")-SUMIFS(Movimientos!E:E, Movimientos!D:D, A6, Movimientos!C:C, "Traslado", Movimientos!F:F, "G1000")-SUMIFS(Movimientos!E:E, Movimientos!D:D, A6, Movimientos!C:C, "Egreso", Movimientos!F:F, "G1000")+SUMIFS(Movimientos!E:E, Movimientos!D:D, A6, Movimientos!C:C, "Ajuste", Movimientos!F:F, "G1000")),"")</f>
        <v/>
      </c>
      <c r="G6" s="6" t="str">
        <f aca="false">IFERROR(IF(A6="","",SUMIFS(Movimientos!E:E, Movimientos!D:D, A6, Movimientos!C:C, "Ingreso", Movimientos!G:G, "G710")+SUMIFS(Movimientos!E:E, Movimientos!D:D, A6, Movimientos!C:C, "Traslado", Movimientos!G:G, "G710")-SUMIFS(Movimientos!E:E, Movimientos!D:D, A6, Movimientos!C:C, "Traslado", Movimientos!F:F, "G710")-SUMIFS(Movimientos!E:E, Movimientos!D:D, A6, Movimientos!C:C, "Egreso", Movimientos!F:F, "G710")+SUMIFS(Movimientos!E:E, Movimientos!D:D, A6, Movimientos!C:C, "Ajuste", Movimientos!F:F, "G710")),"")</f>
        <v/>
      </c>
      <c r="H6" s="6" t="str">
        <f aca="false">IFERROR(IF(A6="","",SUMIFS(Movimientos!E:E, Movimientos!D:D, A6, Movimientos!C:C, "Ingreso", Movimientos!G:G, "G5000")+SUMIFS(Movimientos!E:E, Movimientos!D:D, A6, Movimientos!C:C, "Traslado", Movimientos!G:G, "G5000")-SUMIFS(Movimientos!E:E, Movimientos!D:D, A6, Movimientos!C:C, "Traslado", Movimientos!F:F, "G5000")-SUMIFS(Movimientos!E:E, Movimientos!D:D, A6, Movimientos!C:C, "Egreso", Movimientos!F:F, "G5000")+SUMIFS(Movimientos!E:E, Movimientos!D:D, A6, Movimientos!C:C, "Ajuste", Movimientos!F:F, "G5000")),"")</f>
        <v/>
      </c>
      <c r="I6" s="6" t="str">
        <f aca="false">IFERROR(IF(A6="","",SUMIFS(Movimientos!E:E, Movimientos!D:D, A6, Movimientos!C:C, "Ingreso", Movimientos!G:G, "G3")+SUMIFS(Movimientos!E:E, Movimientos!D:D, A6, Movimientos!C:C, "Traslado", Movimientos!G:G, "G3")-SUMIFS(Movimientos!E:E, Movimientos!D:D, A6, Movimientos!C:C, "Traslado", Movimientos!F:F, "G3")-SUMIFS(Movimientos!E:E, Movimientos!D:D, A6, Movimientos!C:C, "Egreso", Movimientos!F:F, "G3")+SUMIFS(Movimientos!E:E, Movimientos!D:D, A6, Movimientos!C:C, "Ajuste", Movimientos!F:F, "G3")),"")</f>
        <v/>
      </c>
      <c r="J6" s="6" t="str">
        <f aca="false">IFERROR(IF(A6="","",SUM(E6:I6)),"")</f>
        <v/>
      </c>
      <c r="K6" s="6" t="str">
        <f aca="false">IFERROR(IF(A6="","",SUMIFS(Movimientos!E:E, Movimientos!D:D, A6, Movimientos!C:C, "Reserva")-SUMIFS(Movimientos!E:E, Movimientos!D:D, A6, Movimientos!C:C, "Libera_Reserva")),"")</f>
        <v/>
      </c>
      <c r="L6" s="6" t="str">
        <f aca="false">IFERROR(IF(A6="","",J6-K6),"")</f>
        <v/>
      </c>
      <c r="M6" s="6" t="str">
        <f aca="false">IFERROR(IF(Productos!A6="","",Productos!G6),"")</f>
        <v/>
      </c>
      <c r="N6" s="6" t="str">
        <f aca="false">IFERROR(IF(A6="","",IF(L6&lt;M6,"BAJO STOCK","OK")),"")</f>
        <v/>
      </c>
    </row>
    <row r="7" customFormat="false" ht="15" hidden="false" customHeight="false" outlineLevel="0" collapsed="false">
      <c r="A7" s="0" t="str">
        <f aca="false">IFERROR(IF(Productos!A7="","",Productos!A7),"")</f>
        <v/>
      </c>
      <c r="B7" s="0" t="str">
        <f aca="false">IFERROR(IF(Productos!A7="","",Productos!B7),"")</f>
        <v/>
      </c>
      <c r="C7" s="0" t="str">
        <f aca="false">IFERROR(IF(Productos!A7="","",Productos!C7),"")</f>
        <v/>
      </c>
      <c r="D7" s="0" t="str">
        <f aca="false">IFERROR(IF(Productos!A7="","",Productos!E7),"")</f>
        <v/>
      </c>
      <c r="E7" s="6" t="str">
        <f aca="false">IFERROR(IF(A7="","",SUMIFS(Movimientos!E:E, Movimientos!D:D, A7, Movimientos!C:C, "Ingreso", Movimientos!G:G, "TIN")+SUMIFS(Movimientos!E:E, Movimientos!D:D, A7, Movimientos!C:C, "Traslado", Movimientos!G:G, "TIN")-SUMIFS(Movimientos!E:E, Movimientos!D:D, A7, Movimientos!C:C, "Traslado", Movimientos!F:F, "TIN")-SUMIFS(Movimientos!E:E, Movimientos!D:D, A7, Movimientos!C:C, "Egreso", Movimientos!F:F, "TIN")+SUMIFS(Movimientos!E:E, Movimientos!D:D, A7, Movimientos!C:C, "Ajuste", Movimientos!F:F, "TIN")),"")</f>
        <v/>
      </c>
      <c r="F7" s="6" t="str">
        <f aca="false">IFERROR(IF(A7="","",SUMIFS(Movimientos!E:E, Movimientos!D:D, A7, Movimientos!C:C, "Ingreso", Movimientos!G:G, "G1000")+SUMIFS(Movimientos!E:E, Movimientos!D:D, A7, Movimientos!C:C, "Traslado", Movimientos!G:G, "G1000")-SUMIFS(Movimientos!E:E, Movimientos!D:D, A7, Movimientos!C:C, "Traslado", Movimientos!F:F, "G1000")-SUMIFS(Movimientos!E:E, Movimientos!D:D, A7, Movimientos!C:C, "Egreso", Movimientos!F:F, "G1000")+SUMIFS(Movimientos!E:E, Movimientos!D:D, A7, Movimientos!C:C, "Ajuste", Movimientos!F:F, "G1000")),"")</f>
        <v/>
      </c>
      <c r="G7" s="6" t="str">
        <f aca="false">IFERROR(IF(A7="","",SUMIFS(Movimientos!E:E, Movimientos!D:D, A7, Movimientos!C:C, "Ingreso", Movimientos!G:G, "G710")+SUMIFS(Movimientos!E:E, Movimientos!D:D, A7, Movimientos!C:C, "Traslado", Movimientos!G:G, "G710")-SUMIFS(Movimientos!E:E, Movimientos!D:D, A7, Movimientos!C:C, "Traslado", Movimientos!F:F, "G710")-SUMIFS(Movimientos!E:E, Movimientos!D:D, A7, Movimientos!C:C, "Egreso", Movimientos!F:F, "G710")+SUMIFS(Movimientos!E:E, Movimientos!D:D, A7, Movimientos!C:C, "Ajuste", Movimientos!F:F, "G710")),"")</f>
        <v/>
      </c>
      <c r="H7" s="6" t="str">
        <f aca="false">IFERROR(IF(A7="","",SUMIFS(Movimientos!E:E, Movimientos!D:D, A7, Movimientos!C:C, "Ingreso", Movimientos!G:G, "G5000")+SUMIFS(Movimientos!E:E, Movimientos!D:D, A7, Movimientos!C:C, "Traslado", Movimientos!G:G, "G5000")-SUMIFS(Movimientos!E:E, Movimientos!D:D, A7, Movimientos!C:C, "Traslado", Movimientos!F:F, "G5000")-SUMIFS(Movimientos!E:E, Movimientos!D:D, A7, Movimientos!C:C, "Egreso", Movimientos!F:F, "G5000")+SUMIFS(Movimientos!E:E, Movimientos!D:D, A7, Movimientos!C:C, "Ajuste", Movimientos!F:F, "G5000")),"")</f>
        <v/>
      </c>
      <c r="I7" s="6" t="str">
        <f aca="false">IFERROR(IF(A7="","",SUMIFS(Movimientos!E:E, Movimientos!D:D, A7, Movimientos!C:C, "Ingreso", Movimientos!G:G, "G3")+SUMIFS(Movimientos!E:E, Movimientos!D:D, A7, Movimientos!C:C, "Traslado", Movimientos!G:G, "G3")-SUMIFS(Movimientos!E:E, Movimientos!D:D, A7, Movimientos!C:C, "Traslado", Movimientos!F:F, "G3")-SUMIFS(Movimientos!E:E, Movimientos!D:D, A7, Movimientos!C:C, "Egreso", Movimientos!F:F, "G3")+SUMIFS(Movimientos!E:E, Movimientos!D:D, A7, Movimientos!C:C, "Ajuste", Movimientos!F:F, "G3")),"")</f>
        <v/>
      </c>
      <c r="J7" s="6" t="str">
        <f aca="false">IFERROR(IF(A7="","",SUM(E7:I7)),"")</f>
        <v/>
      </c>
      <c r="K7" s="6" t="str">
        <f aca="false">IFERROR(IF(A7="","",SUMIFS(Movimientos!E:E, Movimientos!D:D, A7, Movimientos!C:C, "Reserva")-SUMIFS(Movimientos!E:E, Movimientos!D:D, A7, Movimientos!C:C, "Libera_Reserva")),"")</f>
        <v/>
      </c>
      <c r="L7" s="6" t="str">
        <f aca="false">IFERROR(IF(A7="","",J7-K7),"")</f>
        <v/>
      </c>
      <c r="M7" s="6" t="str">
        <f aca="false">IFERROR(IF(Productos!A7="","",Productos!G7),"")</f>
        <v/>
      </c>
      <c r="N7" s="6" t="str">
        <f aca="false">IFERROR(IF(A7="","",IF(L7&lt;M7,"BAJO STOCK","OK")),"")</f>
        <v/>
      </c>
    </row>
    <row r="8" customFormat="false" ht="15" hidden="false" customHeight="false" outlineLevel="0" collapsed="false">
      <c r="A8" s="0" t="str">
        <f aca="false">IFERROR(IF(Productos!A8="","",Productos!A8),"")</f>
        <v/>
      </c>
      <c r="B8" s="0" t="str">
        <f aca="false">IFERROR(IF(Productos!A8="","",Productos!B8),"")</f>
        <v/>
      </c>
      <c r="C8" s="0" t="str">
        <f aca="false">IFERROR(IF(Productos!A8="","",Productos!C8),"")</f>
        <v/>
      </c>
      <c r="D8" s="0" t="str">
        <f aca="false">IFERROR(IF(Productos!A8="","",Productos!E8),"")</f>
        <v/>
      </c>
      <c r="E8" s="6" t="str">
        <f aca="false">IFERROR(IF(A8="","",SUMIFS(Movimientos!E:E, Movimientos!D:D, A8, Movimientos!C:C, "Ingreso", Movimientos!G:G, "TIN")+SUMIFS(Movimientos!E:E, Movimientos!D:D, A8, Movimientos!C:C, "Traslado", Movimientos!G:G, "TIN")-SUMIFS(Movimientos!E:E, Movimientos!D:D, A8, Movimientos!C:C, "Traslado", Movimientos!F:F, "TIN")-SUMIFS(Movimientos!E:E, Movimientos!D:D, A8, Movimientos!C:C, "Egreso", Movimientos!F:F, "TIN")+SUMIFS(Movimientos!E:E, Movimientos!D:D, A8, Movimientos!C:C, "Ajuste", Movimientos!F:F, "TIN")),"")</f>
        <v/>
      </c>
      <c r="F8" s="6" t="str">
        <f aca="false">IFERROR(IF(A8="","",SUMIFS(Movimientos!E:E, Movimientos!D:D, A8, Movimientos!C:C, "Ingreso", Movimientos!G:G, "G1000")+SUMIFS(Movimientos!E:E, Movimientos!D:D, A8, Movimientos!C:C, "Traslado", Movimientos!G:G, "G1000")-SUMIFS(Movimientos!E:E, Movimientos!D:D, A8, Movimientos!C:C, "Traslado", Movimientos!F:F, "G1000")-SUMIFS(Movimientos!E:E, Movimientos!D:D, A8, Movimientos!C:C, "Egreso", Movimientos!F:F, "G1000")+SUMIFS(Movimientos!E:E, Movimientos!D:D, A8, Movimientos!C:C, "Ajuste", Movimientos!F:F, "G1000")),"")</f>
        <v/>
      </c>
      <c r="G8" s="6" t="str">
        <f aca="false">IFERROR(IF(A8="","",SUMIFS(Movimientos!E:E, Movimientos!D:D, A8, Movimientos!C:C, "Ingreso", Movimientos!G:G, "G710")+SUMIFS(Movimientos!E:E, Movimientos!D:D, A8, Movimientos!C:C, "Traslado", Movimientos!G:G, "G710")-SUMIFS(Movimientos!E:E, Movimientos!D:D, A8, Movimientos!C:C, "Traslado", Movimientos!F:F, "G710")-SUMIFS(Movimientos!E:E, Movimientos!D:D, A8, Movimientos!C:C, "Egreso", Movimientos!F:F, "G710")+SUMIFS(Movimientos!E:E, Movimientos!D:D, A8, Movimientos!C:C, "Ajuste", Movimientos!F:F, "G710")),"")</f>
        <v/>
      </c>
      <c r="H8" s="6" t="str">
        <f aca="false">IFERROR(IF(A8="","",SUMIFS(Movimientos!E:E, Movimientos!D:D, A8, Movimientos!C:C, "Ingreso", Movimientos!G:G, "G5000")+SUMIFS(Movimientos!E:E, Movimientos!D:D, A8, Movimientos!C:C, "Traslado", Movimientos!G:G, "G5000")-SUMIFS(Movimientos!E:E, Movimientos!D:D, A8, Movimientos!C:C, "Traslado", Movimientos!F:F, "G5000")-SUMIFS(Movimientos!E:E, Movimientos!D:D, A8, Movimientos!C:C, "Egreso", Movimientos!F:F, "G5000")+SUMIFS(Movimientos!E:E, Movimientos!D:D, A8, Movimientos!C:C, "Ajuste", Movimientos!F:F, "G5000")),"")</f>
        <v/>
      </c>
      <c r="I8" s="6" t="str">
        <f aca="false">IFERROR(IF(A8="","",SUMIFS(Movimientos!E:E, Movimientos!D:D, A8, Movimientos!C:C, "Ingreso", Movimientos!G:G, "G3")+SUMIFS(Movimientos!E:E, Movimientos!D:D, A8, Movimientos!C:C, "Traslado", Movimientos!G:G, "G3")-SUMIFS(Movimientos!E:E, Movimientos!D:D, A8, Movimientos!C:C, "Traslado", Movimientos!F:F, "G3")-SUMIFS(Movimientos!E:E, Movimientos!D:D, A8, Movimientos!C:C, "Egreso", Movimientos!F:F, "G3")+SUMIFS(Movimientos!E:E, Movimientos!D:D, A8, Movimientos!C:C, "Ajuste", Movimientos!F:F, "G3")),"")</f>
        <v/>
      </c>
      <c r="J8" s="6" t="str">
        <f aca="false">IFERROR(IF(A8="","",SUM(E8:I8)),"")</f>
        <v/>
      </c>
      <c r="K8" s="6" t="str">
        <f aca="false">IFERROR(IF(A8="","",SUMIFS(Movimientos!E:E, Movimientos!D:D, A8, Movimientos!C:C, "Reserva")-SUMIFS(Movimientos!E:E, Movimientos!D:D, A8, Movimientos!C:C, "Libera_Reserva")),"")</f>
        <v/>
      </c>
      <c r="L8" s="6" t="str">
        <f aca="false">IFERROR(IF(A8="","",J8-K8),"")</f>
        <v/>
      </c>
      <c r="M8" s="6" t="str">
        <f aca="false">IFERROR(IF(Productos!A8="","",Productos!G8),"")</f>
        <v/>
      </c>
      <c r="N8" s="6" t="str">
        <f aca="false">IFERROR(IF(A8="","",IF(L8&lt;M8,"BAJO STOCK","OK")),"")</f>
        <v/>
      </c>
    </row>
    <row r="9" customFormat="false" ht="15" hidden="false" customHeight="false" outlineLevel="0" collapsed="false">
      <c r="A9" s="0" t="str">
        <f aca="false">IFERROR(IF(Productos!A9="","",Productos!A9),"")</f>
        <v/>
      </c>
      <c r="B9" s="0" t="str">
        <f aca="false">IFERROR(IF(Productos!A9="","",Productos!B9),"")</f>
        <v/>
      </c>
      <c r="C9" s="0" t="str">
        <f aca="false">IFERROR(IF(Productos!A9="","",Productos!C9),"")</f>
        <v/>
      </c>
      <c r="D9" s="0" t="str">
        <f aca="false">IFERROR(IF(Productos!A9="","",Productos!E9),"")</f>
        <v/>
      </c>
      <c r="E9" s="6" t="str">
        <f aca="false">IFERROR(IF(A9="","",SUMIFS(Movimientos!E:E, Movimientos!D:D, A9, Movimientos!C:C, "Ingreso", Movimientos!G:G, "TIN")+SUMIFS(Movimientos!E:E, Movimientos!D:D, A9, Movimientos!C:C, "Traslado", Movimientos!G:G, "TIN")-SUMIFS(Movimientos!E:E, Movimientos!D:D, A9, Movimientos!C:C, "Traslado", Movimientos!F:F, "TIN")-SUMIFS(Movimientos!E:E, Movimientos!D:D, A9, Movimientos!C:C, "Egreso", Movimientos!F:F, "TIN")+SUMIFS(Movimientos!E:E, Movimientos!D:D, A9, Movimientos!C:C, "Ajuste", Movimientos!F:F, "TIN")),"")</f>
        <v/>
      </c>
      <c r="F9" s="6" t="str">
        <f aca="false">IFERROR(IF(A9="","",SUMIFS(Movimientos!E:E, Movimientos!D:D, A9, Movimientos!C:C, "Ingreso", Movimientos!G:G, "G1000")+SUMIFS(Movimientos!E:E, Movimientos!D:D, A9, Movimientos!C:C, "Traslado", Movimientos!G:G, "G1000")-SUMIFS(Movimientos!E:E, Movimientos!D:D, A9, Movimientos!C:C, "Traslado", Movimientos!F:F, "G1000")-SUMIFS(Movimientos!E:E, Movimientos!D:D, A9, Movimientos!C:C, "Egreso", Movimientos!F:F, "G1000")+SUMIFS(Movimientos!E:E, Movimientos!D:D, A9, Movimientos!C:C, "Ajuste", Movimientos!F:F, "G1000")),"")</f>
        <v/>
      </c>
      <c r="G9" s="6" t="str">
        <f aca="false">IFERROR(IF(A9="","",SUMIFS(Movimientos!E:E, Movimientos!D:D, A9, Movimientos!C:C, "Ingreso", Movimientos!G:G, "G710")+SUMIFS(Movimientos!E:E, Movimientos!D:D, A9, Movimientos!C:C, "Traslado", Movimientos!G:G, "G710")-SUMIFS(Movimientos!E:E, Movimientos!D:D, A9, Movimientos!C:C, "Traslado", Movimientos!F:F, "G710")-SUMIFS(Movimientos!E:E, Movimientos!D:D, A9, Movimientos!C:C, "Egreso", Movimientos!F:F, "G710")+SUMIFS(Movimientos!E:E, Movimientos!D:D, A9, Movimientos!C:C, "Ajuste", Movimientos!F:F, "G710")),"")</f>
        <v/>
      </c>
      <c r="H9" s="6" t="str">
        <f aca="false">IFERROR(IF(A9="","",SUMIFS(Movimientos!E:E, Movimientos!D:D, A9, Movimientos!C:C, "Ingreso", Movimientos!G:G, "G5000")+SUMIFS(Movimientos!E:E, Movimientos!D:D, A9, Movimientos!C:C, "Traslado", Movimientos!G:G, "G5000")-SUMIFS(Movimientos!E:E, Movimientos!D:D, A9, Movimientos!C:C, "Traslado", Movimientos!F:F, "G5000")-SUMIFS(Movimientos!E:E, Movimientos!D:D, A9, Movimientos!C:C, "Egreso", Movimientos!F:F, "G5000")+SUMIFS(Movimientos!E:E, Movimientos!D:D, A9, Movimientos!C:C, "Ajuste", Movimientos!F:F, "G5000")),"")</f>
        <v/>
      </c>
      <c r="I9" s="6" t="str">
        <f aca="false">IFERROR(IF(A9="","",SUMIFS(Movimientos!E:E, Movimientos!D:D, A9, Movimientos!C:C, "Ingreso", Movimientos!G:G, "G3")+SUMIFS(Movimientos!E:E, Movimientos!D:D, A9, Movimientos!C:C, "Traslado", Movimientos!G:G, "G3")-SUMIFS(Movimientos!E:E, Movimientos!D:D, A9, Movimientos!C:C, "Traslado", Movimientos!F:F, "G3")-SUMIFS(Movimientos!E:E, Movimientos!D:D, A9, Movimientos!C:C, "Egreso", Movimientos!F:F, "G3")+SUMIFS(Movimientos!E:E, Movimientos!D:D, A9, Movimientos!C:C, "Ajuste", Movimientos!F:F, "G3")),"")</f>
        <v/>
      </c>
      <c r="J9" s="6" t="str">
        <f aca="false">IFERROR(IF(A9="","",SUM(E9:I9)),"")</f>
        <v/>
      </c>
      <c r="K9" s="6" t="str">
        <f aca="false">IFERROR(IF(A9="","",SUMIFS(Movimientos!E:E, Movimientos!D:D, A9, Movimientos!C:C, "Reserva")-SUMIFS(Movimientos!E:E, Movimientos!D:D, A9, Movimientos!C:C, "Libera_Reserva")),"")</f>
        <v/>
      </c>
      <c r="L9" s="6" t="str">
        <f aca="false">IFERROR(IF(A9="","",J9-K9),"")</f>
        <v/>
      </c>
      <c r="M9" s="6" t="str">
        <f aca="false">IFERROR(IF(Productos!A9="","",Productos!G9),"")</f>
        <v/>
      </c>
      <c r="N9" s="6" t="str">
        <f aca="false">IFERROR(IF(A9="","",IF(L9&lt;M9,"BAJO STOCK","OK")),"")</f>
        <v/>
      </c>
    </row>
    <row r="10" customFormat="false" ht="15" hidden="false" customHeight="false" outlineLevel="0" collapsed="false">
      <c r="A10" s="0" t="str">
        <f aca="false">IFERROR(IF(Productos!A10="","",Productos!A10),"")</f>
        <v/>
      </c>
      <c r="B10" s="0" t="str">
        <f aca="false">IFERROR(IF(Productos!A10="","",Productos!B10),"")</f>
        <v/>
      </c>
      <c r="C10" s="0" t="str">
        <f aca="false">IFERROR(IF(Productos!A10="","",Productos!C10),"")</f>
        <v/>
      </c>
      <c r="D10" s="0" t="str">
        <f aca="false">IFERROR(IF(Productos!A10="","",Productos!E10),"")</f>
        <v/>
      </c>
      <c r="E10" s="6" t="str">
        <f aca="false">IFERROR(IF(A10="","",SUMIFS(Movimientos!E:E, Movimientos!D:D, A10, Movimientos!C:C, "Ingreso", Movimientos!G:G, "TIN")+SUMIFS(Movimientos!E:E, Movimientos!D:D, A10, Movimientos!C:C, "Traslado", Movimientos!G:G, "TIN")-SUMIFS(Movimientos!E:E, Movimientos!D:D, A10, Movimientos!C:C, "Traslado", Movimientos!F:F, "TIN")-SUMIFS(Movimientos!E:E, Movimientos!D:D, A10, Movimientos!C:C, "Egreso", Movimientos!F:F, "TIN")+SUMIFS(Movimientos!E:E, Movimientos!D:D, A10, Movimientos!C:C, "Ajuste", Movimientos!F:F, "TIN")),"")</f>
        <v/>
      </c>
      <c r="F10" s="6" t="str">
        <f aca="false">IFERROR(IF(A10="","",SUMIFS(Movimientos!E:E, Movimientos!D:D, A10, Movimientos!C:C, "Ingreso", Movimientos!G:G, "G1000")+SUMIFS(Movimientos!E:E, Movimientos!D:D, A10, Movimientos!C:C, "Traslado", Movimientos!G:G, "G1000")-SUMIFS(Movimientos!E:E, Movimientos!D:D, A10, Movimientos!C:C, "Traslado", Movimientos!F:F, "G1000")-SUMIFS(Movimientos!E:E, Movimientos!D:D, A10, Movimientos!C:C, "Egreso", Movimientos!F:F, "G1000")+SUMIFS(Movimientos!E:E, Movimientos!D:D, A10, Movimientos!C:C, "Ajuste", Movimientos!F:F, "G1000")),"")</f>
        <v/>
      </c>
      <c r="G10" s="6" t="str">
        <f aca="false">IFERROR(IF(A10="","",SUMIFS(Movimientos!E:E, Movimientos!D:D, A10, Movimientos!C:C, "Ingreso", Movimientos!G:G, "G710")+SUMIFS(Movimientos!E:E, Movimientos!D:D, A10, Movimientos!C:C, "Traslado", Movimientos!G:G, "G710")-SUMIFS(Movimientos!E:E, Movimientos!D:D, A10, Movimientos!C:C, "Traslado", Movimientos!F:F, "G710")-SUMIFS(Movimientos!E:E, Movimientos!D:D, A10, Movimientos!C:C, "Egreso", Movimientos!F:F, "G710")+SUMIFS(Movimientos!E:E, Movimientos!D:D, A10, Movimientos!C:C, "Ajuste", Movimientos!F:F, "G710")),"")</f>
        <v/>
      </c>
      <c r="H10" s="6" t="str">
        <f aca="false">IFERROR(IF(A10="","",SUMIFS(Movimientos!E:E, Movimientos!D:D, A10, Movimientos!C:C, "Ingreso", Movimientos!G:G, "G5000")+SUMIFS(Movimientos!E:E, Movimientos!D:D, A10, Movimientos!C:C, "Traslado", Movimientos!G:G, "G5000")-SUMIFS(Movimientos!E:E, Movimientos!D:D, A10, Movimientos!C:C, "Traslado", Movimientos!F:F, "G5000")-SUMIFS(Movimientos!E:E, Movimientos!D:D, A10, Movimientos!C:C, "Egreso", Movimientos!F:F, "G5000")+SUMIFS(Movimientos!E:E, Movimientos!D:D, A10, Movimientos!C:C, "Ajuste", Movimientos!F:F, "G5000")),"")</f>
        <v/>
      </c>
      <c r="I10" s="6" t="str">
        <f aca="false">IFERROR(IF(A10="","",SUMIFS(Movimientos!E:E, Movimientos!D:D, A10, Movimientos!C:C, "Ingreso", Movimientos!G:G, "G3")+SUMIFS(Movimientos!E:E, Movimientos!D:D, A10, Movimientos!C:C, "Traslado", Movimientos!G:G, "G3")-SUMIFS(Movimientos!E:E, Movimientos!D:D, A10, Movimientos!C:C, "Traslado", Movimientos!F:F, "G3")-SUMIFS(Movimientos!E:E, Movimientos!D:D, A10, Movimientos!C:C, "Egreso", Movimientos!F:F, "G3")+SUMIFS(Movimientos!E:E, Movimientos!D:D, A10, Movimientos!C:C, "Ajuste", Movimientos!F:F, "G3")),"")</f>
        <v/>
      </c>
      <c r="J10" s="6" t="str">
        <f aca="false">IFERROR(IF(A10="","",SUM(E10:I10)),"")</f>
        <v/>
      </c>
      <c r="K10" s="6" t="str">
        <f aca="false">IFERROR(IF(A10="","",SUMIFS(Movimientos!E:E, Movimientos!D:D, A10, Movimientos!C:C, "Reserva")-SUMIFS(Movimientos!E:E, Movimientos!D:D, A10, Movimientos!C:C, "Libera_Reserva")),"")</f>
        <v/>
      </c>
      <c r="L10" s="6" t="str">
        <f aca="false">IFERROR(IF(A10="","",J10-K10),"")</f>
        <v/>
      </c>
      <c r="M10" s="6" t="str">
        <f aca="false">IFERROR(IF(Productos!A10="","",Productos!G10),"")</f>
        <v/>
      </c>
      <c r="N10" s="6" t="str">
        <f aca="false">IFERROR(IF(A10="","",IF(L10&lt;M10,"BAJO STOCK","OK")),"")</f>
        <v/>
      </c>
    </row>
    <row r="11" customFormat="false" ht="15" hidden="false" customHeight="false" outlineLevel="0" collapsed="false">
      <c r="A11" s="0" t="str">
        <f aca="false">IFERROR(IF(Productos!A11="","",Productos!A11),"")</f>
        <v/>
      </c>
      <c r="B11" s="0" t="str">
        <f aca="false">IFERROR(IF(Productos!A11="","",Productos!B11),"")</f>
        <v/>
      </c>
      <c r="C11" s="0" t="str">
        <f aca="false">IFERROR(IF(Productos!A11="","",Productos!C11),"")</f>
        <v/>
      </c>
      <c r="D11" s="0" t="str">
        <f aca="false">IFERROR(IF(Productos!A11="","",Productos!E11),"")</f>
        <v/>
      </c>
      <c r="E11" s="6" t="str">
        <f aca="false">IFERROR(IF(A11="","",SUMIFS(Movimientos!E:E, Movimientos!D:D, A11, Movimientos!C:C, "Ingreso", Movimientos!G:G, "TIN")+SUMIFS(Movimientos!E:E, Movimientos!D:D, A11, Movimientos!C:C, "Traslado", Movimientos!G:G, "TIN")-SUMIFS(Movimientos!E:E, Movimientos!D:D, A11, Movimientos!C:C, "Traslado", Movimientos!F:F, "TIN")-SUMIFS(Movimientos!E:E, Movimientos!D:D, A11, Movimientos!C:C, "Egreso", Movimientos!F:F, "TIN")+SUMIFS(Movimientos!E:E, Movimientos!D:D, A11, Movimientos!C:C, "Ajuste", Movimientos!F:F, "TIN")),"")</f>
        <v/>
      </c>
      <c r="F11" s="6" t="str">
        <f aca="false">IFERROR(IF(A11="","",SUMIFS(Movimientos!E:E, Movimientos!D:D, A11, Movimientos!C:C, "Ingreso", Movimientos!G:G, "G1000")+SUMIFS(Movimientos!E:E, Movimientos!D:D, A11, Movimientos!C:C, "Traslado", Movimientos!G:G, "G1000")-SUMIFS(Movimientos!E:E, Movimientos!D:D, A11, Movimientos!C:C, "Traslado", Movimientos!F:F, "G1000")-SUMIFS(Movimientos!E:E, Movimientos!D:D, A11, Movimientos!C:C, "Egreso", Movimientos!F:F, "G1000")+SUMIFS(Movimientos!E:E, Movimientos!D:D, A11, Movimientos!C:C, "Ajuste", Movimientos!F:F, "G1000")),"")</f>
        <v/>
      </c>
      <c r="G11" s="6" t="str">
        <f aca="false">IFERROR(IF(A11="","",SUMIFS(Movimientos!E:E, Movimientos!D:D, A11, Movimientos!C:C, "Ingreso", Movimientos!G:G, "G710")+SUMIFS(Movimientos!E:E, Movimientos!D:D, A11, Movimientos!C:C, "Traslado", Movimientos!G:G, "G710")-SUMIFS(Movimientos!E:E, Movimientos!D:D, A11, Movimientos!C:C, "Traslado", Movimientos!F:F, "G710")-SUMIFS(Movimientos!E:E, Movimientos!D:D, A11, Movimientos!C:C, "Egreso", Movimientos!F:F, "G710")+SUMIFS(Movimientos!E:E, Movimientos!D:D, A11, Movimientos!C:C, "Ajuste", Movimientos!F:F, "G710")),"")</f>
        <v/>
      </c>
      <c r="H11" s="6" t="str">
        <f aca="false">IFERROR(IF(A11="","",SUMIFS(Movimientos!E:E, Movimientos!D:D, A11, Movimientos!C:C, "Ingreso", Movimientos!G:G, "G5000")+SUMIFS(Movimientos!E:E, Movimientos!D:D, A11, Movimientos!C:C, "Traslado", Movimientos!G:G, "G5000")-SUMIFS(Movimientos!E:E, Movimientos!D:D, A11, Movimientos!C:C, "Traslado", Movimientos!F:F, "G5000")-SUMIFS(Movimientos!E:E, Movimientos!D:D, A11, Movimientos!C:C, "Egreso", Movimientos!F:F, "G5000")+SUMIFS(Movimientos!E:E, Movimientos!D:D, A11, Movimientos!C:C, "Ajuste", Movimientos!F:F, "G5000")),"")</f>
        <v/>
      </c>
      <c r="I11" s="6" t="str">
        <f aca="false">IFERROR(IF(A11="","",SUMIFS(Movimientos!E:E, Movimientos!D:D, A11, Movimientos!C:C, "Ingreso", Movimientos!G:G, "G3")+SUMIFS(Movimientos!E:E, Movimientos!D:D, A11, Movimientos!C:C, "Traslado", Movimientos!G:G, "G3")-SUMIFS(Movimientos!E:E, Movimientos!D:D, A11, Movimientos!C:C, "Traslado", Movimientos!F:F, "G3")-SUMIFS(Movimientos!E:E, Movimientos!D:D, A11, Movimientos!C:C, "Egreso", Movimientos!F:F, "G3")+SUMIFS(Movimientos!E:E, Movimientos!D:D, A11, Movimientos!C:C, "Ajuste", Movimientos!F:F, "G3")),"")</f>
        <v/>
      </c>
      <c r="J11" s="6" t="str">
        <f aca="false">IFERROR(IF(A11="","",SUM(E11:I11)),"")</f>
        <v/>
      </c>
      <c r="K11" s="6" t="str">
        <f aca="false">IFERROR(IF(A11="","",SUMIFS(Movimientos!E:E, Movimientos!D:D, A11, Movimientos!C:C, "Reserva")-SUMIFS(Movimientos!E:E, Movimientos!D:D, A11, Movimientos!C:C, "Libera_Reserva")),"")</f>
        <v/>
      </c>
      <c r="L11" s="6" t="str">
        <f aca="false">IFERROR(IF(A11="","",J11-K11),"")</f>
        <v/>
      </c>
      <c r="M11" s="6" t="str">
        <f aca="false">IFERROR(IF(Productos!A11="","",Productos!G11),"")</f>
        <v/>
      </c>
      <c r="N11" s="6" t="str">
        <f aca="false">IFERROR(IF(A11="","",IF(L11&lt;M11,"BAJO STOCK","OK")),"")</f>
        <v/>
      </c>
    </row>
    <row r="12" customFormat="false" ht="15" hidden="false" customHeight="false" outlineLevel="0" collapsed="false">
      <c r="A12" s="0" t="str">
        <f aca="false">IFERROR(IF(Productos!A12="","",Productos!A12),"")</f>
        <v/>
      </c>
      <c r="B12" s="0" t="str">
        <f aca="false">IFERROR(IF(Productos!A12="","",Productos!B12),"")</f>
        <v/>
      </c>
      <c r="C12" s="0" t="str">
        <f aca="false">IFERROR(IF(Productos!A12="","",Productos!C12),"")</f>
        <v/>
      </c>
      <c r="D12" s="0" t="str">
        <f aca="false">IFERROR(IF(Productos!A12="","",Productos!E12),"")</f>
        <v/>
      </c>
      <c r="E12" s="6" t="str">
        <f aca="false">IFERROR(IF(A12="","",SUMIFS(Movimientos!E:E, Movimientos!D:D, A12, Movimientos!C:C, "Ingreso", Movimientos!G:G, "TIN")+SUMIFS(Movimientos!E:E, Movimientos!D:D, A12, Movimientos!C:C, "Traslado", Movimientos!G:G, "TIN")-SUMIFS(Movimientos!E:E, Movimientos!D:D, A12, Movimientos!C:C, "Traslado", Movimientos!F:F, "TIN")-SUMIFS(Movimientos!E:E, Movimientos!D:D, A12, Movimientos!C:C, "Egreso", Movimientos!F:F, "TIN")+SUMIFS(Movimientos!E:E, Movimientos!D:D, A12, Movimientos!C:C, "Ajuste", Movimientos!F:F, "TIN")),"")</f>
        <v/>
      </c>
      <c r="F12" s="6" t="str">
        <f aca="false">IFERROR(IF(A12="","",SUMIFS(Movimientos!E:E, Movimientos!D:D, A12, Movimientos!C:C, "Ingreso", Movimientos!G:G, "G1000")+SUMIFS(Movimientos!E:E, Movimientos!D:D, A12, Movimientos!C:C, "Traslado", Movimientos!G:G, "G1000")-SUMIFS(Movimientos!E:E, Movimientos!D:D, A12, Movimientos!C:C, "Traslado", Movimientos!F:F, "G1000")-SUMIFS(Movimientos!E:E, Movimientos!D:D, A12, Movimientos!C:C, "Egreso", Movimientos!F:F, "G1000")+SUMIFS(Movimientos!E:E, Movimientos!D:D, A12, Movimientos!C:C, "Ajuste", Movimientos!F:F, "G1000")),"")</f>
        <v/>
      </c>
      <c r="G12" s="6" t="str">
        <f aca="false">IFERROR(IF(A12="","",SUMIFS(Movimientos!E:E, Movimientos!D:D, A12, Movimientos!C:C, "Ingreso", Movimientos!G:G, "G710")+SUMIFS(Movimientos!E:E, Movimientos!D:D, A12, Movimientos!C:C, "Traslado", Movimientos!G:G, "G710")-SUMIFS(Movimientos!E:E, Movimientos!D:D, A12, Movimientos!C:C, "Traslado", Movimientos!F:F, "G710")-SUMIFS(Movimientos!E:E, Movimientos!D:D, A12, Movimientos!C:C, "Egreso", Movimientos!F:F, "G710")+SUMIFS(Movimientos!E:E, Movimientos!D:D, A12, Movimientos!C:C, "Ajuste", Movimientos!F:F, "G710")),"")</f>
        <v/>
      </c>
      <c r="H12" s="6" t="str">
        <f aca="false">IFERROR(IF(A12="","",SUMIFS(Movimientos!E:E, Movimientos!D:D, A12, Movimientos!C:C, "Ingreso", Movimientos!G:G, "G5000")+SUMIFS(Movimientos!E:E, Movimientos!D:D, A12, Movimientos!C:C, "Traslado", Movimientos!G:G, "G5000")-SUMIFS(Movimientos!E:E, Movimientos!D:D, A12, Movimientos!C:C, "Traslado", Movimientos!F:F, "G5000")-SUMIFS(Movimientos!E:E, Movimientos!D:D, A12, Movimientos!C:C, "Egreso", Movimientos!F:F, "G5000")+SUMIFS(Movimientos!E:E, Movimientos!D:D, A12, Movimientos!C:C, "Ajuste", Movimientos!F:F, "G5000")),"")</f>
        <v/>
      </c>
      <c r="I12" s="6" t="str">
        <f aca="false">IFERROR(IF(A12="","",SUMIFS(Movimientos!E:E, Movimientos!D:D, A12, Movimientos!C:C, "Ingreso", Movimientos!G:G, "G3")+SUMIFS(Movimientos!E:E, Movimientos!D:D, A12, Movimientos!C:C, "Traslado", Movimientos!G:G, "G3")-SUMIFS(Movimientos!E:E, Movimientos!D:D, A12, Movimientos!C:C, "Traslado", Movimientos!F:F, "G3")-SUMIFS(Movimientos!E:E, Movimientos!D:D, A12, Movimientos!C:C, "Egreso", Movimientos!F:F, "G3")+SUMIFS(Movimientos!E:E, Movimientos!D:D, A12, Movimientos!C:C, "Ajuste", Movimientos!F:F, "G3")),"")</f>
        <v/>
      </c>
      <c r="J12" s="6" t="str">
        <f aca="false">IFERROR(IF(A12="","",SUM(E12:I12)),"")</f>
        <v/>
      </c>
      <c r="K12" s="6" t="str">
        <f aca="false">IFERROR(IF(A12="","",SUMIFS(Movimientos!E:E, Movimientos!D:D, A12, Movimientos!C:C, "Reserva")-SUMIFS(Movimientos!E:E, Movimientos!D:D, A12, Movimientos!C:C, "Libera_Reserva")),"")</f>
        <v/>
      </c>
      <c r="L12" s="6" t="str">
        <f aca="false">IFERROR(IF(A12="","",J12-K12),"")</f>
        <v/>
      </c>
      <c r="M12" s="6" t="str">
        <f aca="false">IFERROR(IF(Productos!A12="","",Productos!G12),"")</f>
        <v/>
      </c>
      <c r="N12" s="6" t="str">
        <f aca="false">IFERROR(IF(A12="","",IF(L12&lt;M12,"BAJO STOCK","OK")),"")</f>
        <v/>
      </c>
    </row>
    <row r="13" customFormat="false" ht="15" hidden="false" customHeight="false" outlineLevel="0" collapsed="false">
      <c r="A13" s="0" t="str">
        <f aca="false">IFERROR(IF(Productos!A13="","",Productos!A13),"")</f>
        <v/>
      </c>
      <c r="B13" s="0" t="str">
        <f aca="false">IFERROR(IF(Productos!A13="","",Productos!B13),"")</f>
        <v/>
      </c>
      <c r="C13" s="0" t="str">
        <f aca="false">IFERROR(IF(Productos!A13="","",Productos!C13),"")</f>
        <v/>
      </c>
      <c r="D13" s="0" t="str">
        <f aca="false">IFERROR(IF(Productos!A13="","",Productos!E13),"")</f>
        <v/>
      </c>
      <c r="E13" s="6" t="str">
        <f aca="false">IFERROR(IF(A13="","",SUMIFS(Movimientos!E:E, Movimientos!D:D, A13, Movimientos!C:C, "Ingreso", Movimientos!G:G, "TIN")+SUMIFS(Movimientos!E:E, Movimientos!D:D, A13, Movimientos!C:C, "Traslado", Movimientos!G:G, "TIN")-SUMIFS(Movimientos!E:E, Movimientos!D:D, A13, Movimientos!C:C, "Traslado", Movimientos!F:F, "TIN")-SUMIFS(Movimientos!E:E, Movimientos!D:D, A13, Movimientos!C:C, "Egreso", Movimientos!F:F, "TIN")+SUMIFS(Movimientos!E:E, Movimientos!D:D, A13, Movimientos!C:C, "Ajuste", Movimientos!F:F, "TIN")),"")</f>
        <v/>
      </c>
      <c r="F13" s="6" t="str">
        <f aca="false">IFERROR(IF(A13="","",SUMIFS(Movimientos!E:E, Movimientos!D:D, A13, Movimientos!C:C, "Ingreso", Movimientos!G:G, "G1000")+SUMIFS(Movimientos!E:E, Movimientos!D:D, A13, Movimientos!C:C, "Traslado", Movimientos!G:G, "G1000")-SUMIFS(Movimientos!E:E, Movimientos!D:D, A13, Movimientos!C:C, "Traslado", Movimientos!F:F, "G1000")-SUMIFS(Movimientos!E:E, Movimientos!D:D, A13, Movimientos!C:C, "Egreso", Movimientos!F:F, "G1000")+SUMIFS(Movimientos!E:E, Movimientos!D:D, A13, Movimientos!C:C, "Ajuste", Movimientos!F:F, "G1000")),"")</f>
        <v/>
      </c>
      <c r="G13" s="6" t="str">
        <f aca="false">IFERROR(IF(A13="","",SUMIFS(Movimientos!E:E, Movimientos!D:D, A13, Movimientos!C:C, "Ingreso", Movimientos!G:G, "G710")+SUMIFS(Movimientos!E:E, Movimientos!D:D, A13, Movimientos!C:C, "Traslado", Movimientos!G:G, "G710")-SUMIFS(Movimientos!E:E, Movimientos!D:D, A13, Movimientos!C:C, "Traslado", Movimientos!F:F, "G710")-SUMIFS(Movimientos!E:E, Movimientos!D:D, A13, Movimientos!C:C, "Egreso", Movimientos!F:F, "G710")+SUMIFS(Movimientos!E:E, Movimientos!D:D, A13, Movimientos!C:C, "Ajuste", Movimientos!F:F, "G710")),"")</f>
        <v/>
      </c>
      <c r="H13" s="6" t="str">
        <f aca="false">IFERROR(IF(A13="","",SUMIFS(Movimientos!E:E, Movimientos!D:D, A13, Movimientos!C:C, "Ingreso", Movimientos!G:G, "G5000")+SUMIFS(Movimientos!E:E, Movimientos!D:D, A13, Movimientos!C:C, "Traslado", Movimientos!G:G, "G5000")-SUMIFS(Movimientos!E:E, Movimientos!D:D, A13, Movimientos!C:C, "Traslado", Movimientos!F:F, "G5000")-SUMIFS(Movimientos!E:E, Movimientos!D:D, A13, Movimientos!C:C, "Egreso", Movimientos!F:F, "G5000")+SUMIFS(Movimientos!E:E, Movimientos!D:D, A13, Movimientos!C:C, "Ajuste", Movimientos!F:F, "G5000")),"")</f>
        <v/>
      </c>
      <c r="I13" s="6" t="str">
        <f aca="false">IFERROR(IF(A13="","",SUMIFS(Movimientos!E:E, Movimientos!D:D, A13, Movimientos!C:C, "Ingreso", Movimientos!G:G, "G3")+SUMIFS(Movimientos!E:E, Movimientos!D:D, A13, Movimientos!C:C, "Traslado", Movimientos!G:G, "G3")-SUMIFS(Movimientos!E:E, Movimientos!D:D, A13, Movimientos!C:C, "Traslado", Movimientos!F:F, "G3")-SUMIFS(Movimientos!E:E, Movimientos!D:D, A13, Movimientos!C:C, "Egreso", Movimientos!F:F, "G3")+SUMIFS(Movimientos!E:E, Movimientos!D:D, A13, Movimientos!C:C, "Ajuste", Movimientos!F:F, "G3")),"")</f>
        <v/>
      </c>
      <c r="J13" s="6" t="str">
        <f aca="false">IFERROR(IF(A13="","",SUM(E13:I13)),"")</f>
        <v/>
      </c>
      <c r="K13" s="6" t="str">
        <f aca="false">IFERROR(IF(A13="","",SUMIFS(Movimientos!E:E, Movimientos!D:D, A13, Movimientos!C:C, "Reserva")-SUMIFS(Movimientos!E:E, Movimientos!D:D, A13, Movimientos!C:C, "Libera_Reserva")),"")</f>
        <v/>
      </c>
      <c r="L13" s="6" t="str">
        <f aca="false">IFERROR(IF(A13="","",J13-K13),"")</f>
        <v/>
      </c>
      <c r="M13" s="6" t="str">
        <f aca="false">IFERROR(IF(Productos!A13="","",Productos!G13),"")</f>
        <v/>
      </c>
      <c r="N13" s="6" t="str">
        <f aca="false">IFERROR(IF(A13="","",IF(L13&lt;M13,"BAJO STOCK","OK")),"")</f>
        <v/>
      </c>
    </row>
    <row r="14" customFormat="false" ht="15" hidden="false" customHeight="false" outlineLevel="0" collapsed="false">
      <c r="A14" s="0" t="str">
        <f aca="false">IFERROR(IF(Productos!A14="","",Productos!A14),"")</f>
        <v/>
      </c>
      <c r="B14" s="0" t="str">
        <f aca="false">IFERROR(IF(Productos!A14="","",Productos!B14),"")</f>
        <v/>
      </c>
      <c r="C14" s="0" t="str">
        <f aca="false">IFERROR(IF(Productos!A14="","",Productos!C14),"")</f>
        <v/>
      </c>
      <c r="D14" s="0" t="str">
        <f aca="false">IFERROR(IF(Productos!A14="","",Productos!E14),"")</f>
        <v/>
      </c>
      <c r="E14" s="6" t="str">
        <f aca="false">IFERROR(IF(A14="","",SUMIFS(Movimientos!E:E, Movimientos!D:D, A14, Movimientos!C:C, "Ingreso", Movimientos!G:G, "TIN")+SUMIFS(Movimientos!E:E, Movimientos!D:D, A14, Movimientos!C:C, "Traslado", Movimientos!G:G, "TIN")-SUMIFS(Movimientos!E:E, Movimientos!D:D, A14, Movimientos!C:C, "Traslado", Movimientos!F:F, "TIN")-SUMIFS(Movimientos!E:E, Movimientos!D:D, A14, Movimientos!C:C, "Egreso", Movimientos!F:F, "TIN")+SUMIFS(Movimientos!E:E, Movimientos!D:D, A14, Movimientos!C:C, "Ajuste", Movimientos!F:F, "TIN")),"")</f>
        <v/>
      </c>
      <c r="F14" s="6" t="str">
        <f aca="false">IFERROR(IF(A14="","",SUMIFS(Movimientos!E:E, Movimientos!D:D, A14, Movimientos!C:C, "Ingreso", Movimientos!G:G, "G1000")+SUMIFS(Movimientos!E:E, Movimientos!D:D, A14, Movimientos!C:C, "Traslado", Movimientos!G:G, "G1000")-SUMIFS(Movimientos!E:E, Movimientos!D:D, A14, Movimientos!C:C, "Traslado", Movimientos!F:F, "G1000")-SUMIFS(Movimientos!E:E, Movimientos!D:D, A14, Movimientos!C:C, "Egreso", Movimientos!F:F, "G1000")+SUMIFS(Movimientos!E:E, Movimientos!D:D, A14, Movimientos!C:C, "Ajuste", Movimientos!F:F, "G1000")),"")</f>
        <v/>
      </c>
      <c r="G14" s="6" t="str">
        <f aca="false">IFERROR(IF(A14="","",SUMIFS(Movimientos!E:E, Movimientos!D:D, A14, Movimientos!C:C, "Ingreso", Movimientos!G:G, "G710")+SUMIFS(Movimientos!E:E, Movimientos!D:D, A14, Movimientos!C:C, "Traslado", Movimientos!G:G, "G710")-SUMIFS(Movimientos!E:E, Movimientos!D:D, A14, Movimientos!C:C, "Traslado", Movimientos!F:F, "G710")-SUMIFS(Movimientos!E:E, Movimientos!D:D, A14, Movimientos!C:C, "Egreso", Movimientos!F:F, "G710")+SUMIFS(Movimientos!E:E, Movimientos!D:D, A14, Movimientos!C:C, "Ajuste", Movimientos!F:F, "G710")),"")</f>
        <v/>
      </c>
      <c r="H14" s="6" t="str">
        <f aca="false">IFERROR(IF(A14="","",SUMIFS(Movimientos!E:E, Movimientos!D:D, A14, Movimientos!C:C, "Ingreso", Movimientos!G:G, "G5000")+SUMIFS(Movimientos!E:E, Movimientos!D:D, A14, Movimientos!C:C, "Traslado", Movimientos!G:G, "G5000")-SUMIFS(Movimientos!E:E, Movimientos!D:D, A14, Movimientos!C:C, "Traslado", Movimientos!F:F, "G5000")-SUMIFS(Movimientos!E:E, Movimientos!D:D, A14, Movimientos!C:C, "Egreso", Movimientos!F:F, "G5000")+SUMIFS(Movimientos!E:E, Movimientos!D:D, A14, Movimientos!C:C, "Ajuste", Movimientos!F:F, "G5000")),"")</f>
        <v/>
      </c>
      <c r="I14" s="6" t="str">
        <f aca="false">IFERROR(IF(A14="","",SUMIFS(Movimientos!E:E, Movimientos!D:D, A14, Movimientos!C:C, "Ingreso", Movimientos!G:G, "G3")+SUMIFS(Movimientos!E:E, Movimientos!D:D, A14, Movimientos!C:C, "Traslado", Movimientos!G:G, "G3")-SUMIFS(Movimientos!E:E, Movimientos!D:D, A14, Movimientos!C:C, "Traslado", Movimientos!F:F, "G3")-SUMIFS(Movimientos!E:E, Movimientos!D:D, A14, Movimientos!C:C, "Egreso", Movimientos!F:F, "G3")+SUMIFS(Movimientos!E:E, Movimientos!D:D, A14, Movimientos!C:C, "Ajuste", Movimientos!F:F, "G3")),"")</f>
        <v/>
      </c>
      <c r="J14" s="6" t="str">
        <f aca="false">IFERROR(IF(A14="","",SUM(E14:I14)),"")</f>
        <v/>
      </c>
      <c r="K14" s="6" t="str">
        <f aca="false">IFERROR(IF(A14="","",SUMIFS(Movimientos!E:E, Movimientos!D:D, A14, Movimientos!C:C, "Reserva")-SUMIFS(Movimientos!E:E, Movimientos!D:D, A14, Movimientos!C:C, "Libera_Reserva")),"")</f>
        <v/>
      </c>
      <c r="L14" s="6" t="str">
        <f aca="false">IFERROR(IF(A14="","",J14-K14),"")</f>
        <v/>
      </c>
      <c r="M14" s="6" t="str">
        <f aca="false">IFERROR(IF(Productos!A14="","",Productos!G14),"")</f>
        <v/>
      </c>
      <c r="N14" s="6" t="str">
        <f aca="false">IFERROR(IF(A14="","",IF(L14&lt;M14,"BAJO STOCK","OK")),"")</f>
        <v/>
      </c>
    </row>
    <row r="15" customFormat="false" ht="15" hidden="false" customHeight="false" outlineLevel="0" collapsed="false">
      <c r="A15" s="0" t="str">
        <f aca="false">IFERROR(IF(Productos!A15="","",Productos!A15),"")</f>
        <v/>
      </c>
      <c r="B15" s="0" t="str">
        <f aca="false">IFERROR(IF(Productos!A15="","",Productos!B15),"")</f>
        <v/>
      </c>
      <c r="C15" s="0" t="str">
        <f aca="false">IFERROR(IF(Productos!A15="","",Productos!C15),"")</f>
        <v/>
      </c>
      <c r="D15" s="0" t="str">
        <f aca="false">IFERROR(IF(Productos!A15="","",Productos!E15),"")</f>
        <v/>
      </c>
      <c r="E15" s="6" t="str">
        <f aca="false">IFERROR(IF(A15="","",SUMIFS(Movimientos!E:E, Movimientos!D:D, A15, Movimientos!C:C, "Ingreso", Movimientos!G:G, "TIN")+SUMIFS(Movimientos!E:E, Movimientos!D:D, A15, Movimientos!C:C, "Traslado", Movimientos!G:G, "TIN")-SUMIFS(Movimientos!E:E, Movimientos!D:D, A15, Movimientos!C:C, "Traslado", Movimientos!F:F, "TIN")-SUMIFS(Movimientos!E:E, Movimientos!D:D, A15, Movimientos!C:C, "Egreso", Movimientos!F:F, "TIN")+SUMIFS(Movimientos!E:E, Movimientos!D:D, A15, Movimientos!C:C, "Ajuste", Movimientos!F:F, "TIN")),"")</f>
        <v/>
      </c>
      <c r="F15" s="6" t="str">
        <f aca="false">IFERROR(IF(A15="","",SUMIFS(Movimientos!E:E, Movimientos!D:D, A15, Movimientos!C:C, "Ingreso", Movimientos!G:G, "G1000")+SUMIFS(Movimientos!E:E, Movimientos!D:D, A15, Movimientos!C:C, "Traslado", Movimientos!G:G, "G1000")-SUMIFS(Movimientos!E:E, Movimientos!D:D, A15, Movimientos!C:C, "Traslado", Movimientos!F:F, "G1000")-SUMIFS(Movimientos!E:E, Movimientos!D:D, A15, Movimientos!C:C, "Egreso", Movimientos!F:F, "G1000")+SUMIFS(Movimientos!E:E, Movimientos!D:D, A15, Movimientos!C:C, "Ajuste", Movimientos!F:F, "G1000")),"")</f>
        <v/>
      </c>
      <c r="G15" s="6" t="str">
        <f aca="false">IFERROR(IF(A15="","",SUMIFS(Movimientos!E:E, Movimientos!D:D, A15, Movimientos!C:C, "Ingreso", Movimientos!G:G, "G710")+SUMIFS(Movimientos!E:E, Movimientos!D:D, A15, Movimientos!C:C, "Traslado", Movimientos!G:G, "G710")-SUMIFS(Movimientos!E:E, Movimientos!D:D, A15, Movimientos!C:C, "Traslado", Movimientos!F:F, "G710")-SUMIFS(Movimientos!E:E, Movimientos!D:D, A15, Movimientos!C:C, "Egreso", Movimientos!F:F, "G710")+SUMIFS(Movimientos!E:E, Movimientos!D:D, A15, Movimientos!C:C, "Ajuste", Movimientos!F:F, "G710")),"")</f>
        <v/>
      </c>
      <c r="H15" s="6" t="str">
        <f aca="false">IFERROR(IF(A15="","",SUMIFS(Movimientos!E:E, Movimientos!D:D, A15, Movimientos!C:C, "Ingreso", Movimientos!G:G, "G5000")+SUMIFS(Movimientos!E:E, Movimientos!D:D, A15, Movimientos!C:C, "Traslado", Movimientos!G:G, "G5000")-SUMIFS(Movimientos!E:E, Movimientos!D:D, A15, Movimientos!C:C, "Traslado", Movimientos!F:F, "G5000")-SUMIFS(Movimientos!E:E, Movimientos!D:D, A15, Movimientos!C:C, "Egreso", Movimientos!F:F, "G5000")+SUMIFS(Movimientos!E:E, Movimientos!D:D, A15, Movimientos!C:C, "Ajuste", Movimientos!F:F, "G5000")),"")</f>
        <v/>
      </c>
      <c r="I15" s="6" t="str">
        <f aca="false">IFERROR(IF(A15="","",SUMIFS(Movimientos!E:E, Movimientos!D:D, A15, Movimientos!C:C, "Ingreso", Movimientos!G:G, "G3")+SUMIFS(Movimientos!E:E, Movimientos!D:D, A15, Movimientos!C:C, "Traslado", Movimientos!G:G, "G3")-SUMIFS(Movimientos!E:E, Movimientos!D:D, A15, Movimientos!C:C, "Traslado", Movimientos!F:F, "G3")-SUMIFS(Movimientos!E:E, Movimientos!D:D, A15, Movimientos!C:C, "Egreso", Movimientos!F:F, "G3")+SUMIFS(Movimientos!E:E, Movimientos!D:D, A15, Movimientos!C:C, "Ajuste", Movimientos!F:F, "G3")),"")</f>
        <v/>
      </c>
      <c r="J15" s="6" t="str">
        <f aca="false">IFERROR(IF(A15="","",SUM(E15:I15)),"")</f>
        <v/>
      </c>
      <c r="K15" s="6" t="str">
        <f aca="false">IFERROR(IF(A15="","",SUMIFS(Movimientos!E:E, Movimientos!D:D, A15, Movimientos!C:C, "Reserva")-SUMIFS(Movimientos!E:E, Movimientos!D:D, A15, Movimientos!C:C, "Libera_Reserva")),"")</f>
        <v/>
      </c>
      <c r="L15" s="6" t="str">
        <f aca="false">IFERROR(IF(A15="","",J15-K15),"")</f>
        <v/>
      </c>
      <c r="M15" s="6" t="str">
        <f aca="false">IFERROR(IF(Productos!A15="","",Productos!G15),"")</f>
        <v/>
      </c>
      <c r="N15" s="6" t="str">
        <f aca="false">IFERROR(IF(A15="","",IF(L15&lt;M15,"BAJO STOCK","OK")),"")</f>
        <v/>
      </c>
    </row>
    <row r="16" customFormat="false" ht="15" hidden="false" customHeight="false" outlineLevel="0" collapsed="false">
      <c r="A16" s="0" t="str">
        <f aca="false">IFERROR(IF(Productos!A16="","",Productos!A16),"")</f>
        <v/>
      </c>
      <c r="B16" s="0" t="str">
        <f aca="false">IFERROR(IF(Productos!A16="","",Productos!B16),"")</f>
        <v/>
      </c>
      <c r="C16" s="0" t="str">
        <f aca="false">IFERROR(IF(Productos!A16="","",Productos!C16),"")</f>
        <v/>
      </c>
      <c r="D16" s="0" t="str">
        <f aca="false">IFERROR(IF(Productos!A16="","",Productos!E16),"")</f>
        <v/>
      </c>
      <c r="E16" s="6" t="str">
        <f aca="false">IFERROR(IF(A16="","",SUMIFS(Movimientos!E:E, Movimientos!D:D, A16, Movimientos!C:C, "Ingreso", Movimientos!G:G, "TIN")+SUMIFS(Movimientos!E:E, Movimientos!D:D, A16, Movimientos!C:C, "Traslado", Movimientos!G:G, "TIN")-SUMIFS(Movimientos!E:E, Movimientos!D:D, A16, Movimientos!C:C, "Traslado", Movimientos!F:F, "TIN")-SUMIFS(Movimientos!E:E, Movimientos!D:D, A16, Movimientos!C:C, "Egreso", Movimientos!F:F, "TIN")+SUMIFS(Movimientos!E:E, Movimientos!D:D, A16, Movimientos!C:C, "Ajuste", Movimientos!F:F, "TIN")),"")</f>
        <v/>
      </c>
      <c r="F16" s="6" t="str">
        <f aca="false">IFERROR(IF(A16="","",SUMIFS(Movimientos!E:E, Movimientos!D:D, A16, Movimientos!C:C, "Ingreso", Movimientos!G:G, "G1000")+SUMIFS(Movimientos!E:E, Movimientos!D:D, A16, Movimientos!C:C, "Traslado", Movimientos!G:G, "G1000")-SUMIFS(Movimientos!E:E, Movimientos!D:D, A16, Movimientos!C:C, "Traslado", Movimientos!F:F, "G1000")-SUMIFS(Movimientos!E:E, Movimientos!D:D, A16, Movimientos!C:C, "Egreso", Movimientos!F:F, "G1000")+SUMIFS(Movimientos!E:E, Movimientos!D:D, A16, Movimientos!C:C, "Ajuste", Movimientos!F:F, "G1000")),"")</f>
        <v/>
      </c>
      <c r="G16" s="6" t="str">
        <f aca="false">IFERROR(IF(A16="","",SUMIFS(Movimientos!E:E, Movimientos!D:D, A16, Movimientos!C:C, "Ingreso", Movimientos!G:G, "G710")+SUMIFS(Movimientos!E:E, Movimientos!D:D, A16, Movimientos!C:C, "Traslado", Movimientos!G:G, "G710")-SUMIFS(Movimientos!E:E, Movimientos!D:D, A16, Movimientos!C:C, "Traslado", Movimientos!F:F, "G710")-SUMIFS(Movimientos!E:E, Movimientos!D:D, A16, Movimientos!C:C, "Egreso", Movimientos!F:F, "G710")+SUMIFS(Movimientos!E:E, Movimientos!D:D, A16, Movimientos!C:C, "Ajuste", Movimientos!F:F, "G710")),"")</f>
        <v/>
      </c>
      <c r="H16" s="6" t="str">
        <f aca="false">IFERROR(IF(A16="","",SUMIFS(Movimientos!E:E, Movimientos!D:D, A16, Movimientos!C:C, "Ingreso", Movimientos!G:G, "G5000")+SUMIFS(Movimientos!E:E, Movimientos!D:D, A16, Movimientos!C:C, "Traslado", Movimientos!G:G, "G5000")-SUMIFS(Movimientos!E:E, Movimientos!D:D, A16, Movimientos!C:C, "Traslado", Movimientos!F:F, "G5000")-SUMIFS(Movimientos!E:E, Movimientos!D:D, A16, Movimientos!C:C, "Egreso", Movimientos!F:F, "G5000")+SUMIFS(Movimientos!E:E, Movimientos!D:D, A16, Movimientos!C:C, "Ajuste", Movimientos!F:F, "G5000")),"")</f>
        <v/>
      </c>
      <c r="I16" s="6" t="str">
        <f aca="false">IFERROR(IF(A16="","",SUMIFS(Movimientos!E:E, Movimientos!D:D, A16, Movimientos!C:C, "Ingreso", Movimientos!G:G, "G3")+SUMIFS(Movimientos!E:E, Movimientos!D:D, A16, Movimientos!C:C, "Traslado", Movimientos!G:G, "G3")-SUMIFS(Movimientos!E:E, Movimientos!D:D, A16, Movimientos!C:C, "Traslado", Movimientos!F:F, "G3")-SUMIFS(Movimientos!E:E, Movimientos!D:D, A16, Movimientos!C:C, "Egreso", Movimientos!F:F, "G3")+SUMIFS(Movimientos!E:E, Movimientos!D:D, A16, Movimientos!C:C, "Ajuste", Movimientos!F:F, "G3")),"")</f>
        <v/>
      </c>
      <c r="J16" s="6" t="str">
        <f aca="false">IFERROR(IF(A16="","",SUM(E16:I16)),"")</f>
        <v/>
      </c>
      <c r="K16" s="6" t="str">
        <f aca="false">IFERROR(IF(A16="","",SUMIFS(Movimientos!E:E, Movimientos!D:D, A16, Movimientos!C:C, "Reserva")-SUMIFS(Movimientos!E:E, Movimientos!D:D, A16, Movimientos!C:C, "Libera_Reserva")),"")</f>
        <v/>
      </c>
      <c r="L16" s="6" t="str">
        <f aca="false">IFERROR(IF(A16="","",J16-K16),"")</f>
        <v/>
      </c>
      <c r="M16" s="6" t="str">
        <f aca="false">IFERROR(IF(Productos!A16="","",Productos!G16),"")</f>
        <v/>
      </c>
      <c r="N16" s="6" t="str">
        <f aca="false">IFERROR(IF(A16="","",IF(L16&lt;M16,"BAJO STOCK","OK")),"")</f>
        <v/>
      </c>
    </row>
    <row r="17" customFormat="false" ht="15" hidden="false" customHeight="false" outlineLevel="0" collapsed="false">
      <c r="A17" s="0" t="str">
        <f aca="false">IFERROR(IF(Productos!A17="","",Productos!A17),"")</f>
        <v/>
      </c>
      <c r="B17" s="0" t="str">
        <f aca="false">IFERROR(IF(Productos!A17="","",Productos!B17),"")</f>
        <v/>
      </c>
      <c r="C17" s="0" t="str">
        <f aca="false">IFERROR(IF(Productos!A17="","",Productos!C17),"")</f>
        <v/>
      </c>
      <c r="D17" s="0" t="str">
        <f aca="false">IFERROR(IF(Productos!A17="","",Productos!E17),"")</f>
        <v/>
      </c>
      <c r="E17" s="6" t="str">
        <f aca="false">IFERROR(IF(A17="","",SUMIFS(Movimientos!E:E, Movimientos!D:D, A17, Movimientos!C:C, "Ingreso", Movimientos!G:G, "TIN")+SUMIFS(Movimientos!E:E, Movimientos!D:D, A17, Movimientos!C:C, "Traslado", Movimientos!G:G, "TIN")-SUMIFS(Movimientos!E:E, Movimientos!D:D, A17, Movimientos!C:C, "Traslado", Movimientos!F:F, "TIN")-SUMIFS(Movimientos!E:E, Movimientos!D:D, A17, Movimientos!C:C, "Egreso", Movimientos!F:F, "TIN")+SUMIFS(Movimientos!E:E, Movimientos!D:D, A17, Movimientos!C:C, "Ajuste", Movimientos!F:F, "TIN")),"")</f>
        <v/>
      </c>
      <c r="F17" s="6" t="str">
        <f aca="false">IFERROR(IF(A17="","",SUMIFS(Movimientos!E:E, Movimientos!D:D, A17, Movimientos!C:C, "Ingreso", Movimientos!G:G, "G1000")+SUMIFS(Movimientos!E:E, Movimientos!D:D, A17, Movimientos!C:C, "Traslado", Movimientos!G:G, "G1000")-SUMIFS(Movimientos!E:E, Movimientos!D:D, A17, Movimientos!C:C, "Traslado", Movimientos!F:F, "G1000")-SUMIFS(Movimientos!E:E, Movimientos!D:D, A17, Movimientos!C:C, "Egreso", Movimientos!F:F, "G1000")+SUMIFS(Movimientos!E:E, Movimientos!D:D, A17, Movimientos!C:C, "Ajuste", Movimientos!F:F, "G1000")),"")</f>
        <v/>
      </c>
      <c r="G17" s="6" t="str">
        <f aca="false">IFERROR(IF(A17="","",SUMIFS(Movimientos!E:E, Movimientos!D:D, A17, Movimientos!C:C, "Ingreso", Movimientos!G:G, "G710")+SUMIFS(Movimientos!E:E, Movimientos!D:D, A17, Movimientos!C:C, "Traslado", Movimientos!G:G, "G710")-SUMIFS(Movimientos!E:E, Movimientos!D:D, A17, Movimientos!C:C, "Traslado", Movimientos!F:F, "G710")-SUMIFS(Movimientos!E:E, Movimientos!D:D, A17, Movimientos!C:C, "Egreso", Movimientos!F:F, "G710")+SUMIFS(Movimientos!E:E, Movimientos!D:D, A17, Movimientos!C:C, "Ajuste", Movimientos!F:F, "G710")),"")</f>
        <v/>
      </c>
      <c r="H17" s="6" t="str">
        <f aca="false">IFERROR(IF(A17="","",SUMIFS(Movimientos!E:E, Movimientos!D:D, A17, Movimientos!C:C, "Ingreso", Movimientos!G:G, "G5000")+SUMIFS(Movimientos!E:E, Movimientos!D:D, A17, Movimientos!C:C, "Traslado", Movimientos!G:G, "G5000")-SUMIFS(Movimientos!E:E, Movimientos!D:D, A17, Movimientos!C:C, "Traslado", Movimientos!F:F, "G5000")-SUMIFS(Movimientos!E:E, Movimientos!D:D, A17, Movimientos!C:C, "Egreso", Movimientos!F:F, "G5000")+SUMIFS(Movimientos!E:E, Movimientos!D:D, A17, Movimientos!C:C, "Ajuste", Movimientos!F:F, "G5000")),"")</f>
        <v/>
      </c>
      <c r="I17" s="6" t="str">
        <f aca="false">IFERROR(IF(A17="","",SUMIFS(Movimientos!E:E, Movimientos!D:D, A17, Movimientos!C:C, "Ingreso", Movimientos!G:G, "G3")+SUMIFS(Movimientos!E:E, Movimientos!D:D, A17, Movimientos!C:C, "Traslado", Movimientos!G:G, "G3")-SUMIFS(Movimientos!E:E, Movimientos!D:D, A17, Movimientos!C:C, "Traslado", Movimientos!F:F, "G3")-SUMIFS(Movimientos!E:E, Movimientos!D:D, A17, Movimientos!C:C, "Egreso", Movimientos!F:F, "G3")+SUMIFS(Movimientos!E:E, Movimientos!D:D, A17, Movimientos!C:C, "Ajuste", Movimientos!F:F, "G3")),"")</f>
        <v/>
      </c>
      <c r="J17" s="6" t="str">
        <f aca="false">IFERROR(IF(A17="","",SUM(E17:I17)),"")</f>
        <v/>
      </c>
      <c r="K17" s="6" t="str">
        <f aca="false">IFERROR(IF(A17="","",SUMIFS(Movimientos!E:E, Movimientos!D:D, A17, Movimientos!C:C, "Reserva")-SUMIFS(Movimientos!E:E, Movimientos!D:D, A17, Movimientos!C:C, "Libera_Reserva")),"")</f>
        <v/>
      </c>
      <c r="L17" s="6" t="str">
        <f aca="false">IFERROR(IF(A17="","",J17-K17),"")</f>
        <v/>
      </c>
      <c r="M17" s="6" t="str">
        <f aca="false">IFERROR(IF(Productos!A17="","",Productos!G17),"")</f>
        <v/>
      </c>
      <c r="N17" s="6" t="str">
        <f aca="false">IFERROR(IF(A17="","",IF(L17&lt;M17,"BAJO STOCK","OK")),"")</f>
        <v/>
      </c>
    </row>
    <row r="18" customFormat="false" ht="15" hidden="false" customHeight="false" outlineLevel="0" collapsed="false">
      <c r="A18" s="0" t="str">
        <f aca="false">IFERROR(IF(Productos!A18="","",Productos!A18),"")</f>
        <v/>
      </c>
      <c r="B18" s="0" t="str">
        <f aca="false">IFERROR(IF(Productos!A18="","",Productos!B18),"")</f>
        <v/>
      </c>
      <c r="C18" s="0" t="str">
        <f aca="false">IFERROR(IF(Productos!A18="","",Productos!C18),"")</f>
        <v/>
      </c>
      <c r="D18" s="0" t="str">
        <f aca="false">IFERROR(IF(Productos!A18="","",Productos!E18),"")</f>
        <v/>
      </c>
      <c r="E18" s="6" t="str">
        <f aca="false">IFERROR(IF(A18="","",SUMIFS(Movimientos!E:E, Movimientos!D:D, A18, Movimientos!C:C, "Ingreso", Movimientos!G:G, "TIN")+SUMIFS(Movimientos!E:E, Movimientos!D:D, A18, Movimientos!C:C, "Traslado", Movimientos!G:G, "TIN")-SUMIFS(Movimientos!E:E, Movimientos!D:D, A18, Movimientos!C:C, "Traslado", Movimientos!F:F, "TIN")-SUMIFS(Movimientos!E:E, Movimientos!D:D, A18, Movimientos!C:C, "Egreso", Movimientos!F:F, "TIN")+SUMIFS(Movimientos!E:E, Movimientos!D:D, A18, Movimientos!C:C, "Ajuste", Movimientos!F:F, "TIN")),"")</f>
        <v/>
      </c>
      <c r="F18" s="6" t="str">
        <f aca="false">IFERROR(IF(A18="","",SUMIFS(Movimientos!E:E, Movimientos!D:D, A18, Movimientos!C:C, "Ingreso", Movimientos!G:G, "G1000")+SUMIFS(Movimientos!E:E, Movimientos!D:D, A18, Movimientos!C:C, "Traslado", Movimientos!G:G, "G1000")-SUMIFS(Movimientos!E:E, Movimientos!D:D, A18, Movimientos!C:C, "Traslado", Movimientos!F:F, "G1000")-SUMIFS(Movimientos!E:E, Movimientos!D:D, A18, Movimientos!C:C, "Egreso", Movimientos!F:F, "G1000")+SUMIFS(Movimientos!E:E, Movimientos!D:D, A18, Movimientos!C:C, "Ajuste", Movimientos!F:F, "G1000")),"")</f>
        <v/>
      </c>
      <c r="G18" s="6" t="str">
        <f aca="false">IFERROR(IF(A18="","",SUMIFS(Movimientos!E:E, Movimientos!D:D, A18, Movimientos!C:C, "Ingreso", Movimientos!G:G, "G710")+SUMIFS(Movimientos!E:E, Movimientos!D:D, A18, Movimientos!C:C, "Traslado", Movimientos!G:G, "G710")-SUMIFS(Movimientos!E:E, Movimientos!D:D, A18, Movimientos!C:C, "Traslado", Movimientos!F:F, "G710")-SUMIFS(Movimientos!E:E, Movimientos!D:D, A18, Movimientos!C:C, "Egreso", Movimientos!F:F, "G710")+SUMIFS(Movimientos!E:E, Movimientos!D:D, A18, Movimientos!C:C, "Ajuste", Movimientos!F:F, "G710")),"")</f>
        <v/>
      </c>
      <c r="H18" s="6" t="str">
        <f aca="false">IFERROR(IF(A18="","",SUMIFS(Movimientos!E:E, Movimientos!D:D, A18, Movimientos!C:C, "Ingreso", Movimientos!G:G, "G5000")+SUMIFS(Movimientos!E:E, Movimientos!D:D, A18, Movimientos!C:C, "Traslado", Movimientos!G:G, "G5000")-SUMIFS(Movimientos!E:E, Movimientos!D:D, A18, Movimientos!C:C, "Traslado", Movimientos!F:F, "G5000")-SUMIFS(Movimientos!E:E, Movimientos!D:D, A18, Movimientos!C:C, "Egreso", Movimientos!F:F, "G5000")+SUMIFS(Movimientos!E:E, Movimientos!D:D, A18, Movimientos!C:C, "Ajuste", Movimientos!F:F, "G5000")),"")</f>
        <v/>
      </c>
      <c r="I18" s="6" t="str">
        <f aca="false">IFERROR(IF(A18="","",SUMIFS(Movimientos!E:E, Movimientos!D:D, A18, Movimientos!C:C, "Ingreso", Movimientos!G:G, "G3")+SUMIFS(Movimientos!E:E, Movimientos!D:D, A18, Movimientos!C:C, "Traslado", Movimientos!G:G, "G3")-SUMIFS(Movimientos!E:E, Movimientos!D:D, A18, Movimientos!C:C, "Traslado", Movimientos!F:F, "G3")-SUMIFS(Movimientos!E:E, Movimientos!D:D, A18, Movimientos!C:C, "Egreso", Movimientos!F:F, "G3")+SUMIFS(Movimientos!E:E, Movimientos!D:D, A18, Movimientos!C:C, "Ajuste", Movimientos!F:F, "G3")),"")</f>
        <v/>
      </c>
      <c r="J18" s="6" t="str">
        <f aca="false">IFERROR(IF(A18="","",SUM(E18:I18)),"")</f>
        <v/>
      </c>
      <c r="K18" s="6" t="str">
        <f aca="false">IFERROR(IF(A18="","",SUMIFS(Movimientos!E:E, Movimientos!D:D, A18, Movimientos!C:C, "Reserva")-SUMIFS(Movimientos!E:E, Movimientos!D:D, A18, Movimientos!C:C, "Libera_Reserva")),"")</f>
        <v/>
      </c>
      <c r="L18" s="6" t="str">
        <f aca="false">IFERROR(IF(A18="","",J18-K18),"")</f>
        <v/>
      </c>
      <c r="M18" s="6" t="str">
        <f aca="false">IFERROR(IF(Productos!A18="","",Productos!G18),"")</f>
        <v/>
      </c>
      <c r="N18" s="6" t="str">
        <f aca="false">IFERROR(IF(A18="","",IF(L18&lt;M18,"BAJO STOCK","OK")),"")</f>
        <v/>
      </c>
    </row>
    <row r="19" customFormat="false" ht="15" hidden="false" customHeight="false" outlineLevel="0" collapsed="false">
      <c r="A19" s="0" t="str">
        <f aca="false">IFERROR(IF(Productos!A19="","",Productos!A19),"")</f>
        <v/>
      </c>
      <c r="B19" s="0" t="str">
        <f aca="false">IFERROR(IF(Productos!A19="","",Productos!B19),"")</f>
        <v/>
      </c>
      <c r="C19" s="0" t="str">
        <f aca="false">IFERROR(IF(Productos!A19="","",Productos!C19),"")</f>
        <v/>
      </c>
      <c r="D19" s="0" t="str">
        <f aca="false">IFERROR(IF(Productos!A19="","",Productos!E19),"")</f>
        <v/>
      </c>
      <c r="E19" s="6" t="str">
        <f aca="false">IFERROR(IF(A19="","",SUMIFS(Movimientos!E:E, Movimientos!D:D, A19, Movimientos!C:C, "Ingreso", Movimientos!G:G, "TIN")+SUMIFS(Movimientos!E:E, Movimientos!D:D, A19, Movimientos!C:C, "Traslado", Movimientos!G:G, "TIN")-SUMIFS(Movimientos!E:E, Movimientos!D:D, A19, Movimientos!C:C, "Traslado", Movimientos!F:F, "TIN")-SUMIFS(Movimientos!E:E, Movimientos!D:D, A19, Movimientos!C:C, "Egreso", Movimientos!F:F, "TIN")+SUMIFS(Movimientos!E:E, Movimientos!D:D, A19, Movimientos!C:C, "Ajuste", Movimientos!F:F, "TIN")),"")</f>
        <v/>
      </c>
      <c r="F19" s="6" t="str">
        <f aca="false">IFERROR(IF(A19="","",SUMIFS(Movimientos!E:E, Movimientos!D:D, A19, Movimientos!C:C, "Ingreso", Movimientos!G:G, "G1000")+SUMIFS(Movimientos!E:E, Movimientos!D:D, A19, Movimientos!C:C, "Traslado", Movimientos!G:G, "G1000")-SUMIFS(Movimientos!E:E, Movimientos!D:D, A19, Movimientos!C:C, "Traslado", Movimientos!F:F, "G1000")-SUMIFS(Movimientos!E:E, Movimientos!D:D, A19, Movimientos!C:C, "Egreso", Movimientos!F:F, "G1000")+SUMIFS(Movimientos!E:E, Movimientos!D:D, A19, Movimientos!C:C, "Ajuste", Movimientos!F:F, "G1000")),"")</f>
        <v/>
      </c>
      <c r="G19" s="6" t="str">
        <f aca="false">IFERROR(IF(A19="","",SUMIFS(Movimientos!E:E, Movimientos!D:D, A19, Movimientos!C:C, "Ingreso", Movimientos!G:G, "G710")+SUMIFS(Movimientos!E:E, Movimientos!D:D, A19, Movimientos!C:C, "Traslado", Movimientos!G:G, "G710")-SUMIFS(Movimientos!E:E, Movimientos!D:D, A19, Movimientos!C:C, "Traslado", Movimientos!F:F, "G710")-SUMIFS(Movimientos!E:E, Movimientos!D:D, A19, Movimientos!C:C, "Egreso", Movimientos!F:F, "G710")+SUMIFS(Movimientos!E:E, Movimientos!D:D, A19, Movimientos!C:C, "Ajuste", Movimientos!F:F, "G710")),"")</f>
        <v/>
      </c>
      <c r="H19" s="6" t="str">
        <f aca="false">IFERROR(IF(A19="","",SUMIFS(Movimientos!E:E, Movimientos!D:D, A19, Movimientos!C:C, "Ingreso", Movimientos!G:G, "G5000")+SUMIFS(Movimientos!E:E, Movimientos!D:D, A19, Movimientos!C:C, "Traslado", Movimientos!G:G, "G5000")-SUMIFS(Movimientos!E:E, Movimientos!D:D, A19, Movimientos!C:C, "Traslado", Movimientos!F:F, "G5000")-SUMIFS(Movimientos!E:E, Movimientos!D:D, A19, Movimientos!C:C, "Egreso", Movimientos!F:F, "G5000")+SUMIFS(Movimientos!E:E, Movimientos!D:D, A19, Movimientos!C:C, "Ajuste", Movimientos!F:F, "G5000")),"")</f>
        <v/>
      </c>
      <c r="I19" s="6" t="str">
        <f aca="false">IFERROR(IF(A19="","",SUMIFS(Movimientos!E:E, Movimientos!D:D, A19, Movimientos!C:C, "Ingreso", Movimientos!G:G, "G3")+SUMIFS(Movimientos!E:E, Movimientos!D:D, A19, Movimientos!C:C, "Traslado", Movimientos!G:G, "G3")-SUMIFS(Movimientos!E:E, Movimientos!D:D, A19, Movimientos!C:C, "Traslado", Movimientos!F:F, "G3")-SUMIFS(Movimientos!E:E, Movimientos!D:D, A19, Movimientos!C:C, "Egreso", Movimientos!F:F, "G3")+SUMIFS(Movimientos!E:E, Movimientos!D:D, A19, Movimientos!C:C, "Ajuste", Movimientos!F:F, "G3")),"")</f>
        <v/>
      </c>
      <c r="J19" s="6" t="str">
        <f aca="false">IFERROR(IF(A19="","",SUM(E19:I19)),"")</f>
        <v/>
      </c>
      <c r="K19" s="6" t="str">
        <f aca="false">IFERROR(IF(A19="","",SUMIFS(Movimientos!E:E, Movimientos!D:D, A19, Movimientos!C:C, "Reserva")-SUMIFS(Movimientos!E:E, Movimientos!D:D, A19, Movimientos!C:C, "Libera_Reserva")),"")</f>
        <v/>
      </c>
      <c r="L19" s="6" t="str">
        <f aca="false">IFERROR(IF(A19="","",J19-K19),"")</f>
        <v/>
      </c>
      <c r="M19" s="6" t="str">
        <f aca="false">IFERROR(IF(Productos!A19="","",Productos!G19),"")</f>
        <v/>
      </c>
      <c r="N19" s="6" t="str">
        <f aca="false">IFERROR(IF(A19="","",IF(L19&lt;M19,"BAJO STOCK","OK")),"")</f>
        <v/>
      </c>
    </row>
    <row r="20" customFormat="false" ht="15" hidden="false" customHeight="false" outlineLevel="0" collapsed="false">
      <c r="A20" s="0" t="str">
        <f aca="false">IFERROR(IF(Productos!A20="","",Productos!A20),"")</f>
        <v/>
      </c>
      <c r="B20" s="0" t="str">
        <f aca="false">IFERROR(IF(Productos!A20="","",Productos!B20),"")</f>
        <v/>
      </c>
      <c r="C20" s="0" t="str">
        <f aca="false">IFERROR(IF(Productos!A20="","",Productos!C20),"")</f>
        <v/>
      </c>
      <c r="D20" s="0" t="str">
        <f aca="false">IFERROR(IF(Productos!A20="","",Productos!E20),"")</f>
        <v/>
      </c>
      <c r="E20" s="6" t="str">
        <f aca="false">IFERROR(IF(A20="","",SUMIFS(Movimientos!E:E, Movimientos!D:D, A20, Movimientos!C:C, "Ingreso", Movimientos!G:G, "TIN")+SUMIFS(Movimientos!E:E, Movimientos!D:D, A20, Movimientos!C:C, "Traslado", Movimientos!G:G, "TIN")-SUMIFS(Movimientos!E:E, Movimientos!D:D, A20, Movimientos!C:C, "Traslado", Movimientos!F:F, "TIN")-SUMIFS(Movimientos!E:E, Movimientos!D:D, A20, Movimientos!C:C, "Egreso", Movimientos!F:F, "TIN")+SUMIFS(Movimientos!E:E, Movimientos!D:D, A20, Movimientos!C:C, "Ajuste", Movimientos!F:F, "TIN")),"")</f>
        <v/>
      </c>
      <c r="F20" s="6" t="str">
        <f aca="false">IFERROR(IF(A20="","",SUMIFS(Movimientos!E:E, Movimientos!D:D, A20, Movimientos!C:C, "Ingreso", Movimientos!G:G, "G1000")+SUMIFS(Movimientos!E:E, Movimientos!D:D, A20, Movimientos!C:C, "Traslado", Movimientos!G:G, "G1000")-SUMIFS(Movimientos!E:E, Movimientos!D:D, A20, Movimientos!C:C, "Traslado", Movimientos!F:F, "G1000")-SUMIFS(Movimientos!E:E, Movimientos!D:D, A20, Movimientos!C:C, "Egreso", Movimientos!F:F, "G1000")+SUMIFS(Movimientos!E:E, Movimientos!D:D, A20, Movimientos!C:C, "Ajuste", Movimientos!F:F, "G1000")),"")</f>
        <v/>
      </c>
      <c r="G20" s="6" t="str">
        <f aca="false">IFERROR(IF(A20="","",SUMIFS(Movimientos!E:E, Movimientos!D:D, A20, Movimientos!C:C, "Ingreso", Movimientos!G:G, "G710")+SUMIFS(Movimientos!E:E, Movimientos!D:D, A20, Movimientos!C:C, "Traslado", Movimientos!G:G, "G710")-SUMIFS(Movimientos!E:E, Movimientos!D:D, A20, Movimientos!C:C, "Traslado", Movimientos!F:F, "G710")-SUMIFS(Movimientos!E:E, Movimientos!D:D, A20, Movimientos!C:C, "Egreso", Movimientos!F:F, "G710")+SUMIFS(Movimientos!E:E, Movimientos!D:D, A20, Movimientos!C:C, "Ajuste", Movimientos!F:F, "G710")),"")</f>
        <v/>
      </c>
      <c r="H20" s="6" t="str">
        <f aca="false">IFERROR(IF(A20="","",SUMIFS(Movimientos!E:E, Movimientos!D:D, A20, Movimientos!C:C, "Ingreso", Movimientos!G:G, "G5000")+SUMIFS(Movimientos!E:E, Movimientos!D:D, A20, Movimientos!C:C, "Traslado", Movimientos!G:G, "G5000")-SUMIFS(Movimientos!E:E, Movimientos!D:D, A20, Movimientos!C:C, "Traslado", Movimientos!F:F, "G5000")-SUMIFS(Movimientos!E:E, Movimientos!D:D, A20, Movimientos!C:C, "Egreso", Movimientos!F:F, "G5000")+SUMIFS(Movimientos!E:E, Movimientos!D:D, A20, Movimientos!C:C, "Ajuste", Movimientos!F:F, "G5000")),"")</f>
        <v/>
      </c>
      <c r="I20" s="6" t="str">
        <f aca="false">IFERROR(IF(A20="","",SUMIFS(Movimientos!E:E, Movimientos!D:D, A20, Movimientos!C:C, "Ingreso", Movimientos!G:G, "G3")+SUMIFS(Movimientos!E:E, Movimientos!D:D, A20, Movimientos!C:C, "Traslado", Movimientos!G:G, "G3")-SUMIFS(Movimientos!E:E, Movimientos!D:D, A20, Movimientos!C:C, "Traslado", Movimientos!F:F, "G3")-SUMIFS(Movimientos!E:E, Movimientos!D:D, A20, Movimientos!C:C, "Egreso", Movimientos!F:F, "G3")+SUMIFS(Movimientos!E:E, Movimientos!D:D, A20, Movimientos!C:C, "Ajuste", Movimientos!F:F, "G3")),"")</f>
        <v/>
      </c>
      <c r="J20" s="6" t="str">
        <f aca="false">IFERROR(IF(A20="","",SUM(E20:I20)),"")</f>
        <v/>
      </c>
      <c r="K20" s="6" t="str">
        <f aca="false">IFERROR(IF(A20="","",SUMIFS(Movimientos!E:E, Movimientos!D:D, A20, Movimientos!C:C, "Reserva")-SUMIFS(Movimientos!E:E, Movimientos!D:D, A20, Movimientos!C:C, "Libera_Reserva")),"")</f>
        <v/>
      </c>
      <c r="L20" s="6" t="str">
        <f aca="false">IFERROR(IF(A20="","",J20-K20),"")</f>
        <v/>
      </c>
      <c r="M20" s="6" t="str">
        <f aca="false">IFERROR(IF(Productos!A20="","",Productos!G20),"")</f>
        <v/>
      </c>
      <c r="N20" s="6" t="str">
        <f aca="false">IFERROR(IF(A20="","",IF(L20&lt;M20,"BAJO STOCK","OK")),"")</f>
        <v/>
      </c>
    </row>
    <row r="21" customFormat="false" ht="15" hidden="false" customHeight="false" outlineLevel="0" collapsed="false">
      <c r="A21" s="0" t="str">
        <f aca="false">IFERROR(IF(Productos!A21="","",Productos!A21),"")</f>
        <v/>
      </c>
      <c r="B21" s="0" t="str">
        <f aca="false">IFERROR(IF(Productos!A21="","",Productos!B21),"")</f>
        <v/>
      </c>
      <c r="C21" s="0" t="str">
        <f aca="false">IFERROR(IF(Productos!A21="","",Productos!C21),"")</f>
        <v/>
      </c>
      <c r="D21" s="0" t="str">
        <f aca="false">IFERROR(IF(Productos!A21="","",Productos!E21),"")</f>
        <v/>
      </c>
      <c r="E21" s="6" t="str">
        <f aca="false">IFERROR(IF(A21="","",SUMIFS(Movimientos!E:E, Movimientos!D:D, A21, Movimientos!C:C, "Ingreso", Movimientos!G:G, "TIN")+SUMIFS(Movimientos!E:E, Movimientos!D:D, A21, Movimientos!C:C, "Traslado", Movimientos!G:G, "TIN")-SUMIFS(Movimientos!E:E, Movimientos!D:D, A21, Movimientos!C:C, "Traslado", Movimientos!F:F, "TIN")-SUMIFS(Movimientos!E:E, Movimientos!D:D, A21, Movimientos!C:C, "Egreso", Movimientos!F:F, "TIN")+SUMIFS(Movimientos!E:E, Movimientos!D:D, A21, Movimientos!C:C, "Ajuste", Movimientos!F:F, "TIN")),"")</f>
        <v/>
      </c>
      <c r="F21" s="6" t="str">
        <f aca="false">IFERROR(IF(A21="","",SUMIFS(Movimientos!E:E, Movimientos!D:D, A21, Movimientos!C:C, "Ingreso", Movimientos!G:G, "G1000")+SUMIFS(Movimientos!E:E, Movimientos!D:D, A21, Movimientos!C:C, "Traslado", Movimientos!G:G, "G1000")-SUMIFS(Movimientos!E:E, Movimientos!D:D, A21, Movimientos!C:C, "Traslado", Movimientos!F:F, "G1000")-SUMIFS(Movimientos!E:E, Movimientos!D:D, A21, Movimientos!C:C, "Egreso", Movimientos!F:F, "G1000")+SUMIFS(Movimientos!E:E, Movimientos!D:D, A21, Movimientos!C:C, "Ajuste", Movimientos!F:F, "G1000")),"")</f>
        <v/>
      </c>
      <c r="G21" s="6" t="str">
        <f aca="false">IFERROR(IF(A21="","",SUMIFS(Movimientos!E:E, Movimientos!D:D, A21, Movimientos!C:C, "Ingreso", Movimientos!G:G, "G710")+SUMIFS(Movimientos!E:E, Movimientos!D:D, A21, Movimientos!C:C, "Traslado", Movimientos!G:G, "G710")-SUMIFS(Movimientos!E:E, Movimientos!D:D, A21, Movimientos!C:C, "Traslado", Movimientos!F:F, "G710")-SUMIFS(Movimientos!E:E, Movimientos!D:D, A21, Movimientos!C:C, "Egreso", Movimientos!F:F, "G710")+SUMIFS(Movimientos!E:E, Movimientos!D:D, A21, Movimientos!C:C, "Ajuste", Movimientos!F:F, "G710")),"")</f>
        <v/>
      </c>
      <c r="H21" s="6" t="str">
        <f aca="false">IFERROR(IF(A21="","",SUMIFS(Movimientos!E:E, Movimientos!D:D, A21, Movimientos!C:C, "Ingreso", Movimientos!G:G, "G5000")+SUMIFS(Movimientos!E:E, Movimientos!D:D, A21, Movimientos!C:C, "Traslado", Movimientos!G:G, "G5000")-SUMIFS(Movimientos!E:E, Movimientos!D:D, A21, Movimientos!C:C, "Traslado", Movimientos!F:F, "G5000")-SUMIFS(Movimientos!E:E, Movimientos!D:D, A21, Movimientos!C:C, "Egreso", Movimientos!F:F, "G5000")+SUMIFS(Movimientos!E:E, Movimientos!D:D, A21, Movimientos!C:C, "Ajuste", Movimientos!F:F, "G5000")),"")</f>
        <v/>
      </c>
      <c r="I21" s="6" t="str">
        <f aca="false">IFERROR(IF(A21="","",SUMIFS(Movimientos!E:E, Movimientos!D:D, A21, Movimientos!C:C, "Ingreso", Movimientos!G:G, "G3")+SUMIFS(Movimientos!E:E, Movimientos!D:D, A21, Movimientos!C:C, "Traslado", Movimientos!G:G, "G3")-SUMIFS(Movimientos!E:E, Movimientos!D:D, A21, Movimientos!C:C, "Traslado", Movimientos!F:F, "G3")-SUMIFS(Movimientos!E:E, Movimientos!D:D, A21, Movimientos!C:C, "Egreso", Movimientos!F:F, "G3")+SUMIFS(Movimientos!E:E, Movimientos!D:D, A21, Movimientos!C:C, "Ajuste", Movimientos!F:F, "G3")),"")</f>
        <v/>
      </c>
      <c r="J21" s="6" t="str">
        <f aca="false">IFERROR(IF(A21="","",SUM(E21:I21)),"")</f>
        <v/>
      </c>
      <c r="K21" s="6" t="str">
        <f aca="false">IFERROR(IF(A21="","",SUMIFS(Movimientos!E:E, Movimientos!D:D, A21, Movimientos!C:C, "Reserva")-SUMIFS(Movimientos!E:E, Movimientos!D:D, A21, Movimientos!C:C, "Libera_Reserva")),"")</f>
        <v/>
      </c>
      <c r="L21" s="6" t="str">
        <f aca="false">IFERROR(IF(A21="","",J21-K21),"")</f>
        <v/>
      </c>
      <c r="M21" s="6" t="str">
        <f aca="false">IFERROR(IF(Productos!A21="","",Productos!G21),"")</f>
        <v/>
      </c>
      <c r="N21" s="6" t="str">
        <f aca="false">IFERROR(IF(A21="","",IF(L21&lt;M21,"BAJO STOCK","OK")),"")</f>
        <v/>
      </c>
    </row>
    <row r="22" customFormat="false" ht="15" hidden="false" customHeight="false" outlineLevel="0" collapsed="false">
      <c r="A22" s="0" t="str">
        <f aca="false">IFERROR(IF(Productos!A22="","",Productos!A22),"")</f>
        <v/>
      </c>
      <c r="B22" s="0" t="str">
        <f aca="false">IFERROR(IF(Productos!A22="","",Productos!B22),"")</f>
        <v/>
      </c>
      <c r="C22" s="0" t="str">
        <f aca="false">IFERROR(IF(Productos!A22="","",Productos!C22),"")</f>
        <v/>
      </c>
      <c r="D22" s="0" t="str">
        <f aca="false">IFERROR(IF(Productos!A22="","",Productos!E22),"")</f>
        <v/>
      </c>
      <c r="E22" s="6" t="str">
        <f aca="false">IFERROR(IF(A22="","",SUMIFS(Movimientos!E:E, Movimientos!D:D, A22, Movimientos!C:C, "Ingreso", Movimientos!G:G, "TIN")+SUMIFS(Movimientos!E:E, Movimientos!D:D, A22, Movimientos!C:C, "Traslado", Movimientos!G:G, "TIN")-SUMIFS(Movimientos!E:E, Movimientos!D:D, A22, Movimientos!C:C, "Traslado", Movimientos!F:F, "TIN")-SUMIFS(Movimientos!E:E, Movimientos!D:D, A22, Movimientos!C:C, "Egreso", Movimientos!F:F, "TIN")+SUMIFS(Movimientos!E:E, Movimientos!D:D, A22, Movimientos!C:C, "Ajuste", Movimientos!F:F, "TIN")),"")</f>
        <v/>
      </c>
      <c r="F22" s="6" t="str">
        <f aca="false">IFERROR(IF(A22="","",SUMIFS(Movimientos!E:E, Movimientos!D:D, A22, Movimientos!C:C, "Ingreso", Movimientos!G:G, "G1000")+SUMIFS(Movimientos!E:E, Movimientos!D:D, A22, Movimientos!C:C, "Traslado", Movimientos!G:G, "G1000")-SUMIFS(Movimientos!E:E, Movimientos!D:D, A22, Movimientos!C:C, "Traslado", Movimientos!F:F, "G1000")-SUMIFS(Movimientos!E:E, Movimientos!D:D, A22, Movimientos!C:C, "Egreso", Movimientos!F:F, "G1000")+SUMIFS(Movimientos!E:E, Movimientos!D:D, A22, Movimientos!C:C, "Ajuste", Movimientos!F:F, "G1000")),"")</f>
        <v/>
      </c>
      <c r="G22" s="6" t="str">
        <f aca="false">IFERROR(IF(A22="","",SUMIFS(Movimientos!E:E, Movimientos!D:D, A22, Movimientos!C:C, "Ingreso", Movimientos!G:G, "G710")+SUMIFS(Movimientos!E:E, Movimientos!D:D, A22, Movimientos!C:C, "Traslado", Movimientos!G:G, "G710")-SUMIFS(Movimientos!E:E, Movimientos!D:D, A22, Movimientos!C:C, "Traslado", Movimientos!F:F, "G710")-SUMIFS(Movimientos!E:E, Movimientos!D:D, A22, Movimientos!C:C, "Egreso", Movimientos!F:F, "G710")+SUMIFS(Movimientos!E:E, Movimientos!D:D, A22, Movimientos!C:C, "Ajuste", Movimientos!F:F, "G710")),"")</f>
        <v/>
      </c>
      <c r="H22" s="6" t="str">
        <f aca="false">IFERROR(IF(A22="","",SUMIFS(Movimientos!E:E, Movimientos!D:D, A22, Movimientos!C:C, "Ingreso", Movimientos!G:G, "G5000")+SUMIFS(Movimientos!E:E, Movimientos!D:D, A22, Movimientos!C:C, "Traslado", Movimientos!G:G, "G5000")-SUMIFS(Movimientos!E:E, Movimientos!D:D, A22, Movimientos!C:C, "Traslado", Movimientos!F:F, "G5000")-SUMIFS(Movimientos!E:E, Movimientos!D:D, A22, Movimientos!C:C, "Egreso", Movimientos!F:F, "G5000")+SUMIFS(Movimientos!E:E, Movimientos!D:D, A22, Movimientos!C:C, "Ajuste", Movimientos!F:F, "G5000")),"")</f>
        <v/>
      </c>
      <c r="I22" s="6" t="str">
        <f aca="false">IFERROR(IF(A22="","",SUMIFS(Movimientos!E:E, Movimientos!D:D, A22, Movimientos!C:C, "Ingreso", Movimientos!G:G, "G3")+SUMIFS(Movimientos!E:E, Movimientos!D:D, A22, Movimientos!C:C, "Traslado", Movimientos!G:G, "G3")-SUMIFS(Movimientos!E:E, Movimientos!D:D, A22, Movimientos!C:C, "Traslado", Movimientos!F:F, "G3")-SUMIFS(Movimientos!E:E, Movimientos!D:D, A22, Movimientos!C:C, "Egreso", Movimientos!F:F, "G3")+SUMIFS(Movimientos!E:E, Movimientos!D:D, A22, Movimientos!C:C, "Ajuste", Movimientos!F:F, "G3")),"")</f>
        <v/>
      </c>
      <c r="J22" s="6" t="str">
        <f aca="false">IFERROR(IF(A22="","",SUM(E22:I22)),"")</f>
        <v/>
      </c>
      <c r="K22" s="6" t="str">
        <f aca="false">IFERROR(IF(A22="","",SUMIFS(Movimientos!E:E, Movimientos!D:D, A22, Movimientos!C:C, "Reserva")-SUMIFS(Movimientos!E:E, Movimientos!D:D, A22, Movimientos!C:C, "Libera_Reserva")),"")</f>
        <v/>
      </c>
      <c r="L22" s="6" t="str">
        <f aca="false">IFERROR(IF(A22="","",J22-K22),"")</f>
        <v/>
      </c>
      <c r="M22" s="6" t="str">
        <f aca="false">IFERROR(IF(Productos!A22="","",Productos!G22),"")</f>
        <v/>
      </c>
      <c r="N22" s="6" t="str">
        <f aca="false">IFERROR(IF(A22="","",IF(L22&lt;M22,"BAJO STOCK","OK")),"")</f>
        <v/>
      </c>
    </row>
    <row r="23" customFormat="false" ht="15" hidden="false" customHeight="false" outlineLevel="0" collapsed="false">
      <c r="A23" s="0" t="str">
        <f aca="false">IFERROR(IF(Productos!A23="","",Productos!A23),"")</f>
        <v/>
      </c>
      <c r="B23" s="0" t="str">
        <f aca="false">IFERROR(IF(Productos!A23="","",Productos!B23),"")</f>
        <v/>
      </c>
      <c r="C23" s="0" t="str">
        <f aca="false">IFERROR(IF(Productos!A23="","",Productos!C23),"")</f>
        <v/>
      </c>
      <c r="D23" s="0" t="str">
        <f aca="false">IFERROR(IF(Productos!A23="","",Productos!E23),"")</f>
        <v/>
      </c>
      <c r="E23" s="6" t="str">
        <f aca="false">IFERROR(IF(A23="","",SUMIFS(Movimientos!E:E, Movimientos!D:D, A23, Movimientos!C:C, "Ingreso", Movimientos!G:G, "TIN")+SUMIFS(Movimientos!E:E, Movimientos!D:D, A23, Movimientos!C:C, "Traslado", Movimientos!G:G, "TIN")-SUMIFS(Movimientos!E:E, Movimientos!D:D, A23, Movimientos!C:C, "Traslado", Movimientos!F:F, "TIN")-SUMIFS(Movimientos!E:E, Movimientos!D:D, A23, Movimientos!C:C, "Egreso", Movimientos!F:F, "TIN")+SUMIFS(Movimientos!E:E, Movimientos!D:D, A23, Movimientos!C:C, "Ajuste", Movimientos!F:F, "TIN")),"")</f>
        <v/>
      </c>
      <c r="F23" s="6" t="str">
        <f aca="false">IFERROR(IF(A23="","",SUMIFS(Movimientos!E:E, Movimientos!D:D, A23, Movimientos!C:C, "Ingreso", Movimientos!G:G, "G1000")+SUMIFS(Movimientos!E:E, Movimientos!D:D, A23, Movimientos!C:C, "Traslado", Movimientos!G:G, "G1000")-SUMIFS(Movimientos!E:E, Movimientos!D:D, A23, Movimientos!C:C, "Traslado", Movimientos!F:F, "G1000")-SUMIFS(Movimientos!E:E, Movimientos!D:D, A23, Movimientos!C:C, "Egreso", Movimientos!F:F, "G1000")+SUMIFS(Movimientos!E:E, Movimientos!D:D, A23, Movimientos!C:C, "Ajuste", Movimientos!F:F, "G1000")),"")</f>
        <v/>
      </c>
      <c r="G23" s="6" t="str">
        <f aca="false">IFERROR(IF(A23="","",SUMIFS(Movimientos!E:E, Movimientos!D:D, A23, Movimientos!C:C, "Ingreso", Movimientos!G:G, "G710")+SUMIFS(Movimientos!E:E, Movimientos!D:D, A23, Movimientos!C:C, "Traslado", Movimientos!G:G, "G710")-SUMIFS(Movimientos!E:E, Movimientos!D:D, A23, Movimientos!C:C, "Traslado", Movimientos!F:F, "G710")-SUMIFS(Movimientos!E:E, Movimientos!D:D, A23, Movimientos!C:C, "Egreso", Movimientos!F:F, "G710")+SUMIFS(Movimientos!E:E, Movimientos!D:D, A23, Movimientos!C:C, "Ajuste", Movimientos!F:F, "G710")),"")</f>
        <v/>
      </c>
      <c r="H23" s="6" t="str">
        <f aca="false">IFERROR(IF(A23="","",SUMIFS(Movimientos!E:E, Movimientos!D:D, A23, Movimientos!C:C, "Ingreso", Movimientos!G:G, "G5000")+SUMIFS(Movimientos!E:E, Movimientos!D:D, A23, Movimientos!C:C, "Traslado", Movimientos!G:G, "G5000")-SUMIFS(Movimientos!E:E, Movimientos!D:D, A23, Movimientos!C:C, "Traslado", Movimientos!F:F, "G5000")-SUMIFS(Movimientos!E:E, Movimientos!D:D, A23, Movimientos!C:C, "Egreso", Movimientos!F:F, "G5000")+SUMIFS(Movimientos!E:E, Movimientos!D:D, A23, Movimientos!C:C, "Ajuste", Movimientos!F:F, "G5000")),"")</f>
        <v/>
      </c>
      <c r="I23" s="6" t="str">
        <f aca="false">IFERROR(IF(A23="","",SUMIFS(Movimientos!E:E, Movimientos!D:D, A23, Movimientos!C:C, "Ingreso", Movimientos!G:G, "G3")+SUMIFS(Movimientos!E:E, Movimientos!D:D, A23, Movimientos!C:C, "Traslado", Movimientos!G:G, "G3")-SUMIFS(Movimientos!E:E, Movimientos!D:D, A23, Movimientos!C:C, "Traslado", Movimientos!F:F, "G3")-SUMIFS(Movimientos!E:E, Movimientos!D:D, A23, Movimientos!C:C, "Egreso", Movimientos!F:F, "G3")+SUMIFS(Movimientos!E:E, Movimientos!D:D, A23, Movimientos!C:C, "Ajuste", Movimientos!F:F, "G3")),"")</f>
        <v/>
      </c>
      <c r="J23" s="6" t="str">
        <f aca="false">IFERROR(IF(A23="","",SUM(E23:I23)),"")</f>
        <v/>
      </c>
      <c r="K23" s="6" t="str">
        <f aca="false">IFERROR(IF(A23="","",SUMIFS(Movimientos!E:E, Movimientos!D:D, A23, Movimientos!C:C, "Reserva")-SUMIFS(Movimientos!E:E, Movimientos!D:D, A23, Movimientos!C:C, "Libera_Reserva")),"")</f>
        <v/>
      </c>
      <c r="L23" s="6" t="str">
        <f aca="false">IFERROR(IF(A23="","",J23-K23),"")</f>
        <v/>
      </c>
      <c r="M23" s="6" t="str">
        <f aca="false">IFERROR(IF(Productos!A23="","",Productos!G23),"")</f>
        <v/>
      </c>
      <c r="N23" s="6" t="str">
        <f aca="false">IFERROR(IF(A23="","",IF(L23&lt;M23,"BAJO STOCK","OK")),"")</f>
        <v/>
      </c>
    </row>
    <row r="24" customFormat="false" ht="15" hidden="false" customHeight="false" outlineLevel="0" collapsed="false">
      <c r="A24" s="0" t="str">
        <f aca="false">IFERROR(IF(Productos!A24="","",Productos!A24),"")</f>
        <v/>
      </c>
      <c r="B24" s="0" t="str">
        <f aca="false">IFERROR(IF(Productos!A24="","",Productos!B24),"")</f>
        <v/>
      </c>
      <c r="C24" s="0" t="str">
        <f aca="false">IFERROR(IF(Productos!A24="","",Productos!C24),"")</f>
        <v/>
      </c>
      <c r="D24" s="0" t="str">
        <f aca="false">IFERROR(IF(Productos!A24="","",Productos!E24),"")</f>
        <v/>
      </c>
      <c r="E24" s="6" t="str">
        <f aca="false">IFERROR(IF(A24="","",SUMIFS(Movimientos!E:E, Movimientos!D:D, A24, Movimientos!C:C, "Ingreso", Movimientos!G:G, "TIN")+SUMIFS(Movimientos!E:E, Movimientos!D:D, A24, Movimientos!C:C, "Traslado", Movimientos!G:G, "TIN")-SUMIFS(Movimientos!E:E, Movimientos!D:D, A24, Movimientos!C:C, "Traslado", Movimientos!F:F, "TIN")-SUMIFS(Movimientos!E:E, Movimientos!D:D, A24, Movimientos!C:C, "Egreso", Movimientos!F:F, "TIN")+SUMIFS(Movimientos!E:E, Movimientos!D:D, A24, Movimientos!C:C, "Ajuste", Movimientos!F:F, "TIN")),"")</f>
        <v/>
      </c>
      <c r="F24" s="6" t="str">
        <f aca="false">IFERROR(IF(A24="","",SUMIFS(Movimientos!E:E, Movimientos!D:D, A24, Movimientos!C:C, "Ingreso", Movimientos!G:G, "G1000")+SUMIFS(Movimientos!E:E, Movimientos!D:D, A24, Movimientos!C:C, "Traslado", Movimientos!G:G, "G1000")-SUMIFS(Movimientos!E:E, Movimientos!D:D, A24, Movimientos!C:C, "Traslado", Movimientos!F:F, "G1000")-SUMIFS(Movimientos!E:E, Movimientos!D:D, A24, Movimientos!C:C, "Egreso", Movimientos!F:F, "G1000")+SUMIFS(Movimientos!E:E, Movimientos!D:D, A24, Movimientos!C:C, "Ajuste", Movimientos!F:F, "G1000")),"")</f>
        <v/>
      </c>
      <c r="G24" s="6" t="str">
        <f aca="false">IFERROR(IF(A24="","",SUMIFS(Movimientos!E:E, Movimientos!D:D, A24, Movimientos!C:C, "Ingreso", Movimientos!G:G, "G710")+SUMIFS(Movimientos!E:E, Movimientos!D:D, A24, Movimientos!C:C, "Traslado", Movimientos!G:G, "G710")-SUMIFS(Movimientos!E:E, Movimientos!D:D, A24, Movimientos!C:C, "Traslado", Movimientos!F:F, "G710")-SUMIFS(Movimientos!E:E, Movimientos!D:D, A24, Movimientos!C:C, "Egreso", Movimientos!F:F, "G710")+SUMIFS(Movimientos!E:E, Movimientos!D:D, A24, Movimientos!C:C, "Ajuste", Movimientos!F:F, "G710")),"")</f>
        <v/>
      </c>
      <c r="H24" s="6" t="str">
        <f aca="false">IFERROR(IF(A24="","",SUMIFS(Movimientos!E:E, Movimientos!D:D, A24, Movimientos!C:C, "Ingreso", Movimientos!G:G, "G5000")+SUMIFS(Movimientos!E:E, Movimientos!D:D, A24, Movimientos!C:C, "Traslado", Movimientos!G:G, "G5000")-SUMIFS(Movimientos!E:E, Movimientos!D:D, A24, Movimientos!C:C, "Traslado", Movimientos!F:F, "G5000")-SUMIFS(Movimientos!E:E, Movimientos!D:D, A24, Movimientos!C:C, "Egreso", Movimientos!F:F, "G5000")+SUMIFS(Movimientos!E:E, Movimientos!D:D, A24, Movimientos!C:C, "Ajuste", Movimientos!F:F, "G5000")),"")</f>
        <v/>
      </c>
      <c r="I24" s="6" t="str">
        <f aca="false">IFERROR(IF(A24="","",SUMIFS(Movimientos!E:E, Movimientos!D:D, A24, Movimientos!C:C, "Ingreso", Movimientos!G:G, "G3")+SUMIFS(Movimientos!E:E, Movimientos!D:D, A24, Movimientos!C:C, "Traslado", Movimientos!G:G, "G3")-SUMIFS(Movimientos!E:E, Movimientos!D:D, A24, Movimientos!C:C, "Traslado", Movimientos!F:F, "G3")-SUMIFS(Movimientos!E:E, Movimientos!D:D, A24, Movimientos!C:C, "Egreso", Movimientos!F:F, "G3")+SUMIFS(Movimientos!E:E, Movimientos!D:D, A24, Movimientos!C:C, "Ajuste", Movimientos!F:F, "G3")),"")</f>
        <v/>
      </c>
      <c r="J24" s="6" t="str">
        <f aca="false">IFERROR(IF(A24="","",SUM(E24:I24)),"")</f>
        <v/>
      </c>
      <c r="K24" s="6" t="str">
        <f aca="false">IFERROR(IF(A24="","",SUMIFS(Movimientos!E:E, Movimientos!D:D, A24, Movimientos!C:C, "Reserva")-SUMIFS(Movimientos!E:E, Movimientos!D:D, A24, Movimientos!C:C, "Libera_Reserva")),"")</f>
        <v/>
      </c>
      <c r="L24" s="6" t="str">
        <f aca="false">IFERROR(IF(A24="","",J24-K24),"")</f>
        <v/>
      </c>
      <c r="M24" s="6" t="str">
        <f aca="false">IFERROR(IF(Productos!A24="","",Productos!G24),"")</f>
        <v/>
      </c>
      <c r="N24" s="6" t="str">
        <f aca="false">IFERROR(IF(A24="","",IF(L24&lt;M24,"BAJO STOCK","OK")),"")</f>
        <v/>
      </c>
    </row>
    <row r="25" customFormat="false" ht="15" hidden="false" customHeight="false" outlineLevel="0" collapsed="false">
      <c r="A25" s="0" t="str">
        <f aca="false">IFERROR(IF(Productos!A25="","",Productos!A25),"")</f>
        <v/>
      </c>
      <c r="B25" s="0" t="str">
        <f aca="false">IFERROR(IF(Productos!A25="","",Productos!B25),"")</f>
        <v/>
      </c>
      <c r="C25" s="0" t="str">
        <f aca="false">IFERROR(IF(Productos!A25="","",Productos!C25),"")</f>
        <v/>
      </c>
      <c r="D25" s="0" t="str">
        <f aca="false">IFERROR(IF(Productos!A25="","",Productos!E25),"")</f>
        <v/>
      </c>
      <c r="E25" s="6" t="str">
        <f aca="false">IFERROR(IF(A25="","",SUMIFS(Movimientos!E:E, Movimientos!D:D, A25, Movimientos!C:C, "Ingreso", Movimientos!G:G, "TIN")+SUMIFS(Movimientos!E:E, Movimientos!D:D, A25, Movimientos!C:C, "Traslado", Movimientos!G:G, "TIN")-SUMIFS(Movimientos!E:E, Movimientos!D:D, A25, Movimientos!C:C, "Traslado", Movimientos!F:F, "TIN")-SUMIFS(Movimientos!E:E, Movimientos!D:D, A25, Movimientos!C:C, "Egreso", Movimientos!F:F, "TIN")+SUMIFS(Movimientos!E:E, Movimientos!D:D, A25, Movimientos!C:C, "Ajuste", Movimientos!F:F, "TIN")),"")</f>
        <v/>
      </c>
      <c r="F25" s="6" t="str">
        <f aca="false">IFERROR(IF(A25="","",SUMIFS(Movimientos!E:E, Movimientos!D:D, A25, Movimientos!C:C, "Ingreso", Movimientos!G:G, "G1000")+SUMIFS(Movimientos!E:E, Movimientos!D:D, A25, Movimientos!C:C, "Traslado", Movimientos!G:G, "G1000")-SUMIFS(Movimientos!E:E, Movimientos!D:D, A25, Movimientos!C:C, "Traslado", Movimientos!F:F, "G1000")-SUMIFS(Movimientos!E:E, Movimientos!D:D, A25, Movimientos!C:C, "Egreso", Movimientos!F:F, "G1000")+SUMIFS(Movimientos!E:E, Movimientos!D:D, A25, Movimientos!C:C, "Ajuste", Movimientos!F:F, "G1000")),"")</f>
        <v/>
      </c>
      <c r="G25" s="6" t="str">
        <f aca="false">IFERROR(IF(A25="","",SUMIFS(Movimientos!E:E, Movimientos!D:D, A25, Movimientos!C:C, "Ingreso", Movimientos!G:G, "G710")+SUMIFS(Movimientos!E:E, Movimientos!D:D, A25, Movimientos!C:C, "Traslado", Movimientos!G:G, "G710")-SUMIFS(Movimientos!E:E, Movimientos!D:D, A25, Movimientos!C:C, "Traslado", Movimientos!F:F, "G710")-SUMIFS(Movimientos!E:E, Movimientos!D:D, A25, Movimientos!C:C, "Egreso", Movimientos!F:F, "G710")+SUMIFS(Movimientos!E:E, Movimientos!D:D, A25, Movimientos!C:C, "Ajuste", Movimientos!F:F, "G710")),"")</f>
        <v/>
      </c>
      <c r="H25" s="6" t="str">
        <f aca="false">IFERROR(IF(A25="","",SUMIFS(Movimientos!E:E, Movimientos!D:D, A25, Movimientos!C:C, "Ingreso", Movimientos!G:G, "G5000")+SUMIFS(Movimientos!E:E, Movimientos!D:D, A25, Movimientos!C:C, "Traslado", Movimientos!G:G, "G5000")-SUMIFS(Movimientos!E:E, Movimientos!D:D, A25, Movimientos!C:C, "Traslado", Movimientos!F:F, "G5000")-SUMIFS(Movimientos!E:E, Movimientos!D:D, A25, Movimientos!C:C, "Egreso", Movimientos!F:F, "G5000")+SUMIFS(Movimientos!E:E, Movimientos!D:D, A25, Movimientos!C:C, "Ajuste", Movimientos!F:F, "G5000")),"")</f>
        <v/>
      </c>
      <c r="I25" s="6" t="str">
        <f aca="false">IFERROR(IF(A25="","",SUMIFS(Movimientos!E:E, Movimientos!D:D, A25, Movimientos!C:C, "Ingreso", Movimientos!G:G, "G3")+SUMIFS(Movimientos!E:E, Movimientos!D:D, A25, Movimientos!C:C, "Traslado", Movimientos!G:G, "G3")-SUMIFS(Movimientos!E:E, Movimientos!D:D, A25, Movimientos!C:C, "Traslado", Movimientos!F:F, "G3")-SUMIFS(Movimientos!E:E, Movimientos!D:D, A25, Movimientos!C:C, "Egreso", Movimientos!F:F, "G3")+SUMIFS(Movimientos!E:E, Movimientos!D:D, A25, Movimientos!C:C, "Ajuste", Movimientos!F:F, "G3")),"")</f>
        <v/>
      </c>
      <c r="J25" s="6" t="str">
        <f aca="false">IFERROR(IF(A25="","",SUM(E25:I25)),"")</f>
        <v/>
      </c>
      <c r="K25" s="6" t="str">
        <f aca="false">IFERROR(IF(A25="","",SUMIFS(Movimientos!E:E, Movimientos!D:D, A25, Movimientos!C:C, "Reserva")-SUMIFS(Movimientos!E:E, Movimientos!D:D, A25, Movimientos!C:C, "Libera_Reserva")),"")</f>
        <v/>
      </c>
      <c r="L25" s="6" t="str">
        <f aca="false">IFERROR(IF(A25="","",J25-K25),"")</f>
        <v/>
      </c>
      <c r="M25" s="6" t="str">
        <f aca="false">IFERROR(IF(Productos!A25="","",Productos!G25),"")</f>
        <v/>
      </c>
      <c r="N25" s="6" t="str">
        <f aca="false">IFERROR(IF(A25="","",IF(L25&lt;M25,"BAJO STOCK","OK")),"")</f>
        <v/>
      </c>
    </row>
    <row r="26" customFormat="false" ht="15" hidden="false" customHeight="false" outlineLevel="0" collapsed="false">
      <c r="A26" s="0" t="str">
        <f aca="false">IFERROR(IF(Productos!A26="","",Productos!A26),"")</f>
        <v/>
      </c>
      <c r="B26" s="0" t="str">
        <f aca="false">IFERROR(IF(Productos!A26="","",Productos!B26),"")</f>
        <v/>
      </c>
      <c r="C26" s="0" t="str">
        <f aca="false">IFERROR(IF(Productos!A26="","",Productos!C26),"")</f>
        <v/>
      </c>
      <c r="D26" s="0" t="str">
        <f aca="false">IFERROR(IF(Productos!A26="","",Productos!E26),"")</f>
        <v/>
      </c>
      <c r="E26" s="6" t="str">
        <f aca="false">IFERROR(IF(A26="","",SUMIFS(Movimientos!E:E, Movimientos!D:D, A26, Movimientos!C:C, "Ingreso", Movimientos!G:G, "TIN")+SUMIFS(Movimientos!E:E, Movimientos!D:D, A26, Movimientos!C:C, "Traslado", Movimientos!G:G, "TIN")-SUMIFS(Movimientos!E:E, Movimientos!D:D, A26, Movimientos!C:C, "Traslado", Movimientos!F:F, "TIN")-SUMIFS(Movimientos!E:E, Movimientos!D:D, A26, Movimientos!C:C, "Egreso", Movimientos!F:F, "TIN")+SUMIFS(Movimientos!E:E, Movimientos!D:D, A26, Movimientos!C:C, "Ajuste", Movimientos!F:F, "TIN")),"")</f>
        <v/>
      </c>
      <c r="F26" s="6" t="str">
        <f aca="false">IFERROR(IF(A26="","",SUMIFS(Movimientos!E:E, Movimientos!D:D, A26, Movimientos!C:C, "Ingreso", Movimientos!G:G, "G1000")+SUMIFS(Movimientos!E:E, Movimientos!D:D, A26, Movimientos!C:C, "Traslado", Movimientos!G:G, "G1000")-SUMIFS(Movimientos!E:E, Movimientos!D:D, A26, Movimientos!C:C, "Traslado", Movimientos!F:F, "G1000")-SUMIFS(Movimientos!E:E, Movimientos!D:D, A26, Movimientos!C:C, "Egreso", Movimientos!F:F, "G1000")+SUMIFS(Movimientos!E:E, Movimientos!D:D, A26, Movimientos!C:C, "Ajuste", Movimientos!F:F, "G1000")),"")</f>
        <v/>
      </c>
      <c r="G26" s="6" t="str">
        <f aca="false">IFERROR(IF(A26="","",SUMIFS(Movimientos!E:E, Movimientos!D:D, A26, Movimientos!C:C, "Ingreso", Movimientos!G:G, "G710")+SUMIFS(Movimientos!E:E, Movimientos!D:D, A26, Movimientos!C:C, "Traslado", Movimientos!G:G, "G710")-SUMIFS(Movimientos!E:E, Movimientos!D:D, A26, Movimientos!C:C, "Traslado", Movimientos!F:F, "G710")-SUMIFS(Movimientos!E:E, Movimientos!D:D, A26, Movimientos!C:C, "Egreso", Movimientos!F:F, "G710")+SUMIFS(Movimientos!E:E, Movimientos!D:D, A26, Movimientos!C:C, "Ajuste", Movimientos!F:F, "G710")),"")</f>
        <v/>
      </c>
      <c r="H26" s="6" t="str">
        <f aca="false">IFERROR(IF(A26="","",SUMIFS(Movimientos!E:E, Movimientos!D:D, A26, Movimientos!C:C, "Ingreso", Movimientos!G:G, "G5000")+SUMIFS(Movimientos!E:E, Movimientos!D:D, A26, Movimientos!C:C, "Traslado", Movimientos!G:G, "G5000")-SUMIFS(Movimientos!E:E, Movimientos!D:D, A26, Movimientos!C:C, "Traslado", Movimientos!F:F, "G5000")-SUMIFS(Movimientos!E:E, Movimientos!D:D, A26, Movimientos!C:C, "Egreso", Movimientos!F:F, "G5000")+SUMIFS(Movimientos!E:E, Movimientos!D:D, A26, Movimientos!C:C, "Ajuste", Movimientos!F:F, "G5000")),"")</f>
        <v/>
      </c>
      <c r="I26" s="6" t="str">
        <f aca="false">IFERROR(IF(A26="","",SUMIFS(Movimientos!E:E, Movimientos!D:D, A26, Movimientos!C:C, "Ingreso", Movimientos!G:G, "G3")+SUMIFS(Movimientos!E:E, Movimientos!D:D, A26, Movimientos!C:C, "Traslado", Movimientos!G:G, "G3")-SUMIFS(Movimientos!E:E, Movimientos!D:D, A26, Movimientos!C:C, "Traslado", Movimientos!F:F, "G3")-SUMIFS(Movimientos!E:E, Movimientos!D:D, A26, Movimientos!C:C, "Egreso", Movimientos!F:F, "G3")+SUMIFS(Movimientos!E:E, Movimientos!D:D, A26, Movimientos!C:C, "Ajuste", Movimientos!F:F, "G3")),"")</f>
        <v/>
      </c>
      <c r="J26" s="6" t="str">
        <f aca="false">IFERROR(IF(A26="","",SUM(E26:I26)),"")</f>
        <v/>
      </c>
      <c r="K26" s="6" t="str">
        <f aca="false">IFERROR(IF(A26="","",SUMIFS(Movimientos!E:E, Movimientos!D:D, A26, Movimientos!C:C, "Reserva")-SUMIFS(Movimientos!E:E, Movimientos!D:D, A26, Movimientos!C:C, "Libera_Reserva")),"")</f>
        <v/>
      </c>
      <c r="L26" s="6" t="str">
        <f aca="false">IFERROR(IF(A26="","",J26-K26),"")</f>
        <v/>
      </c>
      <c r="M26" s="6" t="str">
        <f aca="false">IFERROR(IF(Productos!A26="","",Productos!G26),"")</f>
        <v/>
      </c>
      <c r="N26" s="6" t="str">
        <f aca="false">IFERROR(IF(A26="","",IF(L26&lt;M26,"BAJO STOCK","OK")),"")</f>
        <v/>
      </c>
    </row>
    <row r="27" customFormat="false" ht="15" hidden="false" customHeight="false" outlineLevel="0" collapsed="false">
      <c r="A27" s="0" t="str">
        <f aca="false">IFERROR(IF(Productos!A27="","",Productos!A27),"")</f>
        <v/>
      </c>
      <c r="B27" s="0" t="str">
        <f aca="false">IFERROR(IF(Productos!A27="","",Productos!B27),"")</f>
        <v/>
      </c>
      <c r="C27" s="0" t="str">
        <f aca="false">IFERROR(IF(Productos!A27="","",Productos!C27),"")</f>
        <v/>
      </c>
      <c r="D27" s="0" t="str">
        <f aca="false">IFERROR(IF(Productos!A27="","",Productos!E27),"")</f>
        <v/>
      </c>
      <c r="E27" s="6" t="str">
        <f aca="false">IFERROR(IF(A27="","",SUMIFS(Movimientos!E:E, Movimientos!D:D, A27, Movimientos!C:C, "Ingreso", Movimientos!G:G, "TIN")+SUMIFS(Movimientos!E:E, Movimientos!D:D, A27, Movimientos!C:C, "Traslado", Movimientos!G:G, "TIN")-SUMIFS(Movimientos!E:E, Movimientos!D:D, A27, Movimientos!C:C, "Traslado", Movimientos!F:F, "TIN")-SUMIFS(Movimientos!E:E, Movimientos!D:D, A27, Movimientos!C:C, "Egreso", Movimientos!F:F, "TIN")+SUMIFS(Movimientos!E:E, Movimientos!D:D, A27, Movimientos!C:C, "Ajuste", Movimientos!F:F, "TIN")),"")</f>
        <v/>
      </c>
      <c r="F27" s="6" t="str">
        <f aca="false">IFERROR(IF(A27="","",SUMIFS(Movimientos!E:E, Movimientos!D:D, A27, Movimientos!C:C, "Ingreso", Movimientos!G:G, "G1000")+SUMIFS(Movimientos!E:E, Movimientos!D:D, A27, Movimientos!C:C, "Traslado", Movimientos!G:G, "G1000")-SUMIFS(Movimientos!E:E, Movimientos!D:D, A27, Movimientos!C:C, "Traslado", Movimientos!F:F, "G1000")-SUMIFS(Movimientos!E:E, Movimientos!D:D, A27, Movimientos!C:C, "Egreso", Movimientos!F:F, "G1000")+SUMIFS(Movimientos!E:E, Movimientos!D:D, A27, Movimientos!C:C, "Ajuste", Movimientos!F:F, "G1000")),"")</f>
        <v/>
      </c>
      <c r="G27" s="6" t="str">
        <f aca="false">IFERROR(IF(A27="","",SUMIFS(Movimientos!E:E, Movimientos!D:D, A27, Movimientos!C:C, "Ingreso", Movimientos!G:G, "G710")+SUMIFS(Movimientos!E:E, Movimientos!D:D, A27, Movimientos!C:C, "Traslado", Movimientos!G:G, "G710")-SUMIFS(Movimientos!E:E, Movimientos!D:D, A27, Movimientos!C:C, "Traslado", Movimientos!F:F, "G710")-SUMIFS(Movimientos!E:E, Movimientos!D:D, A27, Movimientos!C:C, "Egreso", Movimientos!F:F, "G710")+SUMIFS(Movimientos!E:E, Movimientos!D:D, A27, Movimientos!C:C, "Ajuste", Movimientos!F:F, "G710")),"")</f>
        <v/>
      </c>
      <c r="H27" s="6" t="str">
        <f aca="false">IFERROR(IF(A27="","",SUMIFS(Movimientos!E:E, Movimientos!D:D, A27, Movimientos!C:C, "Ingreso", Movimientos!G:G, "G5000")+SUMIFS(Movimientos!E:E, Movimientos!D:D, A27, Movimientos!C:C, "Traslado", Movimientos!G:G, "G5000")-SUMIFS(Movimientos!E:E, Movimientos!D:D, A27, Movimientos!C:C, "Traslado", Movimientos!F:F, "G5000")-SUMIFS(Movimientos!E:E, Movimientos!D:D, A27, Movimientos!C:C, "Egreso", Movimientos!F:F, "G5000")+SUMIFS(Movimientos!E:E, Movimientos!D:D, A27, Movimientos!C:C, "Ajuste", Movimientos!F:F, "G5000")),"")</f>
        <v/>
      </c>
      <c r="I27" s="6" t="str">
        <f aca="false">IFERROR(IF(A27="","",SUMIFS(Movimientos!E:E, Movimientos!D:D, A27, Movimientos!C:C, "Ingreso", Movimientos!G:G, "G3")+SUMIFS(Movimientos!E:E, Movimientos!D:D, A27, Movimientos!C:C, "Traslado", Movimientos!G:G, "G3")-SUMIFS(Movimientos!E:E, Movimientos!D:D, A27, Movimientos!C:C, "Traslado", Movimientos!F:F, "G3")-SUMIFS(Movimientos!E:E, Movimientos!D:D, A27, Movimientos!C:C, "Egreso", Movimientos!F:F, "G3")+SUMIFS(Movimientos!E:E, Movimientos!D:D, A27, Movimientos!C:C, "Ajuste", Movimientos!F:F, "G3")),"")</f>
        <v/>
      </c>
      <c r="J27" s="6" t="str">
        <f aca="false">IFERROR(IF(A27="","",SUM(E27:I27)),"")</f>
        <v/>
      </c>
      <c r="K27" s="6" t="str">
        <f aca="false">IFERROR(IF(A27="","",SUMIFS(Movimientos!E:E, Movimientos!D:D, A27, Movimientos!C:C, "Reserva")-SUMIFS(Movimientos!E:E, Movimientos!D:D, A27, Movimientos!C:C, "Libera_Reserva")),"")</f>
        <v/>
      </c>
      <c r="L27" s="6" t="str">
        <f aca="false">IFERROR(IF(A27="","",J27-K27),"")</f>
        <v/>
      </c>
      <c r="M27" s="6" t="str">
        <f aca="false">IFERROR(IF(Productos!A27="","",Productos!G27),"")</f>
        <v/>
      </c>
      <c r="N27" s="6" t="str">
        <f aca="false">IFERROR(IF(A27="","",IF(L27&lt;M27,"BAJO STOCK","OK")),"")</f>
        <v/>
      </c>
    </row>
    <row r="28" customFormat="false" ht="15" hidden="false" customHeight="false" outlineLevel="0" collapsed="false">
      <c r="A28" s="0" t="str">
        <f aca="false">IFERROR(IF(Productos!A28="","",Productos!A28),"")</f>
        <v/>
      </c>
      <c r="B28" s="0" t="str">
        <f aca="false">IFERROR(IF(Productos!A28="","",Productos!B28),"")</f>
        <v/>
      </c>
      <c r="C28" s="0" t="str">
        <f aca="false">IFERROR(IF(Productos!A28="","",Productos!C28),"")</f>
        <v/>
      </c>
      <c r="D28" s="0" t="str">
        <f aca="false">IFERROR(IF(Productos!A28="","",Productos!E28),"")</f>
        <v/>
      </c>
      <c r="E28" s="6" t="str">
        <f aca="false">IFERROR(IF(A28="","",SUMIFS(Movimientos!E:E, Movimientos!D:D, A28, Movimientos!C:C, "Ingreso", Movimientos!G:G, "TIN")+SUMIFS(Movimientos!E:E, Movimientos!D:D, A28, Movimientos!C:C, "Traslado", Movimientos!G:G, "TIN")-SUMIFS(Movimientos!E:E, Movimientos!D:D, A28, Movimientos!C:C, "Traslado", Movimientos!F:F, "TIN")-SUMIFS(Movimientos!E:E, Movimientos!D:D, A28, Movimientos!C:C, "Egreso", Movimientos!F:F, "TIN")+SUMIFS(Movimientos!E:E, Movimientos!D:D, A28, Movimientos!C:C, "Ajuste", Movimientos!F:F, "TIN")),"")</f>
        <v/>
      </c>
      <c r="F28" s="6" t="str">
        <f aca="false">IFERROR(IF(A28="","",SUMIFS(Movimientos!E:E, Movimientos!D:D, A28, Movimientos!C:C, "Ingreso", Movimientos!G:G, "G1000")+SUMIFS(Movimientos!E:E, Movimientos!D:D, A28, Movimientos!C:C, "Traslado", Movimientos!G:G, "G1000")-SUMIFS(Movimientos!E:E, Movimientos!D:D, A28, Movimientos!C:C, "Traslado", Movimientos!F:F, "G1000")-SUMIFS(Movimientos!E:E, Movimientos!D:D, A28, Movimientos!C:C, "Egreso", Movimientos!F:F, "G1000")+SUMIFS(Movimientos!E:E, Movimientos!D:D, A28, Movimientos!C:C, "Ajuste", Movimientos!F:F, "G1000")),"")</f>
        <v/>
      </c>
      <c r="G28" s="6" t="str">
        <f aca="false">IFERROR(IF(A28="","",SUMIFS(Movimientos!E:E, Movimientos!D:D, A28, Movimientos!C:C, "Ingreso", Movimientos!G:G, "G710")+SUMIFS(Movimientos!E:E, Movimientos!D:D, A28, Movimientos!C:C, "Traslado", Movimientos!G:G, "G710")-SUMIFS(Movimientos!E:E, Movimientos!D:D, A28, Movimientos!C:C, "Traslado", Movimientos!F:F, "G710")-SUMIFS(Movimientos!E:E, Movimientos!D:D, A28, Movimientos!C:C, "Egreso", Movimientos!F:F, "G710")+SUMIFS(Movimientos!E:E, Movimientos!D:D, A28, Movimientos!C:C, "Ajuste", Movimientos!F:F, "G710")),"")</f>
        <v/>
      </c>
      <c r="H28" s="6" t="str">
        <f aca="false">IFERROR(IF(A28="","",SUMIFS(Movimientos!E:E, Movimientos!D:D, A28, Movimientos!C:C, "Ingreso", Movimientos!G:G, "G5000")+SUMIFS(Movimientos!E:E, Movimientos!D:D, A28, Movimientos!C:C, "Traslado", Movimientos!G:G, "G5000")-SUMIFS(Movimientos!E:E, Movimientos!D:D, A28, Movimientos!C:C, "Traslado", Movimientos!F:F, "G5000")-SUMIFS(Movimientos!E:E, Movimientos!D:D, A28, Movimientos!C:C, "Egreso", Movimientos!F:F, "G5000")+SUMIFS(Movimientos!E:E, Movimientos!D:D, A28, Movimientos!C:C, "Ajuste", Movimientos!F:F, "G5000")),"")</f>
        <v/>
      </c>
      <c r="I28" s="6" t="str">
        <f aca="false">IFERROR(IF(A28="","",SUMIFS(Movimientos!E:E, Movimientos!D:D, A28, Movimientos!C:C, "Ingreso", Movimientos!G:G, "G3")+SUMIFS(Movimientos!E:E, Movimientos!D:D, A28, Movimientos!C:C, "Traslado", Movimientos!G:G, "G3")-SUMIFS(Movimientos!E:E, Movimientos!D:D, A28, Movimientos!C:C, "Traslado", Movimientos!F:F, "G3")-SUMIFS(Movimientos!E:E, Movimientos!D:D, A28, Movimientos!C:C, "Egreso", Movimientos!F:F, "G3")+SUMIFS(Movimientos!E:E, Movimientos!D:D, A28, Movimientos!C:C, "Ajuste", Movimientos!F:F, "G3")),"")</f>
        <v/>
      </c>
      <c r="J28" s="6" t="str">
        <f aca="false">IFERROR(IF(A28="","",SUM(E28:I28)),"")</f>
        <v/>
      </c>
      <c r="K28" s="6" t="str">
        <f aca="false">IFERROR(IF(A28="","",SUMIFS(Movimientos!E:E, Movimientos!D:D, A28, Movimientos!C:C, "Reserva")-SUMIFS(Movimientos!E:E, Movimientos!D:D, A28, Movimientos!C:C, "Libera_Reserva")),"")</f>
        <v/>
      </c>
      <c r="L28" s="6" t="str">
        <f aca="false">IFERROR(IF(A28="","",J28-K28),"")</f>
        <v/>
      </c>
      <c r="M28" s="6" t="str">
        <f aca="false">IFERROR(IF(Productos!A28="","",Productos!G28),"")</f>
        <v/>
      </c>
      <c r="N28" s="6" t="str">
        <f aca="false">IFERROR(IF(A28="","",IF(L28&lt;M28,"BAJO STOCK","OK")),"")</f>
        <v/>
      </c>
    </row>
    <row r="29" customFormat="false" ht="15" hidden="false" customHeight="false" outlineLevel="0" collapsed="false">
      <c r="A29" s="0" t="str">
        <f aca="false">IFERROR(IF(Productos!A29="","",Productos!A29),"")</f>
        <v/>
      </c>
      <c r="B29" s="0" t="str">
        <f aca="false">IFERROR(IF(Productos!A29="","",Productos!B29),"")</f>
        <v/>
      </c>
      <c r="C29" s="0" t="str">
        <f aca="false">IFERROR(IF(Productos!A29="","",Productos!C29),"")</f>
        <v/>
      </c>
      <c r="D29" s="0" t="str">
        <f aca="false">IFERROR(IF(Productos!A29="","",Productos!E29),"")</f>
        <v/>
      </c>
      <c r="E29" s="6" t="str">
        <f aca="false">IFERROR(IF(A29="","",SUMIFS(Movimientos!E:E, Movimientos!D:D, A29, Movimientos!C:C, "Ingreso", Movimientos!G:G, "TIN")+SUMIFS(Movimientos!E:E, Movimientos!D:D, A29, Movimientos!C:C, "Traslado", Movimientos!G:G, "TIN")-SUMIFS(Movimientos!E:E, Movimientos!D:D, A29, Movimientos!C:C, "Traslado", Movimientos!F:F, "TIN")-SUMIFS(Movimientos!E:E, Movimientos!D:D, A29, Movimientos!C:C, "Egreso", Movimientos!F:F, "TIN")+SUMIFS(Movimientos!E:E, Movimientos!D:D, A29, Movimientos!C:C, "Ajuste", Movimientos!F:F, "TIN")),"")</f>
        <v/>
      </c>
      <c r="F29" s="6" t="str">
        <f aca="false">IFERROR(IF(A29="","",SUMIFS(Movimientos!E:E, Movimientos!D:D, A29, Movimientos!C:C, "Ingreso", Movimientos!G:G, "G1000")+SUMIFS(Movimientos!E:E, Movimientos!D:D, A29, Movimientos!C:C, "Traslado", Movimientos!G:G, "G1000")-SUMIFS(Movimientos!E:E, Movimientos!D:D, A29, Movimientos!C:C, "Traslado", Movimientos!F:F, "G1000")-SUMIFS(Movimientos!E:E, Movimientos!D:D, A29, Movimientos!C:C, "Egreso", Movimientos!F:F, "G1000")+SUMIFS(Movimientos!E:E, Movimientos!D:D, A29, Movimientos!C:C, "Ajuste", Movimientos!F:F, "G1000")),"")</f>
        <v/>
      </c>
      <c r="G29" s="6" t="str">
        <f aca="false">IFERROR(IF(A29="","",SUMIFS(Movimientos!E:E, Movimientos!D:D, A29, Movimientos!C:C, "Ingreso", Movimientos!G:G, "G710")+SUMIFS(Movimientos!E:E, Movimientos!D:D, A29, Movimientos!C:C, "Traslado", Movimientos!G:G, "G710")-SUMIFS(Movimientos!E:E, Movimientos!D:D, A29, Movimientos!C:C, "Traslado", Movimientos!F:F, "G710")-SUMIFS(Movimientos!E:E, Movimientos!D:D, A29, Movimientos!C:C, "Egreso", Movimientos!F:F, "G710")+SUMIFS(Movimientos!E:E, Movimientos!D:D, A29, Movimientos!C:C, "Ajuste", Movimientos!F:F, "G710")),"")</f>
        <v/>
      </c>
      <c r="H29" s="6" t="str">
        <f aca="false">IFERROR(IF(A29="","",SUMIFS(Movimientos!E:E, Movimientos!D:D, A29, Movimientos!C:C, "Ingreso", Movimientos!G:G, "G5000")+SUMIFS(Movimientos!E:E, Movimientos!D:D, A29, Movimientos!C:C, "Traslado", Movimientos!G:G, "G5000")-SUMIFS(Movimientos!E:E, Movimientos!D:D, A29, Movimientos!C:C, "Traslado", Movimientos!F:F, "G5000")-SUMIFS(Movimientos!E:E, Movimientos!D:D, A29, Movimientos!C:C, "Egreso", Movimientos!F:F, "G5000")+SUMIFS(Movimientos!E:E, Movimientos!D:D, A29, Movimientos!C:C, "Ajuste", Movimientos!F:F, "G5000")),"")</f>
        <v/>
      </c>
      <c r="I29" s="6" t="str">
        <f aca="false">IFERROR(IF(A29="","",SUMIFS(Movimientos!E:E, Movimientos!D:D, A29, Movimientos!C:C, "Ingreso", Movimientos!G:G, "G3")+SUMIFS(Movimientos!E:E, Movimientos!D:D, A29, Movimientos!C:C, "Traslado", Movimientos!G:G, "G3")-SUMIFS(Movimientos!E:E, Movimientos!D:D, A29, Movimientos!C:C, "Traslado", Movimientos!F:F, "G3")-SUMIFS(Movimientos!E:E, Movimientos!D:D, A29, Movimientos!C:C, "Egreso", Movimientos!F:F, "G3")+SUMIFS(Movimientos!E:E, Movimientos!D:D, A29, Movimientos!C:C, "Ajuste", Movimientos!F:F, "G3")),"")</f>
        <v/>
      </c>
      <c r="J29" s="6" t="str">
        <f aca="false">IFERROR(IF(A29="","",SUM(E29:I29)),"")</f>
        <v/>
      </c>
      <c r="K29" s="6" t="str">
        <f aca="false">IFERROR(IF(A29="","",SUMIFS(Movimientos!E:E, Movimientos!D:D, A29, Movimientos!C:C, "Reserva")-SUMIFS(Movimientos!E:E, Movimientos!D:D, A29, Movimientos!C:C, "Libera_Reserva")),"")</f>
        <v/>
      </c>
      <c r="L29" s="6" t="str">
        <f aca="false">IFERROR(IF(A29="","",J29-K29),"")</f>
        <v/>
      </c>
      <c r="M29" s="6" t="str">
        <f aca="false">IFERROR(IF(Productos!A29="","",Productos!G29),"")</f>
        <v/>
      </c>
      <c r="N29" s="6" t="str">
        <f aca="false">IFERROR(IF(A29="","",IF(L29&lt;M29,"BAJO STOCK","OK")),"")</f>
        <v/>
      </c>
    </row>
    <row r="30" customFormat="false" ht="15" hidden="false" customHeight="false" outlineLevel="0" collapsed="false">
      <c r="A30" s="0" t="str">
        <f aca="false">IFERROR(IF(Productos!A30="","",Productos!A30),"")</f>
        <v/>
      </c>
      <c r="B30" s="0" t="str">
        <f aca="false">IFERROR(IF(Productos!A30="","",Productos!B30),"")</f>
        <v/>
      </c>
      <c r="C30" s="0" t="str">
        <f aca="false">IFERROR(IF(Productos!A30="","",Productos!C30),"")</f>
        <v/>
      </c>
      <c r="D30" s="0" t="str">
        <f aca="false">IFERROR(IF(Productos!A30="","",Productos!E30),"")</f>
        <v/>
      </c>
      <c r="E30" s="6" t="str">
        <f aca="false">IFERROR(IF(A30="","",SUMIFS(Movimientos!E:E, Movimientos!D:D, A30, Movimientos!C:C, "Ingreso", Movimientos!G:G, "TIN")+SUMIFS(Movimientos!E:E, Movimientos!D:D, A30, Movimientos!C:C, "Traslado", Movimientos!G:G, "TIN")-SUMIFS(Movimientos!E:E, Movimientos!D:D, A30, Movimientos!C:C, "Traslado", Movimientos!F:F, "TIN")-SUMIFS(Movimientos!E:E, Movimientos!D:D, A30, Movimientos!C:C, "Egreso", Movimientos!F:F, "TIN")+SUMIFS(Movimientos!E:E, Movimientos!D:D, A30, Movimientos!C:C, "Ajuste", Movimientos!F:F, "TIN")),"")</f>
        <v/>
      </c>
      <c r="F30" s="6" t="str">
        <f aca="false">IFERROR(IF(A30="","",SUMIFS(Movimientos!E:E, Movimientos!D:D, A30, Movimientos!C:C, "Ingreso", Movimientos!G:G, "G1000")+SUMIFS(Movimientos!E:E, Movimientos!D:D, A30, Movimientos!C:C, "Traslado", Movimientos!G:G, "G1000")-SUMIFS(Movimientos!E:E, Movimientos!D:D, A30, Movimientos!C:C, "Traslado", Movimientos!F:F, "G1000")-SUMIFS(Movimientos!E:E, Movimientos!D:D, A30, Movimientos!C:C, "Egreso", Movimientos!F:F, "G1000")+SUMIFS(Movimientos!E:E, Movimientos!D:D, A30, Movimientos!C:C, "Ajuste", Movimientos!F:F, "G1000")),"")</f>
        <v/>
      </c>
      <c r="G30" s="6" t="str">
        <f aca="false">IFERROR(IF(A30="","",SUMIFS(Movimientos!E:E, Movimientos!D:D, A30, Movimientos!C:C, "Ingreso", Movimientos!G:G, "G710")+SUMIFS(Movimientos!E:E, Movimientos!D:D, A30, Movimientos!C:C, "Traslado", Movimientos!G:G, "G710")-SUMIFS(Movimientos!E:E, Movimientos!D:D, A30, Movimientos!C:C, "Traslado", Movimientos!F:F, "G710")-SUMIFS(Movimientos!E:E, Movimientos!D:D, A30, Movimientos!C:C, "Egreso", Movimientos!F:F, "G710")+SUMIFS(Movimientos!E:E, Movimientos!D:D, A30, Movimientos!C:C, "Ajuste", Movimientos!F:F, "G710")),"")</f>
        <v/>
      </c>
      <c r="H30" s="6" t="str">
        <f aca="false">IFERROR(IF(A30="","",SUMIFS(Movimientos!E:E, Movimientos!D:D, A30, Movimientos!C:C, "Ingreso", Movimientos!G:G, "G5000")+SUMIFS(Movimientos!E:E, Movimientos!D:D, A30, Movimientos!C:C, "Traslado", Movimientos!G:G, "G5000")-SUMIFS(Movimientos!E:E, Movimientos!D:D, A30, Movimientos!C:C, "Traslado", Movimientos!F:F, "G5000")-SUMIFS(Movimientos!E:E, Movimientos!D:D, A30, Movimientos!C:C, "Egreso", Movimientos!F:F, "G5000")+SUMIFS(Movimientos!E:E, Movimientos!D:D, A30, Movimientos!C:C, "Ajuste", Movimientos!F:F, "G5000")),"")</f>
        <v/>
      </c>
      <c r="I30" s="6" t="str">
        <f aca="false">IFERROR(IF(A30="","",SUMIFS(Movimientos!E:E, Movimientos!D:D, A30, Movimientos!C:C, "Ingreso", Movimientos!G:G, "G3")+SUMIFS(Movimientos!E:E, Movimientos!D:D, A30, Movimientos!C:C, "Traslado", Movimientos!G:G, "G3")-SUMIFS(Movimientos!E:E, Movimientos!D:D, A30, Movimientos!C:C, "Traslado", Movimientos!F:F, "G3")-SUMIFS(Movimientos!E:E, Movimientos!D:D, A30, Movimientos!C:C, "Egreso", Movimientos!F:F, "G3")+SUMIFS(Movimientos!E:E, Movimientos!D:D, A30, Movimientos!C:C, "Ajuste", Movimientos!F:F, "G3")),"")</f>
        <v/>
      </c>
      <c r="J30" s="6" t="str">
        <f aca="false">IFERROR(IF(A30="","",SUM(E30:I30)),"")</f>
        <v/>
      </c>
      <c r="K30" s="6" t="str">
        <f aca="false">IFERROR(IF(A30="","",SUMIFS(Movimientos!E:E, Movimientos!D:D, A30, Movimientos!C:C, "Reserva")-SUMIFS(Movimientos!E:E, Movimientos!D:D, A30, Movimientos!C:C, "Libera_Reserva")),"")</f>
        <v/>
      </c>
      <c r="L30" s="6" t="str">
        <f aca="false">IFERROR(IF(A30="","",J30-K30),"")</f>
        <v/>
      </c>
      <c r="M30" s="6" t="str">
        <f aca="false">IFERROR(IF(Productos!A30="","",Productos!G30),"")</f>
        <v/>
      </c>
      <c r="N30" s="6" t="str">
        <f aca="false">IFERROR(IF(A30="","",IF(L30&lt;M30,"BAJO STOCK","OK")),"")</f>
        <v/>
      </c>
    </row>
    <row r="31" customFormat="false" ht="15" hidden="false" customHeight="false" outlineLevel="0" collapsed="false">
      <c r="A31" s="0" t="str">
        <f aca="false">IFERROR(IF(Productos!A31="","",Productos!A31),"")</f>
        <v/>
      </c>
      <c r="B31" s="0" t="str">
        <f aca="false">IFERROR(IF(Productos!A31="","",Productos!B31),"")</f>
        <v/>
      </c>
      <c r="C31" s="0" t="str">
        <f aca="false">IFERROR(IF(Productos!A31="","",Productos!C31),"")</f>
        <v/>
      </c>
      <c r="D31" s="0" t="str">
        <f aca="false">IFERROR(IF(Productos!A31="","",Productos!E31),"")</f>
        <v/>
      </c>
      <c r="E31" s="6" t="str">
        <f aca="false">IFERROR(IF(A31="","",SUMIFS(Movimientos!E:E, Movimientos!D:D, A31, Movimientos!C:C, "Ingreso", Movimientos!G:G, "TIN")+SUMIFS(Movimientos!E:E, Movimientos!D:D, A31, Movimientos!C:C, "Traslado", Movimientos!G:G, "TIN")-SUMIFS(Movimientos!E:E, Movimientos!D:D, A31, Movimientos!C:C, "Traslado", Movimientos!F:F, "TIN")-SUMIFS(Movimientos!E:E, Movimientos!D:D, A31, Movimientos!C:C, "Egreso", Movimientos!F:F, "TIN")+SUMIFS(Movimientos!E:E, Movimientos!D:D, A31, Movimientos!C:C, "Ajuste", Movimientos!F:F, "TIN")),"")</f>
        <v/>
      </c>
      <c r="F31" s="6" t="str">
        <f aca="false">IFERROR(IF(A31="","",SUMIFS(Movimientos!E:E, Movimientos!D:D, A31, Movimientos!C:C, "Ingreso", Movimientos!G:G, "G1000")+SUMIFS(Movimientos!E:E, Movimientos!D:D, A31, Movimientos!C:C, "Traslado", Movimientos!G:G, "G1000")-SUMIFS(Movimientos!E:E, Movimientos!D:D, A31, Movimientos!C:C, "Traslado", Movimientos!F:F, "G1000")-SUMIFS(Movimientos!E:E, Movimientos!D:D, A31, Movimientos!C:C, "Egreso", Movimientos!F:F, "G1000")+SUMIFS(Movimientos!E:E, Movimientos!D:D, A31, Movimientos!C:C, "Ajuste", Movimientos!F:F, "G1000")),"")</f>
        <v/>
      </c>
      <c r="G31" s="6" t="str">
        <f aca="false">IFERROR(IF(A31="","",SUMIFS(Movimientos!E:E, Movimientos!D:D, A31, Movimientos!C:C, "Ingreso", Movimientos!G:G, "G710")+SUMIFS(Movimientos!E:E, Movimientos!D:D, A31, Movimientos!C:C, "Traslado", Movimientos!G:G, "G710")-SUMIFS(Movimientos!E:E, Movimientos!D:D, A31, Movimientos!C:C, "Traslado", Movimientos!F:F, "G710")-SUMIFS(Movimientos!E:E, Movimientos!D:D, A31, Movimientos!C:C, "Egreso", Movimientos!F:F, "G710")+SUMIFS(Movimientos!E:E, Movimientos!D:D, A31, Movimientos!C:C, "Ajuste", Movimientos!F:F, "G710")),"")</f>
        <v/>
      </c>
      <c r="H31" s="6" t="str">
        <f aca="false">IFERROR(IF(A31="","",SUMIFS(Movimientos!E:E, Movimientos!D:D, A31, Movimientos!C:C, "Ingreso", Movimientos!G:G, "G5000")+SUMIFS(Movimientos!E:E, Movimientos!D:D, A31, Movimientos!C:C, "Traslado", Movimientos!G:G, "G5000")-SUMIFS(Movimientos!E:E, Movimientos!D:D, A31, Movimientos!C:C, "Traslado", Movimientos!F:F, "G5000")-SUMIFS(Movimientos!E:E, Movimientos!D:D, A31, Movimientos!C:C, "Egreso", Movimientos!F:F, "G5000")+SUMIFS(Movimientos!E:E, Movimientos!D:D, A31, Movimientos!C:C, "Ajuste", Movimientos!F:F, "G5000")),"")</f>
        <v/>
      </c>
      <c r="I31" s="6" t="str">
        <f aca="false">IFERROR(IF(A31="","",SUMIFS(Movimientos!E:E, Movimientos!D:D, A31, Movimientos!C:C, "Ingreso", Movimientos!G:G, "G3")+SUMIFS(Movimientos!E:E, Movimientos!D:D, A31, Movimientos!C:C, "Traslado", Movimientos!G:G, "G3")-SUMIFS(Movimientos!E:E, Movimientos!D:D, A31, Movimientos!C:C, "Traslado", Movimientos!F:F, "G3")-SUMIFS(Movimientos!E:E, Movimientos!D:D, A31, Movimientos!C:C, "Egreso", Movimientos!F:F, "G3")+SUMIFS(Movimientos!E:E, Movimientos!D:D, A31, Movimientos!C:C, "Ajuste", Movimientos!F:F, "G3")),"")</f>
        <v/>
      </c>
      <c r="J31" s="6" t="str">
        <f aca="false">IFERROR(IF(A31="","",SUM(E31:I31)),"")</f>
        <v/>
      </c>
      <c r="K31" s="6" t="str">
        <f aca="false">IFERROR(IF(A31="","",SUMIFS(Movimientos!E:E, Movimientos!D:D, A31, Movimientos!C:C, "Reserva")-SUMIFS(Movimientos!E:E, Movimientos!D:D, A31, Movimientos!C:C, "Libera_Reserva")),"")</f>
        <v/>
      </c>
      <c r="L31" s="6" t="str">
        <f aca="false">IFERROR(IF(A31="","",J31-K31),"")</f>
        <v/>
      </c>
      <c r="M31" s="6" t="str">
        <f aca="false">IFERROR(IF(Productos!A31="","",Productos!G31),"")</f>
        <v/>
      </c>
      <c r="N31" s="6" t="str">
        <f aca="false">IFERROR(IF(A31="","",IF(L31&lt;M31,"BAJO STOCK","OK")),"")</f>
        <v/>
      </c>
    </row>
    <row r="32" customFormat="false" ht="15" hidden="false" customHeight="false" outlineLevel="0" collapsed="false">
      <c r="A32" s="0" t="str">
        <f aca="false">IFERROR(IF(Productos!A32="","",Productos!A32),"")</f>
        <v/>
      </c>
      <c r="B32" s="0" t="str">
        <f aca="false">IFERROR(IF(Productos!A32="","",Productos!B32),"")</f>
        <v/>
      </c>
      <c r="C32" s="0" t="str">
        <f aca="false">IFERROR(IF(Productos!A32="","",Productos!C32),"")</f>
        <v/>
      </c>
      <c r="D32" s="0" t="str">
        <f aca="false">IFERROR(IF(Productos!A32="","",Productos!E32),"")</f>
        <v/>
      </c>
      <c r="E32" s="6" t="str">
        <f aca="false">IFERROR(IF(A32="","",SUMIFS(Movimientos!E:E, Movimientos!D:D, A32, Movimientos!C:C, "Ingreso", Movimientos!G:G, "TIN")+SUMIFS(Movimientos!E:E, Movimientos!D:D, A32, Movimientos!C:C, "Traslado", Movimientos!G:G, "TIN")-SUMIFS(Movimientos!E:E, Movimientos!D:D, A32, Movimientos!C:C, "Traslado", Movimientos!F:F, "TIN")-SUMIFS(Movimientos!E:E, Movimientos!D:D, A32, Movimientos!C:C, "Egreso", Movimientos!F:F, "TIN")+SUMIFS(Movimientos!E:E, Movimientos!D:D, A32, Movimientos!C:C, "Ajuste", Movimientos!F:F, "TIN")),"")</f>
        <v/>
      </c>
      <c r="F32" s="6" t="str">
        <f aca="false">IFERROR(IF(A32="","",SUMIFS(Movimientos!E:E, Movimientos!D:D, A32, Movimientos!C:C, "Ingreso", Movimientos!G:G, "G1000")+SUMIFS(Movimientos!E:E, Movimientos!D:D, A32, Movimientos!C:C, "Traslado", Movimientos!G:G, "G1000")-SUMIFS(Movimientos!E:E, Movimientos!D:D, A32, Movimientos!C:C, "Traslado", Movimientos!F:F, "G1000")-SUMIFS(Movimientos!E:E, Movimientos!D:D, A32, Movimientos!C:C, "Egreso", Movimientos!F:F, "G1000")+SUMIFS(Movimientos!E:E, Movimientos!D:D, A32, Movimientos!C:C, "Ajuste", Movimientos!F:F, "G1000")),"")</f>
        <v/>
      </c>
      <c r="G32" s="6" t="str">
        <f aca="false">IFERROR(IF(A32="","",SUMIFS(Movimientos!E:E, Movimientos!D:D, A32, Movimientos!C:C, "Ingreso", Movimientos!G:G, "G710")+SUMIFS(Movimientos!E:E, Movimientos!D:D, A32, Movimientos!C:C, "Traslado", Movimientos!G:G, "G710")-SUMIFS(Movimientos!E:E, Movimientos!D:D, A32, Movimientos!C:C, "Traslado", Movimientos!F:F, "G710")-SUMIFS(Movimientos!E:E, Movimientos!D:D, A32, Movimientos!C:C, "Egreso", Movimientos!F:F, "G710")+SUMIFS(Movimientos!E:E, Movimientos!D:D, A32, Movimientos!C:C, "Ajuste", Movimientos!F:F, "G710")),"")</f>
        <v/>
      </c>
      <c r="H32" s="6" t="str">
        <f aca="false">IFERROR(IF(A32="","",SUMIFS(Movimientos!E:E, Movimientos!D:D, A32, Movimientos!C:C, "Ingreso", Movimientos!G:G, "G5000")+SUMIFS(Movimientos!E:E, Movimientos!D:D, A32, Movimientos!C:C, "Traslado", Movimientos!G:G, "G5000")-SUMIFS(Movimientos!E:E, Movimientos!D:D, A32, Movimientos!C:C, "Traslado", Movimientos!F:F, "G5000")-SUMIFS(Movimientos!E:E, Movimientos!D:D, A32, Movimientos!C:C, "Egreso", Movimientos!F:F, "G5000")+SUMIFS(Movimientos!E:E, Movimientos!D:D, A32, Movimientos!C:C, "Ajuste", Movimientos!F:F, "G5000")),"")</f>
        <v/>
      </c>
      <c r="I32" s="6" t="str">
        <f aca="false">IFERROR(IF(A32="","",SUMIFS(Movimientos!E:E, Movimientos!D:D, A32, Movimientos!C:C, "Ingreso", Movimientos!G:G, "G3")+SUMIFS(Movimientos!E:E, Movimientos!D:D, A32, Movimientos!C:C, "Traslado", Movimientos!G:G, "G3")-SUMIFS(Movimientos!E:E, Movimientos!D:D, A32, Movimientos!C:C, "Traslado", Movimientos!F:F, "G3")-SUMIFS(Movimientos!E:E, Movimientos!D:D, A32, Movimientos!C:C, "Egreso", Movimientos!F:F, "G3")+SUMIFS(Movimientos!E:E, Movimientos!D:D, A32, Movimientos!C:C, "Ajuste", Movimientos!F:F, "G3")),"")</f>
        <v/>
      </c>
      <c r="J32" s="6" t="str">
        <f aca="false">IFERROR(IF(A32="","",SUM(E32:I32)),"")</f>
        <v/>
      </c>
      <c r="K32" s="6" t="str">
        <f aca="false">IFERROR(IF(A32="","",SUMIFS(Movimientos!E:E, Movimientos!D:D, A32, Movimientos!C:C, "Reserva")-SUMIFS(Movimientos!E:E, Movimientos!D:D, A32, Movimientos!C:C, "Libera_Reserva")),"")</f>
        <v/>
      </c>
      <c r="L32" s="6" t="str">
        <f aca="false">IFERROR(IF(A32="","",J32-K32),"")</f>
        <v/>
      </c>
      <c r="M32" s="6" t="str">
        <f aca="false">IFERROR(IF(Productos!A32="","",Productos!G32),"")</f>
        <v/>
      </c>
      <c r="N32" s="6" t="str">
        <f aca="false">IFERROR(IF(A32="","",IF(L32&lt;M32,"BAJO STOCK","OK")),"")</f>
        <v/>
      </c>
    </row>
    <row r="33" customFormat="false" ht="15" hidden="false" customHeight="false" outlineLevel="0" collapsed="false">
      <c r="A33" s="0" t="str">
        <f aca="false">IFERROR(IF(Productos!A33="","",Productos!A33),"")</f>
        <v/>
      </c>
      <c r="B33" s="0" t="str">
        <f aca="false">IFERROR(IF(Productos!A33="","",Productos!B33),"")</f>
        <v/>
      </c>
      <c r="C33" s="0" t="str">
        <f aca="false">IFERROR(IF(Productos!A33="","",Productos!C33),"")</f>
        <v/>
      </c>
      <c r="D33" s="0" t="str">
        <f aca="false">IFERROR(IF(Productos!A33="","",Productos!E33),"")</f>
        <v/>
      </c>
      <c r="E33" s="6" t="str">
        <f aca="false">IFERROR(IF(A33="","",SUMIFS(Movimientos!E:E, Movimientos!D:D, A33, Movimientos!C:C, "Ingreso", Movimientos!G:G, "TIN")+SUMIFS(Movimientos!E:E, Movimientos!D:D, A33, Movimientos!C:C, "Traslado", Movimientos!G:G, "TIN")-SUMIFS(Movimientos!E:E, Movimientos!D:D, A33, Movimientos!C:C, "Traslado", Movimientos!F:F, "TIN")-SUMIFS(Movimientos!E:E, Movimientos!D:D, A33, Movimientos!C:C, "Egreso", Movimientos!F:F, "TIN")+SUMIFS(Movimientos!E:E, Movimientos!D:D, A33, Movimientos!C:C, "Ajuste", Movimientos!F:F, "TIN")),"")</f>
        <v/>
      </c>
      <c r="F33" s="6" t="str">
        <f aca="false">IFERROR(IF(A33="","",SUMIFS(Movimientos!E:E, Movimientos!D:D, A33, Movimientos!C:C, "Ingreso", Movimientos!G:G, "G1000")+SUMIFS(Movimientos!E:E, Movimientos!D:D, A33, Movimientos!C:C, "Traslado", Movimientos!G:G, "G1000")-SUMIFS(Movimientos!E:E, Movimientos!D:D, A33, Movimientos!C:C, "Traslado", Movimientos!F:F, "G1000")-SUMIFS(Movimientos!E:E, Movimientos!D:D, A33, Movimientos!C:C, "Egreso", Movimientos!F:F, "G1000")+SUMIFS(Movimientos!E:E, Movimientos!D:D, A33, Movimientos!C:C, "Ajuste", Movimientos!F:F, "G1000")),"")</f>
        <v/>
      </c>
      <c r="G33" s="6" t="str">
        <f aca="false">IFERROR(IF(A33="","",SUMIFS(Movimientos!E:E, Movimientos!D:D, A33, Movimientos!C:C, "Ingreso", Movimientos!G:G, "G710")+SUMIFS(Movimientos!E:E, Movimientos!D:D, A33, Movimientos!C:C, "Traslado", Movimientos!G:G, "G710")-SUMIFS(Movimientos!E:E, Movimientos!D:D, A33, Movimientos!C:C, "Traslado", Movimientos!F:F, "G710")-SUMIFS(Movimientos!E:E, Movimientos!D:D, A33, Movimientos!C:C, "Egreso", Movimientos!F:F, "G710")+SUMIFS(Movimientos!E:E, Movimientos!D:D, A33, Movimientos!C:C, "Ajuste", Movimientos!F:F, "G710")),"")</f>
        <v/>
      </c>
      <c r="H33" s="6" t="str">
        <f aca="false">IFERROR(IF(A33="","",SUMIFS(Movimientos!E:E, Movimientos!D:D, A33, Movimientos!C:C, "Ingreso", Movimientos!G:G, "G5000")+SUMIFS(Movimientos!E:E, Movimientos!D:D, A33, Movimientos!C:C, "Traslado", Movimientos!G:G, "G5000")-SUMIFS(Movimientos!E:E, Movimientos!D:D, A33, Movimientos!C:C, "Traslado", Movimientos!F:F, "G5000")-SUMIFS(Movimientos!E:E, Movimientos!D:D, A33, Movimientos!C:C, "Egreso", Movimientos!F:F, "G5000")+SUMIFS(Movimientos!E:E, Movimientos!D:D, A33, Movimientos!C:C, "Ajuste", Movimientos!F:F, "G5000")),"")</f>
        <v/>
      </c>
      <c r="I33" s="6" t="str">
        <f aca="false">IFERROR(IF(A33="","",SUMIFS(Movimientos!E:E, Movimientos!D:D, A33, Movimientos!C:C, "Ingreso", Movimientos!G:G, "G3")+SUMIFS(Movimientos!E:E, Movimientos!D:D, A33, Movimientos!C:C, "Traslado", Movimientos!G:G, "G3")-SUMIFS(Movimientos!E:E, Movimientos!D:D, A33, Movimientos!C:C, "Traslado", Movimientos!F:F, "G3")-SUMIFS(Movimientos!E:E, Movimientos!D:D, A33, Movimientos!C:C, "Egreso", Movimientos!F:F, "G3")+SUMIFS(Movimientos!E:E, Movimientos!D:D, A33, Movimientos!C:C, "Ajuste", Movimientos!F:F, "G3")),"")</f>
        <v/>
      </c>
      <c r="J33" s="6" t="str">
        <f aca="false">IFERROR(IF(A33="","",SUM(E33:I33)),"")</f>
        <v/>
      </c>
      <c r="K33" s="6" t="str">
        <f aca="false">IFERROR(IF(A33="","",SUMIFS(Movimientos!E:E, Movimientos!D:D, A33, Movimientos!C:C, "Reserva")-SUMIFS(Movimientos!E:E, Movimientos!D:D, A33, Movimientos!C:C, "Libera_Reserva")),"")</f>
        <v/>
      </c>
      <c r="L33" s="6" t="str">
        <f aca="false">IFERROR(IF(A33="","",J33-K33),"")</f>
        <v/>
      </c>
      <c r="M33" s="6" t="str">
        <f aca="false">IFERROR(IF(Productos!A33="","",Productos!G33),"")</f>
        <v/>
      </c>
      <c r="N33" s="6" t="str">
        <f aca="false">IFERROR(IF(A33="","",IF(L33&lt;M33,"BAJO STOCK","OK")),"")</f>
        <v/>
      </c>
    </row>
    <row r="34" customFormat="false" ht="15" hidden="false" customHeight="false" outlineLevel="0" collapsed="false">
      <c r="A34" s="0" t="str">
        <f aca="false">IFERROR(IF(Productos!A34="","",Productos!A34),"")</f>
        <v/>
      </c>
      <c r="B34" s="0" t="str">
        <f aca="false">IFERROR(IF(Productos!A34="","",Productos!B34),"")</f>
        <v/>
      </c>
      <c r="C34" s="0" t="str">
        <f aca="false">IFERROR(IF(Productos!A34="","",Productos!C34),"")</f>
        <v/>
      </c>
      <c r="D34" s="0" t="str">
        <f aca="false">IFERROR(IF(Productos!A34="","",Productos!E34),"")</f>
        <v/>
      </c>
      <c r="E34" s="6" t="str">
        <f aca="false">IFERROR(IF(A34="","",SUMIFS(Movimientos!E:E, Movimientos!D:D, A34, Movimientos!C:C, "Ingreso", Movimientos!G:G, "TIN")+SUMIFS(Movimientos!E:E, Movimientos!D:D, A34, Movimientos!C:C, "Traslado", Movimientos!G:G, "TIN")-SUMIFS(Movimientos!E:E, Movimientos!D:D, A34, Movimientos!C:C, "Traslado", Movimientos!F:F, "TIN")-SUMIFS(Movimientos!E:E, Movimientos!D:D, A34, Movimientos!C:C, "Egreso", Movimientos!F:F, "TIN")+SUMIFS(Movimientos!E:E, Movimientos!D:D, A34, Movimientos!C:C, "Ajuste", Movimientos!F:F, "TIN")),"")</f>
        <v/>
      </c>
      <c r="F34" s="6" t="str">
        <f aca="false">IFERROR(IF(A34="","",SUMIFS(Movimientos!E:E, Movimientos!D:D, A34, Movimientos!C:C, "Ingreso", Movimientos!G:G, "G1000")+SUMIFS(Movimientos!E:E, Movimientos!D:D, A34, Movimientos!C:C, "Traslado", Movimientos!G:G, "G1000")-SUMIFS(Movimientos!E:E, Movimientos!D:D, A34, Movimientos!C:C, "Traslado", Movimientos!F:F, "G1000")-SUMIFS(Movimientos!E:E, Movimientos!D:D, A34, Movimientos!C:C, "Egreso", Movimientos!F:F, "G1000")+SUMIFS(Movimientos!E:E, Movimientos!D:D, A34, Movimientos!C:C, "Ajuste", Movimientos!F:F, "G1000")),"")</f>
        <v/>
      </c>
      <c r="G34" s="6" t="str">
        <f aca="false">IFERROR(IF(A34="","",SUMIFS(Movimientos!E:E, Movimientos!D:D, A34, Movimientos!C:C, "Ingreso", Movimientos!G:G, "G710")+SUMIFS(Movimientos!E:E, Movimientos!D:D, A34, Movimientos!C:C, "Traslado", Movimientos!G:G, "G710")-SUMIFS(Movimientos!E:E, Movimientos!D:D, A34, Movimientos!C:C, "Traslado", Movimientos!F:F, "G710")-SUMIFS(Movimientos!E:E, Movimientos!D:D, A34, Movimientos!C:C, "Egreso", Movimientos!F:F, "G710")+SUMIFS(Movimientos!E:E, Movimientos!D:D, A34, Movimientos!C:C, "Ajuste", Movimientos!F:F, "G710")),"")</f>
        <v/>
      </c>
      <c r="H34" s="6" t="str">
        <f aca="false">IFERROR(IF(A34="","",SUMIFS(Movimientos!E:E, Movimientos!D:D, A34, Movimientos!C:C, "Ingreso", Movimientos!G:G, "G5000")+SUMIFS(Movimientos!E:E, Movimientos!D:D, A34, Movimientos!C:C, "Traslado", Movimientos!G:G, "G5000")-SUMIFS(Movimientos!E:E, Movimientos!D:D, A34, Movimientos!C:C, "Traslado", Movimientos!F:F, "G5000")-SUMIFS(Movimientos!E:E, Movimientos!D:D, A34, Movimientos!C:C, "Egreso", Movimientos!F:F, "G5000")+SUMIFS(Movimientos!E:E, Movimientos!D:D, A34, Movimientos!C:C, "Ajuste", Movimientos!F:F, "G5000")),"")</f>
        <v/>
      </c>
      <c r="I34" s="6" t="str">
        <f aca="false">IFERROR(IF(A34="","",SUMIFS(Movimientos!E:E, Movimientos!D:D, A34, Movimientos!C:C, "Ingreso", Movimientos!G:G, "G3")+SUMIFS(Movimientos!E:E, Movimientos!D:D, A34, Movimientos!C:C, "Traslado", Movimientos!G:G, "G3")-SUMIFS(Movimientos!E:E, Movimientos!D:D, A34, Movimientos!C:C, "Traslado", Movimientos!F:F, "G3")-SUMIFS(Movimientos!E:E, Movimientos!D:D, A34, Movimientos!C:C, "Egreso", Movimientos!F:F, "G3")+SUMIFS(Movimientos!E:E, Movimientos!D:D, A34, Movimientos!C:C, "Ajuste", Movimientos!F:F, "G3")),"")</f>
        <v/>
      </c>
      <c r="J34" s="6" t="str">
        <f aca="false">IFERROR(IF(A34="","",SUM(E34:I34)),"")</f>
        <v/>
      </c>
      <c r="K34" s="6" t="str">
        <f aca="false">IFERROR(IF(A34="","",SUMIFS(Movimientos!E:E, Movimientos!D:D, A34, Movimientos!C:C, "Reserva")-SUMIFS(Movimientos!E:E, Movimientos!D:D, A34, Movimientos!C:C, "Libera_Reserva")),"")</f>
        <v/>
      </c>
      <c r="L34" s="6" t="str">
        <f aca="false">IFERROR(IF(A34="","",J34-K34),"")</f>
        <v/>
      </c>
      <c r="M34" s="6" t="str">
        <f aca="false">IFERROR(IF(Productos!A34="","",Productos!G34),"")</f>
        <v/>
      </c>
      <c r="N34" s="6" t="str">
        <f aca="false">IFERROR(IF(A34="","",IF(L34&lt;M34,"BAJO STOCK","OK")),"")</f>
        <v/>
      </c>
    </row>
    <row r="35" customFormat="false" ht="15" hidden="false" customHeight="false" outlineLevel="0" collapsed="false">
      <c r="A35" s="0" t="str">
        <f aca="false">IFERROR(IF(Productos!A35="","",Productos!A35),"")</f>
        <v/>
      </c>
      <c r="B35" s="0" t="str">
        <f aca="false">IFERROR(IF(Productos!A35="","",Productos!B35),"")</f>
        <v/>
      </c>
      <c r="C35" s="0" t="str">
        <f aca="false">IFERROR(IF(Productos!A35="","",Productos!C35),"")</f>
        <v/>
      </c>
      <c r="D35" s="0" t="str">
        <f aca="false">IFERROR(IF(Productos!A35="","",Productos!E35),"")</f>
        <v/>
      </c>
      <c r="E35" s="6" t="str">
        <f aca="false">IFERROR(IF(A35="","",SUMIFS(Movimientos!E:E, Movimientos!D:D, A35, Movimientos!C:C, "Ingreso", Movimientos!G:G, "TIN")+SUMIFS(Movimientos!E:E, Movimientos!D:D, A35, Movimientos!C:C, "Traslado", Movimientos!G:G, "TIN")-SUMIFS(Movimientos!E:E, Movimientos!D:D, A35, Movimientos!C:C, "Traslado", Movimientos!F:F, "TIN")-SUMIFS(Movimientos!E:E, Movimientos!D:D, A35, Movimientos!C:C, "Egreso", Movimientos!F:F, "TIN")+SUMIFS(Movimientos!E:E, Movimientos!D:D, A35, Movimientos!C:C, "Ajuste", Movimientos!F:F, "TIN")),"")</f>
        <v/>
      </c>
      <c r="F35" s="6" t="str">
        <f aca="false">IFERROR(IF(A35="","",SUMIFS(Movimientos!E:E, Movimientos!D:D, A35, Movimientos!C:C, "Ingreso", Movimientos!G:G, "G1000")+SUMIFS(Movimientos!E:E, Movimientos!D:D, A35, Movimientos!C:C, "Traslado", Movimientos!G:G, "G1000")-SUMIFS(Movimientos!E:E, Movimientos!D:D, A35, Movimientos!C:C, "Traslado", Movimientos!F:F, "G1000")-SUMIFS(Movimientos!E:E, Movimientos!D:D, A35, Movimientos!C:C, "Egreso", Movimientos!F:F, "G1000")+SUMIFS(Movimientos!E:E, Movimientos!D:D, A35, Movimientos!C:C, "Ajuste", Movimientos!F:F, "G1000")),"")</f>
        <v/>
      </c>
      <c r="G35" s="6" t="str">
        <f aca="false">IFERROR(IF(A35="","",SUMIFS(Movimientos!E:E, Movimientos!D:D, A35, Movimientos!C:C, "Ingreso", Movimientos!G:G, "G710")+SUMIFS(Movimientos!E:E, Movimientos!D:D, A35, Movimientos!C:C, "Traslado", Movimientos!G:G, "G710")-SUMIFS(Movimientos!E:E, Movimientos!D:D, A35, Movimientos!C:C, "Traslado", Movimientos!F:F, "G710")-SUMIFS(Movimientos!E:E, Movimientos!D:D, A35, Movimientos!C:C, "Egreso", Movimientos!F:F, "G710")+SUMIFS(Movimientos!E:E, Movimientos!D:D, A35, Movimientos!C:C, "Ajuste", Movimientos!F:F, "G710")),"")</f>
        <v/>
      </c>
      <c r="H35" s="6" t="str">
        <f aca="false">IFERROR(IF(A35="","",SUMIFS(Movimientos!E:E, Movimientos!D:D, A35, Movimientos!C:C, "Ingreso", Movimientos!G:G, "G5000")+SUMIFS(Movimientos!E:E, Movimientos!D:D, A35, Movimientos!C:C, "Traslado", Movimientos!G:G, "G5000")-SUMIFS(Movimientos!E:E, Movimientos!D:D, A35, Movimientos!C:C, "Traslado", Movimientos!F:F, "G5000")-SUMIFS(Movimientos!E:E, Movimientos!D:D, A35, Movimientos!C:C, "Egreso", Movimientos!F:F, "G5000")+SUMIFS(Movimientos!E:E, Movimientos!D:D, A35, Movimientos!C:C, "Ajuste", Movimientos!F:F, "G5000")),"")</f>
        <v/>
      </c>
      <c r="I35" s="6" t="str">
        <f aca="false">IFERROR(IF(A35="","",SUMIFS(Movimientos!E:E, Movimientos!D:D, A35, Movimientos!C:C, "Ingreso", Movimientos!G:G, "G3")+SUMIFS(Movimientos!E:E, Movimientos!D:D, A35, Movimientos!C:C, "Traslado", Movimientos!G:G, "G3")-SUMIFS(Movimientos!E:E, Movimientos!D:D, A35, Movimientos!C:C, "Traslado", Movimientos!F:F, "G3")-SUMIFS(Movimientos!E:E, Movimientos!D:D, A35, Movimientos!C:C, "Egreso", Movimientos!F:F, "G3")+SUMIFS(Movimientos!E:E, Movimientos!D:D, A35, Movimientos!C:C, "Ajuste", Movimientos!F:F, "G3")),"")</f>
        <v/>
      </c>
      <c r="J35" s="6" t="str">
        <f aca="false">IFERROR(IF(A35="","",SUM(E35:I35)),"")</f>
        <v/>
      </c>
      <c r="K35" s="6" t="str">
        <f aca="false">IFERROR(IF(A35="","",SUMIFS(Movimientos!E:E, Movimientos!D:D, A35, Movimientos!C:C, "Reserva")-SUMIFS(Movimientos!E:E, Movimientos!D:D, A35, Movimientos!C:C, "Libera_Reserva")),"")</f>
        <v/>
      </c>
      <c r="L35" s="6" t="str">
        <f aca="false">IFERROR(IF(A35="","",J35-K35),"")</f>
        <v/>
      </c>
      <c r="M35" s="6" t="str">
        <f aca="false">IFERROR(IF(Productos!A35="","",Productos!G35),"")</f>
        <v/>
      </c>
      <c r="N35" s="6" t="str">
        <f aca="false">IFERROR(IF(A35="","",IF(L35&lt;M35,"BAJO STOCK","OK")),"")</f>
        <v/>
      </c>
    </row>
    <row r="36" customFormat="false" ht="15" hidden="false" customHeight="false" outlineLevel="0" collapsed="false">
      <c r="A36" s="0" t="str">
        <f aca="false">IFERROR(IF(Productos!A36="","",Productos!A36),"")</f>
        <v/>
      </c>
      <c r="B36" s="0" t="str">
        <f aca="false">IFERROR(IF(Productos!A36="","",Productos!B36),"")</f>
        <v/>
      </c>
      <c r="C36" s="0" t="str">
        <f aca="false">IFERROR(IF(Productos!A36="","",Productos!C36),"")</f>
        <v/>
      </c>
      <c r="D36" s="0" t="str">
        <f aca="false">IFERROR(IF(Productos!A36="","",Productos!E36),"")</f>
        <v/>
      </c>
      <c r="E36" s="6" t="str">
        <f aca="false">IFERROR(IF(A36="","",SUMIFS(Movimientos!E:E, Movimientos!D:D, A36, Movimientos!C:C, "Ingreso", Movimientos!G:G, "TIN")+SUMIFS(Movimientos!E:E, Movimientos!D:D, A36, Movimientos!C:C, "Traslado", Movimientos!G:G, "TIN")-SUMIFS(Movimientos!E:E, Movimientos!D:D, A36, Movimientos!C:C, "Traslado", Movimientos!F:F, "TIN")-SUMIFS(Movimientos!E:E, Movimientos!D:D, A36, Movimientos!C:C, "Egreso", Movimientos!F:F, "TIN")+SUMIFS(Movimientos!E:E, Movimientos!D:D, A36, Movimientos!C:C, "Ajuste", Movimientos!F:F, "TIN")),"")</f>
        <v/>
      </c>
      <c r="F36" s="6" t="str">
        <f aca="false">IFERROR(IF(A36="","",SUMIFS(Movimientos!E:E, Movimientos!D:D, A36, Movimientos!C:C, "Ingreso", Movimientos!G:G, "G1000")+SUMIFS(Movimientos!E:E, Movimientos!D:D, A36, Movimientos!C:C, "Traslado", Movimientos!G:G, "G1000")-SUMIFS(Movimientos!E:E, Movimientos!D:D, A36, Movimientos!C:C, "Traslado", Movimientos!F:F, "G1000")-SUMIFS(Movimientos!E:E, Movimientos!D:D, A36, Movimientos!C:C, "Egreso", Movimientos!F:F, "G1000")+SUMIFS(Movimientos!E:E, Movimientos!D:D, A36, Movimientos!C:C, "Ajuste", Movimientos!F:F, "G1000")),"")</f>
        <v/>
      </c>
      <c r="G36" s="6" t="str">
        <f aca="false">IFERROR(IF(A36="","",SUMIFS(Movimientos!E:E, Movimientos!D:D, A36, Movimientos!C:C, "Ingreso", Movimientos!G:G, "G710")+SUMIFS(Movimientos!E:E, Movimientos!D:D, A36, Movimientos!C:C, "Traslado", Movimientos!G:G, "G710")-SUMIFS(Movimientos!E:E, Movimientos!D:D, A36, Movimientos!C:C, "Traslado", Movimientos!F:F, "G710")-SUMIFS(Movimientos!E:E, Movimientos!D:D, A36, Movimientos!C:C, "Egreso", Movimientos!F:F, "G710")+SUMIFS(Movimientos!E:E, Movimientos!D:D, A36, Movimientos!C:C, "Ajuste", Movimientos!F:F, "G710")),"")</f>
        <v/>
      </c>
      <c r="H36" s="6" t="str">
        <f aca="false">IFERROR(IF(A36="","",SUMIFS(Movimientos!E:E, Movimientos!D:D, A36, Movimientos!C:C, "Ingreso", Movimientos!G:G, "G5000")+SUMIFS(Movimientos!E:E, Movimientos!D:D, A36, Movimientos!C:C, "Traslado", Movimientos!G:G, "G5000")-SUMIFS(Movimientos!E:E, Movimientos!D:D, A36, Movimientos!C:C, "Traslado", Movimientos!F:F, "G5000")-SUMIFS(Movimientos!E:E, Movimientos!D:D, A36, Movimientos!C:C, "Egreso", Movimientos!F:F, "G5000")+SUMIFS(Movimientos!E:E, Movimientos!D:D, A36, Movimientos!C:C, "Ajuste", Movimientos!F:F, "G5000")),"")</f>
        <v/>
      </c>
      <c r="I36" s="6" t="str">
        <f aca="false">IFERROR(IF(A36="","",SUMIFS(Movimientos!E:E, Movimientos!D:D, A36, Movimientos!C:C, "Ingreso", Movimientos!G:G, "G3")+SUMIFS(Movimientos!E:E, Movimientos!D:D, A36, Movimientos!C:C, "Traslado", Movimientos!G:G, "G3")-SUMIFS(Movimientos!E:E, Movimientos!D:D, A36, Movimientos!C:C, "Traslado", Movimientos!F:F, "G3")-SUMIFS(Movimientos!E:E, Movimientos!D:D, A36, Movimientos!C:C, "Egreso", Movimientos!F:F, "G3")+SUMIFS(Movimientos!E:E, Movimientos!D:D, A36, Movimientos!C:C, "Ajuste", Movimientos!F:F, "G3")),"")</f>
        <v/>
      </c>
      <c r="J36" s="6" t="str">
        <f aca="false">IFERROR(IF(A36="","",SUM(E36:I36)),"")</f>
        <v/>
      </c>
      <c r="K36" s="6" t="str">
        <f aca="false">IFERROR(IF(A36="","",SUMIFS(Movimientos!E:E, Movimientos!D:D, A36, Movimientos!C:C, "Reserva")-SUMIFS(Movimientos!E:E, Movimientos!D:D, A36, Movimientos!C:C, "Libera_Reserva")),"")</f>
        <v/>
      </c>
      <c r="L36" s="6" t="str">
        <f aca="false">IFERROR(IF(A36="","",J36-K36),"")</f>
        <v/>
      </c>
      <c r="M36" s="6" t="str">
        <f aca="false">IFERROR(IF(Productos!A36="","",Productos!G36),"")</f>
        <v/>
      </c>
      <c r="N36" s="6" t="str">
        <f aca="false">IFERROR(IF(A36="","",IF(L36&lt;M36,"BAJO STOCK","OK")),"")</f>
        <v/>
      </c>
    </row>
    <row r="37" customFormat="false" ht="15" hidden="false" customHeight="false" outlineLevel="0" collapsed="false">
      <c r="A37" s="0" t="str">
        <f aca="false">IFERROR(IF(Productos!A37="","",Productos!A37),"")</f>
        <v/>
      </c>
      <c r="B37" s="0" t="str">
        <f aca="false">IFERROR(IF(Productos!A37="","",Productos!B37),"")</f>
        <v/>
      </c>
      <c r="C37" s="0" t="str">
        <f aca="false">IFERROR(IF(Productos!A37="","",Productos!C37),"")</f>
        <v/>
      </c>
      <c r="D37" s="0" t="str">
        <f aca="false">IFERROR(IF(Productos!A37="","",Productos!E37),"")</f>
        <v/>
      </c>
      <c r="E37" s="6" t="str">
        <f aca="false">IFERROR(IF(A37="","",SUMIFS(Movimientos!E:E, Movimientos!D:D, A37, Movimientos!C:C, "Ingreso", Movimientos!G:G, "TIN")+SUMIFS(Movimientos!E:E, Movimientos!D:D, A37, Movimientos!C:C, "Traslado", Movimientos!G:G, "TIN")-SUMIFS(Movimientos!E:E, Movimientos!D:D, A37, Movimientos!C:C, "Traslado", Movimientos!F:F, "TIN")-SUMIFS(Movimientos!E:E, Movimientos!D:D, A37, Movimientos!C:C, "Egreso", Movimientos!F:F, "TIN")+SUMIFS(Movimientos!E:E, Movimientos!D:D, A37, Movimientos!C:C, "Ajuste", Movimientos!F:F, "TIN")),"")</f>
        <v/>
      </c>
      <c r="F37" s="6" t="str">
        <f aca="false">IFERROR(IF(A37="","",SUMIFS(Movimientos!E:E, Movimientos!D:D, A37, Movimientos!C:C, "Ingreso", Movimientos!G:G, "G1000")+SUMIFS(Movimientos!E:E, Movimientos!D:D, A37, Movimientos!C:C, "Traslado", Movimientos!G:G, "G1000")-SUMIFS(Movimientos!E:E, Movimientos!D:D, A37, Movimientos!C:C, "Traslado", Movimientos!F:F, "G1000")-SUMIFS(Movimientos!E:E, Movimientos!D:D, A37, Movimientos!C:C, "Egreso", Movimientos!F:F, "G1000")+SUMIFS(Movimientos!E:E, Movimientos!D:D, A37, Movimientos!C:C, "Ajuste", Movimientos!F:F, "G1000")),"")</f>
        <v/>
      </c>
      <c r="G37" s="6" t="str">
        <f aca="false">IFERROR(IF(A37="","",SUMIFS(Movimientos!E:E, Movimientos!D:D, A37, Movimientos!C:C, "Ingreso", Movimientos!G:G, "G710")+SUMIFS(Movimientos!E:E, Movimientos!D:D, A37, Movimientos!C:C, "Traslado", Movimientos!G:G, "G710")-SUMIFS(Movimientos!E:E, Movimientos!D:D, A37, Movimientos!C:C, "Traslado", Movimientos!F:F, "G710")-SUMIFS(Movimientos!E:E, Movimientos!D:D, A37, Movimientos!C:C, "Egreso", Movimientos!F:F, "G710")+SUMIFS(Movimientos!E:E, Movimientos!D:D, A37, Movimientos!C:C, "Ajuste", Movimientos!F:F, "G710")),"")</f>
        <v/>
      </c>
      <c r="H37" s="6" t="str">
        <f aca="false">IFERROR(IF(A37="","",SUMIFS(Movimientos!E:E, Movimientos!D:D, A37, Movimientos!C:C, "Ingreso", Movimientos!G:G, "G5000")+SUMIFS(Movimientos!E:E, Movimientos!D:D, A37, Movimientos!C:C, "Traslado", Movimientos!G:G, "G5000")-SUMIFS(Movimientos!E:E, Movimientos!D:D, A37, Movimientos!C:C, "Traslado", Movimientos!F:F, "G5000")-SUMIFS(Movimientos!E:E, Movimientos!D:D, A37, Movimientos!C:C, "Egreso", Movimientos!F:F, "G5000")+SUMIFS(Movimientos!E:E, Movimientos!D:D, A37, Movimientos!C:C, "Ajuste", Movimientos!F:F, "G5000")),"")</f>
        <v/>
      </c>
      <c r="I37" s="6" t="str">
        <f aca="false">IFERROR(IF(A37="","",SUMIFS(Movimientos!E:E, Movimientos!D:D, A37, Movimientos!C:C, "Ingreso", Movimientos!G:G, "G3")+SUMIFS(Movimientos!E:E, Movimientos!D:D, A37, Movimientos!C:C, "Traslado", Movimientos!G:G, "G3")-SUMIFS(Movimientos!E:E, Movimientos!D:D, A37, Movimientos!C:C, "Traslado", Movimientos!F:F, "G3")-SUMIFS(Movimientos!E:E, Movimientos!D:D, A37, Movimientos!C:C, "Egreso", Movimientos!F:F, "G3")+SUMIFS(Movimientos!E:E, Movimientos!D:D, A37, Movimientos!C:C, "Ajuste", Movimientos!F:F, "G3")),"")</f>
        <v/>
      </c>
      <c r="J37" s="6" t="str">
        <f aca="false">IFERROR(IF(A37="","",SUM(E37:I37)),"")</f>
        <v/>
      </c>
      <c r="K37" s="6" t="str">
        <f aca="false">IFERROR(IF(A37="","",SUMIFS(Movimientos!E:E, Movimientos!D:D, A37, Movimientos!C:C, "Reserva")-SUMIFS(Movimientos!E:E, Movimientos!D:D, A37, Movimientos!C:C, "Libera_Reserva")),"")</f>
        <v/>
      </c>
      <c r="L37" s="6" t="str">
        <f aca="false">IFERROR(IF(A37="","",J37-K37),"")</f>
        <v/>
      </c>
      <c r="M37" s="6" t="str">
        <f aca="false">IFERROR(IF(Productos!A37="","",Productos!G37),"")</f>
        <v/>
      </c>
      <c r="N37" s="6" t="str">
        <f aca="false">IFERROR(IF(A37="","",IF(L37&lt;M37,"BAJO STOCK","OK")),"")</f>
        <v/>
      </c>
    </row>
    <row r="38" customFormat="false" ht="15" hidden="false" customHeight="false" outlineLevel="0" collapsed="false">
      <c r="A38" s="0" t="str">
        <f aca="false">IFERROR(IF(Productos!A38="","",Productos!A38),"")</f>
        <v/>
      </c>
      <c r="B38" s="0" t="str">
        <f aca="false">IFERROR(IF(Productos!A38="","",Productos!B38),"")</f>
        <v/>
      </c>
      <c r="C38" s="0" t="str">
        <f aca="false">IFERROR(IF(Productos!A38="","",Productos!C38),"")</f>
        <v/>
      </c>
      <c r="D38" s="0" t="str">
        <f aca="false">IFERROR(IF(Productos!A38="","",Productos!E38),"")</f>
        <v/>
      </c>
      <c r="E38" s="6" t="str">
        <f aca="false">IFERROR(IF(A38="","",SUMIFS(Movimientos!E:E, Movimientos!D:D, A38, Movimientos!C:C, "Ingreso", Movimientos!G:G, "TIN")+SUMIFS(Movimientos!E:E, Movimientos!D:D, A38, Movimientos!C:C, "Traslado", Movimientos!G:G, "TIN")-SUMIFS(Movimientos!E:E, Movimientos!D:D, A38, Movimientos!C:C, "Traslado", Movimientos!F:F, "TIN")-SUMIFS(Movimientos!E:E, Movimientos!D:D, A38, Movimientos!C:C, "Egreso", Movimientos!F:F, "TIN")+SUMIFS(Movimientos!E:E, Movimientos!D:D, A38, Movimientos!C:C, "Ajuste", Movimientos!F:F, "TIN")),"")</f>
        <v/>
      </c>
      <c r="F38" s="6" t="str">
        <f aca="false">IFERROR(IF(A38="","",SUMIFS(Movimientos!E:E, Movimientos!D:D, A38, Movimientos!C:C, "Ingreso", Movimientos!G:G, "G1000")+SUMIFS(Movimientos!E:E, Movimientos!D:D, A38, Movimientos!C:C, "Traslado", Movimientos!G:G, "G1000")-SUMIFS(Movimientos!E:E, Movimientos!D:D, A38, Movimientos!C:C, "Traslado", Movimientos!F:F, "G1000")-SUMIFS(Movimientos!E:E, Movimientos!D:D, A38, Movimientos!C:C, "Egreso", Movimientos!F:F, "G1000")+SUMIFS(Movimientos!E:E, Movimientos!D:D, A38, Movimientos!C:C, "Ajuste", Movimientos!F:F, "G1000")),"")</f>
        <v/>
      </c>
      <c r="G38" s="6" t="str">
        <f aca="false">IFERROR(IF(A38="","",SUMIFS(Movimientos!E:E, Movimientos!D:D, A38, Movimientos!C:C, "Ingreso", Movimientos!G:G, "G710")+SUMIFS(Movimientos!E:E, Movimientos!D:D, A38, Movimientos!C:C, "Traslado", Movimientos!G:G, "G710")-SUMIFS(Movimientos!E:E, Movimientos!D:D, A38, Movimientos!C:C, "Traslado", Movimientos!F:F, "G710")-SUMIFS(Movimientos!E:E, Movimientos!D:D, A38, Movimientos!C:C, "Egreso", Movimientos!F:F, "G710")+SUMIFS(Movimientos!E:E, Movimientos!D:D, A38, Movimientos!C:C, "Ajuste", Movimientos!F:F, "G710")),"")</f>
        <v/>
      </c>
      <c r="H38" s="6" t="str">
        <f aca="false">IFERROR(IF(A38="","",SUMIFS(Movimientos!E:E, Movimientos!D:D, A38, Movimientos!C:C, "Ingreso", Movimientos!G:G, "G5000")+SUMIFS(Movimientos!E:E, Movimientos!D:D, A38, Movimientos!C:C, "Traslado", Movimientos!G:G, "G5000")-SUMIFS(Movimientos!E:E, Movimientos!D:D, A38, Movimientos!C:C, "Traslado", Movimientos!F:F, "G5000")-SUMIFS(Movimientos!E:E, Movimientos!D:D, A38, Movimientos!C:C, "Egreso", Movimientos!F:F, "G5000")+SUMIFS(Movimientos!E:E, Movimientos!D:D, A38, Movimientos!C:C, "Ajuste", Movimientos!F:F, "G5000")),"")</f>
        <v/>
      </c>
      <c r="I38" s="6" t="str">
        <f aca="false">IFERROR(IF(A38="","",SUMIFS(Movimientos!E:E, Movimientos!D:D, A38, Movimientos!C:C, "Ingreso", Movimientos!G:G, "G3")+SUMIFS(Movimientos!E:E, Movimientos!D:D, A38, Movimientos!C:C, "Traslado", Movimientos!G:G, "G3")-SUMIFS(Movimientos!E:E, Movimientos!D:D, A38, Movimientos!C:C, "Traslado", Movimientos!F:F, "G3")-SUMIFS(Movimientos!E:E, Movimientos!D:D, A38, Movimientos!C:C, "Egreso", Movimientos!F:F, "G3")+SUMIFS(Movimientos!E:E, Movimientos!D:D, A38, Movimientos!C:C, "Ajuste", Movimientos!F:F, "G3")),"")</f>
        <v/>
      </c>
      <c r="J38" s="6" t="str">
        <f aca="false">IFERROR(IF(A38="","",SUM(E38:I38)),"")</f>
        <v/>
      </c>
      <c r="K38" s="6" t="str">
        <f aca="false">IFERROR(IF(A38="","",SUMIFS(Movimientos!E:E, Movimientos!D:D, A38, Movimientos!C:C, "Reserva")-SUMIFS(Movimientos!E:E, Movimientos!D:D, A38, Movimientos!C:C, "Libera_Reserva")),"")</f>
        <v/>
      </c>
      <c r="L38" s="6" t="str">
        <f aca="false">IFERROR(IF(A38="","",J38-K38),"")</f>
        <v/>
      </c>
      <c r="M38" s="6" t="str">
        <f aca="false">IFERROR(IF(Productos!A38="","",Productos!G38),"")</f>
        <v/>
      </c>
      <c r="N38" s="6" t="str">
        <f aca="false">IFERROR(IF(A38="","",IF(L38&lt;M38,"BAJO STOCK","OK")),"")</f>
        <v/>
      </c>
    </row>
    <row r="39" customFormat="false" ht="15" hidden="false" customHeight="false" outlineLevel="0" collapsed="false">
      <c r="A39" s="0" t="str">
        <f aca="false">IFERROR(IF(Productos!A39="","",Productos!A39),"")</f>
        <v/>
      </c>
      <c r="B39" s="0" t="str">
        <f aca="false">IFERROR(IF(Productos!A39="","",Productos!B39),"")</f>
        <v/>
      </c>
      <c r="C39" s="0" t="str">
        <f aca="false">IFERROR(IF(Productos!A39="","",Productos!C39),"")</f>
        <v/>
      </c>
      <c r="D39" s="0" t="str">
        <f aca="false">IFERROR(IF(Productos!A39="","",Productos!E39),"")</f>
        <v/>
      </c>
      <c r="E39" s="6" t="str">
        <f aca="false">IFERROR(IF(A39="","",SUMIFS(Movimientos!E:E, Movimientos!D:D, A39, Movimientos!C:C, "Ingreso", Movimientos!G:G, "TIN")+SUMIFS(Movimientos!E:E, Movimientos!D:D, A39, Movimientos!C:C, "Traslado", Movimientos!G:G, "TIN")-SUMIFS(Movimientos!E:E, Movimientos!D:D, A39, Movimientos!C:C, "Traslado", Movimientos!F:F, "TIN")-SUMIFS(Movimientos!E:E, Movimientos!D:D, A39, Movimientos!C:C, "Egreso", Movimientos!F:F, "TIN")+SUMIFS(Movimientos!E:E, Movimientos!D:D, A39, Movimientos!C:C, "Ajuste", Movimientos!F:F, "TIN")),"")</f>
        <v/>
      </c>
      <c r="F39" s="6" t="str">
        <f aca="false">IFERROR(IF(A39="","",SUMIFS(Movimientos!E:E, Movimientos!D:D, A39, Movimientos!C:C, "Ingreso", Movimientos!G:G, "G1000")+SUMIFS(Movimientos!E:E, Movimientos!D:D, A39, Movimientos!C:C, "Traslado", Movimientos!G:G, "G1000")-SUMIFS(Movimientos!E:E, Movimientos!D:D, A39, Movimientos!C:C, "Traslado", Movimientos!F:F, "G1000")-SUMIFS(Movimientos!E:E, Movimientos!D:D, A39, Movimientos!C:C, "Egreso", Movimientos!F:F, "G1000")+SUMIFS(Movimientos!E:E, Movimientos!D:D, A39, Movimientos!C:C, "Ajuste", Movimientos!F:F, "G1000")),"")</f>
        <v/>
      </c>
      <c r="G39" s="6" t="str">
        <f aca="false">IFERROR(IF(A39="","",SUMIFS(Movimientos!E:E, Movimientos!D:D, A39, Movimientos!C:C, "Ingreso", Movimientos!G:G, "G710")+SUMIFS(Movimientos!E:E, Movimientos!D:D, A39, Movimientos!C:C, "Traslado", Movimientos!G:G, "G710")-SUMIFS(Movimientos!E:E, Movimientos!D:D, A39, Movimientos!C:C, "Traslado", Movimientos!F:F, "G710")-SUMIFS(Movimientos!E:E, Movimientos!D:D, A39, Movimientos!C:C, "Egreso", Movimientos!F:F, "G710")+SUMIFS(Movimientos!E:E, Movimientos!D:D, A39, Movimientos!C:C, "Ajuste", Movimientos!F:F, "G710")),"")</f>
        <v/>
      </c>
      <c r="H39" s="6" t="str">
        <f aca="false">IFERROR(IF(A39="","",SUMIFS(Movimientos!E:E, Movimientos!D:D, A39, Movimientos!C:C, "Ingreso", Movimientos!G:G, "G5000")+SUMIFS(Movimientos!E:E, Movimientos!D:D, A39, Movimientos!C:C, "Traslado", Movimientos!G:G, "G5000")-SUMIFS(Movimientos!E:E, Movimientos!D:D, A39, Movimientos!C:C, "Traslado", Movimientos!F:F, "G5000")-SUMIFS(Movimientos!E:E, Movimientos!D:D, A39, Movimientos!C:C, "Egreso", Movimientos!F:F, "G5000")+SUMIFS(Movimientos!E:E, Movimientos!D:D, A39, Movimientos!C:C, "Ajuste", Movimientos!F:F, "G5000")),"")</f>
        <v/>
      </c>
      <c r="I39" s="6" t="str">
        <f aca="false">IFERROR(IF(A39="","",SUMIFS(Movimientos!E:E, Movimientos!D:D, A39, Movimientos!C:C, "Ingreso", Movimientos!G:G, "G3")+SUMIFS(Movimientos!E:E, Movimientos!D:D, A39, Movimientos!C:C, "Traslado", Movimientos!G:G, "G3")-SUMIFS(Movimientos!E:E, Movimientos!D:D, A39, Movimientos!C:C, "Traslado", Movimientos!F:F, "G3")-SUMIFS(Movimientos!E:E, Movimientos!D:D, A39, Movimientos!C:C, "Egreso", Movimientos!F:F, "G3")+SUMIFS(Movimientos!E:E, Movimientos!D:D, A39, Movimientos!C:C, "Ajuste", Movimientos!F:F, "G3")),"")</f>
        <v/>
      </c>
      <c r="J39" s="6" t="str">
        <f aca="false">IFERROR(IF(A39="","",SUM(E39:I39)),"")</f>
        <v/>
      </c>
      <c r="K39" s="6" t="str">
        <f aca="false">IFERROR(IF(A39="","",SUMIFS(Movimientos!E:E, Movimientos!D:D, A39, Movimientos!C:C, "Reserva")-SUMIFS(Movimientos!E:E, Movimientos!D:D, A39, Movimientos!C:C, "Libera_Reserva")),"")</f>
        <v/>
      </c>
      <c r="L39" s="6" t="str">
        <f aca="false">IFERROR(IF(A39="","",J39-K39),"")</f>
        <v/>
      </c>
      <c r="M39" s="6" t="str">
        <f aca="false">IFERROR(IF(Productos!A39="","",Productos!G39),"")</f>
        <v/>
      </c>
      <c r="N39" s="6" t="str">
        <f aca="false">IFERROR(IF(A39="","",IF(L39&lt;M39,"BAJO STOCK","OK")),"")</f>
        <v/>
      </c>
    </row>
    <row r="40" customFormat="false" ht="15" hidden="false" customHeight="false" outlineLevel="0" collapsed="false">
      <c r="A40" s="0" t="str">
        <f aca="false">IFERROR(IF(Productos!A40="","",Productos!A40),"")</f>
        <v/>
      </c>
      <c r="B40" s="0" t="str">
        <f aca="false">IFERROR(IF(Productos!A40="","",Productos!B40),"")</f>
        <v/>
      </c>
      <c r="C40" s="0" t="str">
        <f aca="false">IFERROR(IF(Productos!A40="","",Productos!C40),"")</f>
        <v/>
      </c>
      <c r="D40" s="0" t="str">
        <f aca="false">IFERROR(IF(Productos!A40="","",Productos!E40),"")</f>
        <v/>
      </c>
      <c r="E40" s="6" t="str">
        <f aca="false">IFERROR(IF(A40="","",SUMIFS(Movimientos!E:E, Movimientos!D:D, A40, Movimientos!C:C, "Ingreso", Movimientos!G:G, "TIN")+SUMIFS(Movimientos!E:E, Movimientos!D:D, A40, Movimientos!C:C, "Traslado", Movimientos!G:G, "TIN")-SUMIFS(Movimientos!E:E, Movimientos!D:D, A40, Movimientos!C:C, "Traslado", Movimientos!F:F, "TIN")-SUMIFS(Movimientos!E:E, Movimientos!D:D, A40, Movimientos!C:C, "Egreso", Movimientos!F:F, "TIN")+SUMIFS(Movimientos!E:E, Movimientos!D:D, A40, Movimientos!C:C, "Ajuste", Movimientos!F:F, "TIN")),"")</f>
        <v/>
      </c>
      <c r="F40" s="6" t="str">
        <f aca="false">IFERROR(IF(A40="","",SUMIFS(Movimientos!E:E, Movimientos!D:D, A40, Movimientos!C:C, "Ingreso", Movimientos!G:G, "G1000")+SUMIFS(Movimientos!E:E, Movimientos!D:D, A40, Movimientos!C:C, "Traslado", Movimientos!G:G, "G1000")-SUMIFS(Movimientos!E:E, Movimientos!D:D, A40, Movimientos!C:C, "Traslado", Movimientos!F:F, "G1000")-SUMIFS(Movimientos!E:E, Movimientos!D:D, A40, Movimientos!C:C, "Egreso", Movimientos!F:F, "G1000")+SUMIFS(Movimientos!E:E, Movimientos!D:D, A40, Movimientos!C:C, "Ajuste", Movimientos!F:F, "G1000")),"")</f>
        <v/>
      </c>
      <c r="G40" s="6" t="str">
        <f aca="false">IFERROR(IF(A40="","",SUMIFS(Movimientos!E:E, Movimientos!D:D, A40, Movimientos!C:C, "Ingreso", Movimientos!G:G, "G710")+SUMIFS(Movimientos!E:E, Movimientos!D:D, A40, Movimientos!C:C, "Traslado", Movimientos!G:G, "G710")-SUMIFS(Movimientos!E:E, Movimientos!D:D, A40, Movimientos!C:C, "Traslado", Movimientos!F:F, "G710")-SUMIFS(Movimientos!E:E, Movimientos!D:D, A40, Movimientos!C:C, "Egreso", Movimientos!F:F, "G710")+SUMIFS(Movimientos!E:E, Movimientos!D:D, A40, Movimientos!C:C, "Ajuste", Movimientos!F:F, "G710")),"")</f>
        <v/>
      </c>
      <c r="H40" s="6" t="str">
        <f aca="false">IFERROR(IF(A40="","",SUMIFS(Movimientos!E:E, Movimientos!D:D, A40, Movimientos!C:C, "Ingreso", Movimientos!G:G, "G5000")+SUMIFS(Movimientos!E:E, Movimientos!D:D, A40, Movimientos!C:C, "Traslado", Movimientos!G:G, "G5000")-SUMIFS(Movimientos!E:E, Movimientos!D:D, A40, Movimientos!C:C, "Traslado", Movimientos!F:F, "G5000")-SUMIFS(Movimientos!E:E, Movimientos!D:D, A40, Movimientos!C:C, "Egreso", Movimientos!F:F, "G5000")+SUMIFS(Movimientos!E:E, Movimientos!D:D, A40, Movimientos!C:C, "Ajuste", Movimientos!F:F, "G5000")),"")</f>
        <v/>
      </c>
      <c r="I40" s="6" t="str">
        <f aca="false">IFERROR(IF(A40="","",SUMIFS(Movimientos!E:E, Movimientos!D:D, A40, Movimientos!C:C, "Ingreso", Movimientos!G:G, "G3")+SUMIFS(Movimientos!E:E, Movimientos!D:D, A40, Movimientos!C:C, "Traslado", Movimientos!G:G, "G3")-SUMIFS(Movimientos!E:E, Movimientos!D:D, A40, Movimientos!C:C, "Traslado", Movimientos!F:F, "G3")-SUMIFS(Movimientos!E:E, Movimientos!D:D, A40, Movimientos!C:C, "Egreso", Movimientos!F:F, "G3")+SUMIFS(Movimientos!E:E, Movimientos!D:D, A40, Movimientos!C:C, "Ajuste", Movimientos!F:F, "G3")),"")</f>
        <v/>
      </c>
      <c r="J40" s="6" t="str">
        <f aca="false">IFERROR(IF(A40="","",SUM(E40:I40)),"")</f>
        <v/>
      </c>
      <c r="K40" s="6" t="str">
        <f aca="false">IFERROR(IF(A40="","",SUMIFS(Movimientos!E:E, Movimientos!D:D, A40, Movimientos!C:C, "Reserva")-SUMIFS(Movimientos!E:E, Movimientos!D:D, A40, Movimientos!C:C, "Libera_Reserva")),"")</f>
        <v/>
      </c>
      <c r="L40" s="6" t="str">
        <f aca="false">IFERROR(IF(A40="","",J40-K40),"")</f>
        <v/>
      </c>
      <c r="M40" s="6" t="str">
        <f aca="false">IFERROR(IF(Productos!A40="","",Productos!G40),"")</f>
        <v/>
      </c>
      <c r="N40" s="6" t="str">
        <f aca="false">IFERROR(IF(A40="","",IF(L40&lt;M40,"BAJO STOCK","OK")),"")</f>
        <v/>
      </c>
    </row>
    <row r="41" customFormat="false" ht="15" hidden="false" customHeight="false" outlineLevel="0" collapsed="false">
      <c r="A41" s="0" t="str">
        <f aca="false">IFERROR(IF(Productos!A41="","",Productos!A41),"")</f>
        <v/>
      </c>
      <c r="B41" s="0" t="str">
        <f aca="false">IFERROR(IF(Productos!A41="","",Productos!B41),"")</f>
        <v/>
      </c>
      <c r="C41" s="0" t="str">
        <f aca="false">IFERROR(IF(Productos!A41="","",Productos!C41),"")</f>
        <v/>
      </c>
      <c r="D41" s="0" t="str">
        <f aca="false">IFERROR(IF(Productos!A41="","",Productos!E41),"")</f>
        <v/>
      </c>
      <c r="E41" s="6" t="str">
        <f aca="false">IFERROR(IF(A41="","",SUMIFS(Movimientos!E:E, Movimientos!D:D, A41, Movimientos!C:C, "Ingreso", Movimientos!G:G, "TIN")+SUMIFS(Movimientos!E:E, Movimientos!D:D, A41, Movimientos!C:C, "Traslado", Movimientos!G:G, "TIN")-SUMIFS(Movimientos!E:E, Movimientos!D:D, A41, Movimientos!C:C, "Traslado", Movimientos!F:F, "TIN")-SUMIFS(Movimientos!E:E, Movimientos!D:D, A41, Movimientos!C:C, "Egreso", Movimientos!F:F, "TIN")+SUMIFS(Movimientos!E:E, Movimientos!D:D, A41, Movimientos!C:C, "Ajuste", Movimientos!F:F, "TIN")),"")</f>
        <v/>
      </c>
      <c r="F41" s="6" t="str">
        <f aca="false">IFERROR(IF(A41="","",SUMIFS(Movimientos!E:E, Movimientos!D:D, A41, Movimientos!C:C, "Ingreso", Movimientos!G:G, "G1000")+SUMIFS(Movimientos!E:E, Movimientos!D:D, A41, Movimientos!C:C, "Traslado", Movimientos!G:G, "G1000")-SUMIFS(Movimientos!E:E, Movimientos!D:D, A41, Movimientos!C:C, "Traslado", Movimientos!F:F, "G1000")-SUMIFS(Movimientos!E:E, Movimientos!D:D, A41, Movimientos!C:C, "Egreso", Movimientos!F:F, "G1000")+SUMIFS(Movimientos!E:E, Movimientos!D:D, A41, Movimientos!C:C, "Ajuste", Movimientos!F:F, "G1000")),"")</f>
        <v/>
      </c>
      <c r="G41" s="6" t="str">
        <f aca="false">IFERROR(IF(A41="","",SUMIFS(Movimientos!E:E, Movimientos!D:D, A41, Movimientos!C:C, "Ingreso", Movimientos!G:G, "G710")+SUMIFS(Movimientos!E:E, Movimientos!D:D, A41, Movimientos!C:C, "Traslado", Movimientos!G:G, "G710")-SUMIFS(Movimientos!E:E, Movimientos!D:D, A41, Movimientos!C:C, "Traslado", Movimientos!F:F, "G710")-SUMIFS(Movimientos!E:E, Movimientos!D:D, A41, Movimientos!C:C, "Egreso", Movimientos!F:F, "G710")+SUMIFS(Movimientos!E:E, Movimientos!D:D, A41, Movimientos!C:C, "Ajuste", Movimientos!F:F, "G710")),"")</f>
        <v/>
      </c>
      <c r="H41" s="6" t="str">
        <f aca="false">IFERROR(IF(A41="","",SUMIFS(Movimientos!E:E, Movimientos!D:D, A41, Movimientos!C:C, "Ingreso", Movimientos!G:G, "G5000")+SUMIFS(Movimientos!E:E, Movimientos!D:D, A41, Movimientos!C:C, "Traslado", Movimientos!G:G, "G5000")-SUMIFS(Movimientos!E:E, Movimientos!D:D, A41, Movimientos!C:C, "Traslado", Movimientos!F:F, "G5000")-SUMIFS(Movimientos!E:E, Movimientos!D:D, A41, Movimientos!C:C, "Egreso", Movimientos!F:F, "G5000")+SUMIFS(Movimientos!E:E, Movimientos!D:D, A41, Movimientos!C:C, "Ajuste", Movimientos!F:F, "G5000")),"")</f>
        <v/>
      </c>
      <c r="I41" s="6" t="str">
        <f aca="false">IFERROR(IF(A41="","",SUMIFS(Movimientos!E:E, Movimientos!D:D, A41, Movimientos!C:C, "Ingreso", Movimientos!G:G, "G3")+SUMIFS(Movimientos!E:E, Movimientos!D:D, A41, Movimientos!C:C, "Traslado", Movimientos!G:G, "G3")-SUMIFS(Movimientos!E:E, Movimientos!D:D, A41, Movimientos!C:C, "Traslado", Movimientos!F:F, "G3")-SUMIFS(Movimientos!E:E, Movimientos!D:D, A41, Movimientos!C:C, "Egreso", Movimientos!F:F, "G3")+SUMIFS(Movimientos!E:E, Movimientos!D:D, A41, Movimientos!C:C, "Ajuste", Movimientos!F:F, "G3")),"")</f>
        <v/>
      </c>
      <c r="J41" s="6" t="str">
        <f aca="false">IFERROR(IF(A41="","",SUM(E41:I41)),"")</f>
        <v/>
      </c>
      <c r="K41" s="6" t="str">
        <f aca="false">IFERROR(IF(A41="","",SUMIFS(Movimientos!E:E, Movimientos!D:D, A41, Movimientos!C:C, "Reserva")-SUMIFS(Movimientos!E:E, Movimientos!D:D, A41, Movimientos!C:C, "Libera_Reserva")),"")</f>
        <v/>
      </c>
      <c r="L41" s="6" t="str">
        <f aca="false">IFERROR(IF(A41="","",J41-K41),"")</f>
        <v/>
      </c>
      <c r="M41" s="6" t="str">
        <f aca="false">IFERROR(IF(Productos!A41="","",Productos!G41),"")</f>
        <v/>
      </c>
      <c r="N41" s="6" t="str">
        <f aca="false">IFERROR(IF(A41="","",IF(L41&lt;M41,"BAJO STOCK","OK")),"")</f>
        <v/>
      </c>
    </row>
    <row r="42" customFormat="false" ht="15" hidden="false" customHeight="false" outlineLevel="0" collapsed="false">
      <c r="A42" s="0" t="str">
        <f aca="false">IFERROR(IF(Productos!A42="","",Productos!A42),"")</f>
        <v/>
      </c>
      <c r="B42" s="0" t="str">
        <f aca="false">IFERROR(IF(Productos!A42="","",Productos!B42),"")</f>
        <v/>
      </c>
      <c r="C42" s="0" t="str">
        <f aca="false">IFERROR(IF(Productos!A42="","",Productos!C42),"")</f>
        <v/>
      </c>
      <c r="D42" s="0" t="str">
        <f aca="false">IFERROR(IF(Productos!A42="","",Productos!E42),"")</f>
        <v/>
      </c>
      <c r="E42" s="6" t="str">
        <f aca="false">IFERROR(IF(A42="","",SUMIFS(Movimientos!E:E, Movimientos!D:D, A42, Movimientos!C:C, "Ingreso", Movimientos!G:G, "TIN")+SUMIFS(Movimientos!E:E, Movimientos!D:D, A42, Movimientos!C:C, "Traslado", Movimientos!G:G, "TIN")-SUMIFS(Movimientos!E:E, Movimientos!D:D, A42, Movimientos!C:C, "Traslado", Movimientos!F:F, "TIN")-SUMIFS(Movimientos!E:E, Movimientos!D:D, A42, Movimientos!C:C, "Egreso", Movimientos!F:F, "TIN")+SUMIFS(Movimientos!E:E, Movimientos!D:D, A42, Movimientos!C:C, "Ajuste", Movimientos!F:F, "TIN")),"")</f>
        <v/>
      </c>
      <c r="F42" s="6" t="str">
        <f aca="false">IFERROR(IF(A42="","",SUMIFS(Movimientos!E:E, Movimientos!D:D, A42, Movimientos!C:C, "Ingreso", Movimientos!G:G, "G1000")+SUMIFS(Movimientos!E:E, Movimientos!D:D, A42, Movimientos!C:C, "Traslado", Movimientos!G:G, "G1000")-SUMIFS(Movimientos!E:E, Movimientos!D:D, A42, Movimientos!C:C, "Traslado", Movimientos!F:F, "G1000")-SUMIFS(Movimientos!E:E, Movimientos!D:D, A42, Movimientos!C:C, "Egreso", Movimientos!F:F, "G1000")+SUMIFS(Movimientos!E:E, Movimientos!D:D, A42, Movimientos!C:C, "Ajuste", Movimientos!F:F, "G1000")),"")</f>
        <v/>
      </c>
      <c r="G42" s="6" t="str">
        <f aca="false">IFERROR(IF(A42="","",SUMIFS(Movimientos!E:E, Movimientos!D:D, A42, Movimientos!C:C, "Ingreso", Movimientos!G:G, "G710")+SUMIFS(Movimientos!E:E, Movimientos!D:D, A42, Movimientos!C:C, "Traslado", Movimientos!G:G, "G710")-SUMIFS(Movimientos!E:E, Movimientos!D:D, A42, Movimientos!C:C, "Traslado", Movimientos!F:F, "G710")-SUMIFS(Movimientos!E:E, Movimientos!D:D, A42, Movimientos!C:C, "Egreso", Movimientos!F:F, "G710")+SUMIFS(Movimientos!E:E, Movimientos!D:D, A42, Movimientos!C:C, "Ajuste", Movimientos!F:F, "G710")),"")</f>
        <v/>
      </c>
      <c r="H42" s="6" t="str">
        <f aca="false">IFERROR(IF(A42="","",SUMIFS(Movimientos!E:E, Movimientos!D:D, A42, Movimientos!C:C, "Ingreso", Movimientos!G:G, "G5000")+SUMIFS(Movimientos!E:E, Movimientos!D:D, A42, Movimientos!C:C, "Traslado", Movimientos!G:G, "G5000")-SUMIFS(Movimientos!E:E, Movimientos!D:D, A42, Movimientos!C:C, "Traslado", Movimientos!F:F, "G5000")-SUMIFS(Movimientos!E:E, Movimientos!D:D, A42, Movimientos!C:C, "Egreso", Movimientos!F:F, "G5000")+SUMIFS(Movimientos!E:E, Movimientos!D:D, A42, Movimientos!C:C, "Ajuste", Movimientos!F:F, "G5000")),"")</f>
        <v/>
      </c>
      <c r="I42" s="6" t="str">
        <f aca="false">IFERROR(IF(A42="","",SUMIFS(Movimientos!E:E, Movimientos!D:D, A42, Movimientos!C:C, "Ingreso", Movimientos!G:G, "G3")+SUMIFS(Movimientos!E:E, Movimientos!D:D, A42, Movimientos!C:C, "Traslado", Movimientos!G:G, "G3")-SUMIFS(Movimientos!E:E, Movimientos!D:D, A42, Movimientos!C:C, "Traslado", Movimientos!F:F, "G3")-SUMIFS(Movimientos!E:E, Movimientos!D:D, A42, Movimientos!C:C, "Egreso", Movimientos!F:F, "G3")+SUMIFS(Movimientos!E:E, Movimientos!D:D, A42, Movimientos!C:C, "Ajuste", Movimientos!F:F, "G3")),"")</f>
        <v/>
      </c>
      <c r="J42" s="6" t="str">
        <f aca="false">IFERROR(IF(A42="","",SUM(E42:I42)),"")</f>
        <v/>
      </c>
      <c r="K42" s="6" t="str">
        <f aca="false">IFERROR(IF(A42="","",SUMIFS(Movimientos!E:E, Movimientos!D:D, A42, Movimientos!C:C, "Reserva")-SUMIFS(Movimientos!E:E, Movimientos!D:D, A42, Movimientos!C:C, "Libera_Reserva")),"")</f>
        <v/>
      </c>
      <c r="L42" s="6" t="str">
        <f aca="false">IFERROR(IF(A42="","",J42-K42),"")</f>
        <v/>
      </c>
      <c r="M42" s="6" t="str">
        <f aca="false">IFERROR(IF(Productos!A42="","",Productos!G42),"")</f>
        <v/>
      </c>
      <c r="N42" s="6" t="str">
        <f aca="false">IFERROR(IF(A42="","",IF(L42&lt;M42,"BAJO STOCK","OK")),"")</f>
        <v/>
      </c>
    </row>
    <row r="43" customFormat="false" ht="15" hidden="false" customHeight="false" outlineLevel="0" collapsed="false">
      <c r="A43" s="0" t="str">
        <f aca="false">IFERROR(IF(Productos!A43="","",Productos!A43),"")</f>
        <v/>
      </c>
      <c r="B43" s="0" t="str">
        <f aca="false">IFERROR(IF(Productos!A43="","",Productos!B43),"")</f>
        <v/>
      </c>
      <c r="C43" s="0" t="str">
        <f aca="false">IFERROR(IF(Productos!A43="","",Productos!C43),"")</f>
        <v/>
      </c>
      <c r="D43" s="0" t="str">
        <f aca="false">IFERROR(IF(Productos!A43="","",Productos!E43),"")</f>
        <v/>
      </c>
      <c r="E43" s="6" t="str">
        <f aca="false">IFERROR(IF(A43="","",SUMIFS(Movimientos!E:E, Movimientos!D:D, A43, Movimientos!C:C, "Ingreso", Movimientos!G:G, "TIN")+SUMIFS(Movimientos!E:E, Movimientos!D:D, A43, Movimientos!C:C, "Traslado", Movimientos!G:G, "TIN")-SUMIFS(Movimientos!E:E, Movimientos!D:D, A43, Movimientos!C:C, "Traslado", Movimientos!F:F, "TIN")-SUMIFS(Movimientos!E:E, Movimientos!D:D, A43, Movimientos!C:C, "Egreso", Movimientos!F:F, "TIN")+SUMIFS(Movimientos!E:E, Movimientos!D:D, A43, Movimientos!C:C, "Ajuste", Movimientos!F:F, "TIN")),"")</f>
        <v/>
      </c>
      <c r="F43" s="6" t="str">
        <f aca="false">IFERROR(IF(A43="","",SUMIFS(Movimientos!E:E, Movimientos!D:D, A43, Movimientos!C:C, "Ingreso", Movimientos!G:G, "G1000")+SUMIFS(Movimientos!E:E, Movimientos!D:D, A43, Movimientos!C:C, "Traslado", Movimientos!G:G, "G1000")-SUMIFS(Movimientos!E:E, Movimientos!D:D, A43, Movimientos!C:C, "Traslado", Movimientos!F:F, "G1000")-SUMIFS(Movimientos!E:E, Movimientos!D:D, A43, Movimientos!C:C, "Egreso", Movimientos!F:F, "G1000")+SUMIFS(Movimientos!E:E, Movimientos!D:D, A43, Movimientos!C:C, "Ajuste", Movimientos!F:F, "G1000")),"")</f>
        <v/>
      </c>
      <c r="G43" s="6" t="str">
        <f aca="false">IFERROR(IF(A43="","",SUMIFS(Movimientos!E:E, Movimientos!D:D, A43, Movimientos!C:C, "Ingreso", Movimientos!G:G, "G710")+SUMIFS(Movimientos!E:E, Movimientos!D:D, A43, Movimientos!C:C, "Traslado", Movimientos!G:G, "G710")-SUMIFS(Movimientos!E:E, Movimientos!D:D, A43, Movimientos!C:C, "Traslado", Movimientos!F:F, "G710")-SUMIFS(Movimientos!E:E, Movimientos!D:D, A43, Movimientos!C:C, "Egreso", Movimientos!F:F, "G710")+SUMIFS(Movimientos!E:E, Movimientos!D:D, A43, Movimientos!C:C, "Ajuste", Movimientos!F:F, "G710")),"")</f>
        <v/>
      </c>
      <c r="H43" s="6" t="str">
        <f aca="false">IFERROR(IF(A43="","",SUMIFS(Movimientos!E:E, Movimientos!D:D, A43, Movimientos!C:C, "Ingreso", Movimientos!G:G, "G5000")+SUMIFS(Movimientos!E:E, Movimientos!D:D, A43, Movimientos!C:C, "Traslado", Movimientos!G:G, "G5000")-SUMIFS(Movimientos!E:E, Movimientos!D:D, A43, Movimientos!C:C, "Traslado", Movimientos!F:F, "G5000")-SUMIFS(Movimientos!E:E, Movimientos!D:D, A43, Movimientos!C:C, "Egreso", Movimientos!F:F, "G5000")+SUMIFS(Movimientos!E:E, Movimientos!D:D, A43, Movimientos!C:C, "Ajuste", Movimientos!F:F, "G5000")),"")</f>
        <v/>
      </c>
      <c r="I43" s="6" t="str">
        <f aca="false">IFERROR(IF(A43="","",SUMIFS(Movimientos!E:E, Movimientos!D:D, A43, Movimientos!C:C, "Ingreso", Movimientos!G:G, "G3")+SUMIFS(Movimientos!E:E, Movimientos!D:D, A43, Movimientos!C:C, "Traslado", Movimientos!G:G, "G3")-SUMIFS(Movimientos!E:E, Movimientos!D:D, A43, Movimientos!C:C, "Traslado", Movimientos!F:F, "G3")-SUMIFS(Movimientos!E:E, Movimientos!D:D, A43, Movimientos!C:C, "Egreso", Movimientos!F:F, "G3")+SUMIFS(Movimientos!E:E, Movimientos!D:D, A43, Movimientos!C:C, "Ajuste", Movimientos!F:F, "G3")),"")</f>
        <v/>
      </c>
      <c r="J43" s="6" t="str">
        <f aca="false">IFERROR(IF(A43="","",SUM(E43:I43)),"")</f>
        <v/>
      </c>
      <c r="K43" s="6" t="str">
        <f aca="false">IFERROR(IF(A43="","",SUMIFS(Movimientos!E:E, Movimientos!D:D, A43, Movimientos!C:C, "Reserva")-SUMIFS(Movimientos!E:E, Movimientos!D:D, A43, Movimientos!C:C, "Libera_Reserva")),"")</f>
        <v/>
      </c>
      <c r="L43" s="6" t="str">
        <f aca="false">IFERROR(IF(A43="","",J43-K43),"")</f>
        <v/>
      </c>
      <c r="M43" s="6" t="str">
        <f aca="false">IFERROR(IF(Productos!A43="","",Productos!G43),"")</f>
        <v/>
      </c>
      <c r="N43" s="6" t="str">
        <f aca="false">IFERROR(IF(A43="","",IF(L43&lt;M43,"BAJO STOCK","OK")),"")</f>
        <v/>
      </c>
    </row>
    <row r="44" customFormat="false" ht="15" hidden="false" customHeight="false" outlineLevel="0" collapsed="false">
      <c r="A44" s="0" t="str">
        <f aca="false">IFERROR(IF(Productos!A44="","",Productos!A44),"")</f>
        <v/>
      </c>
      <c r="B44" s="0" t="str">
        <f aca="false">IFERROR(IF(Productos!A44="","",Productos!B44),"")</f>
        <v/>
      </c>
      <c r="C44" s="0" t="str">
        <f aca="false">IFERROR(IF(Productos!A44="","",Productos!C44),"")</f>
        <v/>
      </c>
      <c r="D44" s="0" t="str">
        <f aca="false">IFERROR(IF(Productos!A44="","",Productos!E44),"")</f>
        <v/>
      </c>
      <c r="E44" s="6" t="str">
        <f aca="false">IFERROR(IF(A44="","",SUMIFS(Movimientos!E:E, Movimientos!D:D, A44, Movimientos!C:C, "Ingreso", Movimientos!G:G, "TIN")+SUMIFS(Movimientos!E:E, Movimientos!D:D, A44, Movimientos!C:C, "Traslado", Movimientos!G:G, "TIN")-SUMIFS(Movimientos!E:E, Movimientos!D:D, A44, Movimientos!C:C, "Traslado", Movimientos!F:F, "TIN")-SUMIFS(Movimientos!E:E, Movimientos!D:D, A44, Movimientos!C:C, "Egreso", Movimientos!F:F, "TIN")+SUMIFS(Movimientos!E:E, Movimientos!D:D, A44, Movimientos!C:C, "Ajuste", Movimientos!F:F, "TIN")),"")</f>
        <v/>
      </c>
      <c r="F44" s="6" t="str">
        <f aca="false">IFERROR(IF(A44="","",SUMIFS(Movimientos!E:E, Movimientos!D:D, A44, Movimientos!C:C, "Ingreso", Movimientos!G:G, "G1000")+SUMIFS(Movimientos!E:E, Movimientos!D:D, A44, Movimientos!C:C, "Traslado", Movimientos!G:G, "G1000")-SUMIFS(Movimientos!E:E, Movimientos!D:D, A44, Movimientos!C:C, "Traslado", Movimientos!F:F, "G1000")-SUMIFS(Movimientos!E:E, Movimientos!D:D, A44, Movimientos!C:C, "Egreso", Movimientos!F:F, "G1000")+SUMIFS(Movimientos!E:E, Movimientos!D:D, A44, Movimientos!C:C, "Ajuste", Movimientos!F:F, "G1000")),"")</f>
        <v/>
      </c>
      <c r="G44" s="6" t="str">
        <f aca="false">IFERROR(IF(A44="","",SUMIFS(Movimientos!E:E, Movimientos!D:D, A44, Movimientos!C:C, "Ingreso", Movimientos!G:G, "G710")+SUMIFS(Movimientos!E:E, Movimientos!D:D, A44, Movimientos!C:C, "Traslado", Movimientos!G:G, "G710")-SUMIFS(Movimientos!E:E, Movimientos!D:D, A44, Movimientos!C:C, "Traslado", Movimientos!F:F, "G710")-SUMIFS(Movimientos!E:E, Movimientos!D:D, A44, Movimientos!C:C, "Egreso", Movimientos!F:F, "G710")+SUMIFS(Movimientos!E:E, Movimientos!D:D, A44, Movimientos!C:C, "Ajuste", Movimientos!F:F, "G710")),"")</f>
        <v/>
      </c>
      <c r="H44" s="6" t="str">
        <f aca="false">IFERROR(IF(A44="","",SUMIFS(Movimientos!E:E, Movimientos!D:D, A44, Movimientos!C:C, "Ingreso", Movimientos!G:G, "G5000")+SUMIFS(Movimientos!E:E, Movimientos!D:D, A44, Movimientos!C:C, "Traslado", Movimientos!G:G, "G5000")-SUMIFS(Movimientos!E:E, Movimientos!D:D, A44, Movimientos!C:C, "Traslado", Movimientos!F:F, "G5000")-SUMIFS(Movimientos!E:E, Movimientos!D:D, A44, Movimientos!C:C, "Egreso", Movimientos!F:F, "G5000")+SUMIFS(Movimientos!E:E, Movimientos!D:D, A44, Movimientos!C:C, "Ajuste", Movimientos!F:F, "G5000")),"")</f>
        <v/>
      </c>
      <c r="I44" s="6" t="str">
        <f aca="false">IFERROR(IF(A44="","",SUMIFS(Movimientos!E:E, Movimientos!D:D, A44, Movimientos!C:C, "Ingreso", Movimientos!G:G, "G3")+SUMIFS(Movimientos!E:E, Movimientos!D:D, A44, Movimientos!C:C, "Traslado", Movimientos!G:G, "G3")-SUMIFS(Movimientos!E:E, Movimientos!D:D, A44, Movimientos!C:C, "Traslado", Movimientos!F:F, "G3")-SUMIFS(Movimientos!E:E, Movimientos!D:D, A44, Movimientos!C:C, "Egreso", Movimientos!F:F, "G3")+SUMIFS(Movimientos!E:E, Movimientos!D:D, A44, Movimientos!C:C, "Ajuste", Movimientos!F:F, "G3")),"")</f>
        <v/>
      </c>
      <c r="J44" s="6" t="str">
        <f aca="false">IFERROR(IF(A44="","",SUM(E44:I44)),"")</f>
        <v/>
      </c>
      <c r="K44" s="6" t="str">
        <f aca="false">IFERROR(IF(A44="","",SUMIFS(Movimientos!E:E, Movimientos!D:D, A44, Movimientos!C:C, "Reserva")-SUMIFS(Movimientos!E:E, Movimientos!D:D, A44, Movimientos!C:C, "Libera_Reserva")),"")</f>
        <v/>
      </c>
      <c r="L44" s="6" t="str">
        <f aca="false">IFERROR(IF(A44="","",J44-K44),"")</f>
        <v/>
      </c>
      <c r="M44" s="6" t="str">
        <f aca="false">IFERROR(IF(Productos!A44="","",Productos!G44),"")</f>
        <v/>
      </c>
      <c r="N44" s="6" t="str">
        <f aca="false">IFERROR(IF(A44="","",IF(L44&lt;M44,"BAJO STOCK","OK")),"")</f>
        <v/>
      </c>
    </row>
    <row r="45" customFormat="false" ht="15" hidden="false" customHeight="false" outlineLevel="0" collapsed="false">
      <c r="A45" s="0" t="str">
        <f aca="false">IFERROR(IF(Productos!A45="","",Productos!A45),"")</f>
        <v/>
      </c>
      <c r="B45" s="0" t="str">
        <f aca="false">IFERROR(IF(Productos!A45="","",Productos!B45),"")</f>
        <v/>
      </c>
      <c r="C45" s="0" t="str">
        <f aca="false">IFERROR(IF(Productos!A45="","",Productos!C45),"")</f>
        <v/>
      </c>
      <c r="D45" s="0" t="str">
        <f aca="false">IFERROR(IF(Productos!A45="","",Productos!E45),"")</f>
        <v/>
      </c>
      <c r="E45" s="6" t="str">
        <f aca="false">IFERROR(IF(A45="","",SUMIFS(Movimientos!E:E, Movimientos!D:D, A45, Movimientos!C:C, "Ingreso", Movimientos!G:G, "TIN")+SUMIFS(Movimientos!E:E, Movimientos!D:D, A45, Movimientos!C:C, "Traslado", Movimientos!G:G, "TIN")-SUMIFS(Movimientos!E:E, Movimientos!D:D, A45, Movimientos!C:C, "Traslado", Movimientos!F:F, "TIN")-SUMIFS(Movimientos!E:E, Movimientos!D:D, A45, Movimientos!C:C, "Egreso", Movimientos!F:F, "TIN")+SUMIFS(Movimientos!E:E, Movimientos!D:D, A45, Movimientos!C:C, "Ajuste", Movimientos!F:F, "TIN")),"")</f>
        <v/>
      </c>
      <c r="F45" s="6" t="str">
        <f aca="false">IFERROR(IF(A45="","",SUMIFS(Movimientos!E:E, Movimientos!D:D, A45, Movimientos!C:C, "Ingreso", Movimientos!G:G, "G1000")+SUMIFS(Movimientos!E:E, Movimientos!D:D, A45, Movimientos!C:C, "Traslado", Movimientos!G:G, "G1000")-SUMIFS(Movimientos!E:E, Movimientos!D:D, A45, Movimientos!C:C, "Traslado", Movimientos!F:F, "G1000")-SUMIFS(Movimientos!E:E, Movimientos!D:D, A45, Movimientos!C:C, "Egreso", Movimientos!F:F, "G1000")+SUMIFS(Movimientos!E:E, Movimientos!D:D, A45, Movimientos!C:C, "Ajuste", Movimientos!F:F, "G1000")),"")</f>
        <v/>
      </c>
      <c r="G45" s="6" t="str">
        <f aca="false">IFERROR(IF(A45="","",SUMIFS(Movimientos!E:E, Movimientos!D:D, A45, Movimientos!C:C, "Ingreso", Movimientos!G:G, "G710")+SUMIFS(Movimientos!E:E, Movimientos!D:D, A45, Movimientos!C:C, "Traslado", Movimientos!G:G, "G710")-SUMIFS(Movimientos!E:E, Movimientos!D:D, A45, Movimientos!C:C, "Traslado", Movimientos!F:F, "G710")-SUMIFS(Movimientos!E:E, Movimientos!D:D, A45, Movimientos!C:C, "Egreso", Movimientos!F:F, "G710")+SUMIFS(Movimientos!E:E, Movimientos!D:D, A45, Movimientos!C:C, "Ajuste", Movimientos!F:F, "G710")),"")</f>
        <v/>
      </c>
      <c r="H45" s="6" t="str">
        <f aca="false">IFERROR(IF(A45="","",SUMIFS(Movimientos!E:E, Movimientos!D:D, A45, Movimientos!C:C, "Ingreso", Movimientos!G:G, "G5000")+SUMIFS(Movimientos!E:E, Movimientos!D:D, A45, Movimientos!C:C, "Traslado", Movimientos!G:G, "G5000")-SUMIFS(Movimientos!E:E, Movimientos!D:D, A45, Movimientos!C:C, "Traslado", Movimientos!F:F, "G5000")-SUMIFS(Movimientos!E:E, Movimientos!D:D, A45, Movimientos!C:C, "Egreso", Movimientos!F:F, "G5000")+SUMIFS(Movimientos!E:E, Movimientos!D:D, A45, Movimientos!C:C, "Ajuste", Movimientos!F:F, "G5000")),"")</f>
        <v/>
      </c>
      <c r="I45" s="6" t="str">
        <f aca="false">IFERROR(IF(A45="","",SUMIFS(Movimientos!E:E, Movimientos!D:D, A45, Movimientos!C:C, "Ingreso", Movimientos!G:G, "G3")+SUMIFS(Movimientos!E:E, Movimientos!D:D, A45, Movimientos!C:C, "Traslado", Movimientos!G:G, "G3")-SUMIFS(Movimientos!E:E, Movimientos!D:D, A45, Movimientos!C:C, "Traslado", Movimientos!F:F, "G3")-SUMIFS(Movimientos!E:E, Movimientos!D:D, A45, Movimientos!C:C, "Egreso", Movimientos!F:F, "G3")+SUMIFS(Movimientos!E:E, Movimientos!D:D, A45, Movimientos!C:C, "Ajuste", Movimientos!F:F, "G3")),"")</f>
        <v/>
      </c>
      <c r="J45" s="6" t="str">
        <f aca="false">IFERROR(IF(A45="","",SUM(E45:I45)),"")</f>
        <v/>
      </c>
      <c r="K45" s="6" t="str">
        <f aca="false">IFERROR(IF(A45="","",SUMIFS(Movimientos!E:E, Movimientos!D:D, A45, Movimientos!C:C, "Reserva")-SUMIFS(Movimientos!E:E, Movimientos!D:D, A45, Movimientos!C:C, "Libera_Reserva")),"")</f>
        <v/>
      </c>
      <c r="L45" s="6" t="str">
        <f aca="false">IFERROR(IF(A45="","",J45-K45),"")</f>
        <v/>
      </c>
      <c r="M45" s="6" t="str">
        <f aca="false">IFERROR(IF(Productos!A45="","",Productos!G45),"")</f>
        <v/>
      </c>
      <c r="N45" s="6" t="str">
        <f aca="false">IFERROR(IF(A45="","",IF(L45&lt;M45,"BAJO STOCK","OK")),"")</f>
        <v/>
      </c>
    </row>
    <row r="46" customFormat="false" ht="15" hidden="false" customHeight="false" outlineLevel="0" collapsed="false">
      <c r="A46" s="0" t="str">
        <f aca="false">IFERROR(IF(Productos!A46="","",Productos!A46),"")</f>
        <v/>
      </c>
      <c r="B46" s="0" t="str">
        <f aca="false">IFERROR(IF(Productos!A46="","",Productos!B46),"")</f>
        <v/>
      </c>
      <c r="C46" s="0" t="str">
        <f aca="false">IFERROR(IF(Productos!A46="","",Productos!C46),"")</f>
        <v/>
      </c>
      <c r="D46" s="0" t="str">
        <f aca="false">IFERROR(IF(Productos!A46="","",Productos!E46),"")</f>
        <v/>
      </c>
      <c r="E46" s="6" t="str">
        <f aca="false">IFERROR(IF(A46="","",SUMIFS(Movimientos!E:E, Movimientos!D:D, A46, Movimientos!C:C, "Ingreso", Movimientos!G:G, "TIN")+SUMIFS(Movimientos!E:E, Movimientos!D:D, A46, Movimientos!C:C, "Traslado", Movimientos!G:G, "TIN")-SUMIFS(Movimientos!E:E, Movimientos!D:D, A46, Movimientos!C:C, "Traslado", Movimientos!F:F, "TIN")-SUMIFS(Movimientos!E:E, Movimientos!D:D, A46, Movimientos!C:C, "Egreso", Movimientos!F:F, "TIN")+SUMIFS(Movimientos!E:E, Movimientos!D:D, A46, Movimientos!C:C, "Ajuste", Movimientos!F:F, "TIN")),"")</f>
        <v/>
      </c>
      <c r="F46" s="6" t="str">
        <f aca="false">IFERROR(IF(A46="","",SUMIFS(Movimientos!E:E, Movimientos!D:D, A46, Movimientos!C:C, "Ingreso", Movimientos!G:G, "G1000")+SUMIFS(Movimientos!E:E, Movimientos!D:D, A46, Movimientos!C:C, "Traslado", Movimientos!G:G, "G1000")-SUMIFS(Movimientos!E:E, Movimientos!D:D, A46, Movimientos!C:C, "Traslado", Movimientos!F:F, "G1000")-SUMIFS(Movimientos!E:E, Movimientos!D:D, A46, Movimientos!C:C, "Egreso", Movimientos!F:F, "G1000")+SUMIFS(Movimientos!E:E, Movimientos!D:D, A46, Movimientos!C:C, "Ajuste", Movimientos!F:F, "G1000")),"")</f>
        <v/>
      </c>
      <c r="G46" s="6" t="str">
        <f aca="false">IFERROR(IF(A46="","",SUMIFS(Movimientos!E:E, Movimientos!D:D, A46, Movimientos!C:C, "Ingreso", Movimientos!G:G, "G710")+SUMIFS(Movimientos!E:E, Movimientos!D:D, A46, Movimientos!C:C, "Traslado", Movimientos!G:G, "G710")-SUMIFS(Movimientos!E:E, Movimientos!D:D, A46, Movimientos!C:C, "Traslado", Movimientos!F:F, "G710")-SUMIFS(Movimientos!E:E, Movimientos!D:D, A46, Movimientos!C:C, "Egreso", Movimientos!F:F, "G710")+SUMIFS(Movimientos!E:E, Movimientos!D:D, A46, Movimientos!C:C, "Ajuste", Movimientos!F:F, "G710")),"")</f>
        <v/>
      </c>
      <c r="H46" s="6" t="str">
        <f aca="false">IFERROR(IF(A46="","",SUMIFS(Movimientos!E:E, Movimientos!D:D, A46, Movimientos!C:C, "Ingreso", Movimientos!G:G, "G5000")+SUMIFS(Movimientos!E:E, Movimientos!D:D, A46, Movimientos!C:C, "Traslado", Movimientos!G:G, "G5000")-SUMIFS(Movimientos!E:E, Movimientos!D:D, A46, Movimientos!C:C, "Traslado", Movimientos!F:F, "G5000")-SUMIFS(Movimientos!E:E, Movimientos!D:D, A46, Movimientos!C:C, "Egreso", Movimientos!F:F, "G5000")+SUMIFS(Movimientos!E:E, Movimientos!D:D, A46, Movimientos!C:C, "Ajuste", Movimientos!F:F, "G5000")),"")</f>
        <v/>
      </c>
      <c r="I46" s="6" t="str">
        <f aca="false">IFERROR(IF(A46="","",SUMIFS(Movimientos!E:E, Movimientos!D:D, A46, Movimientos!C:C, "Ingreso", Movimientos!G:G, "G3")+SUMIFS(Movimientos!E:E, Movimientos!D:D, A46, Movimientos!C:C, "Traslado", Movimientos!G:G, "G3")-SUMIFS(Movimientos!E:E, Movimientos!D:D, A46, Movimientos!C:C, "Traslado", Movimientos!F:F, "G3")-SUMIFS(Movimientos!E:E, Movimientos!D:D, A46, Movimientos!C:C, "Egreso", Movimientos!F:F, "G3")+SUMIFS(Movimientos!E:E, Movimientos!D:D, A46, Movimientos!C:C, "Ajuste", Movimientos!F:F, "G3")),"")</f>
        <v/>
      </c>
      <c r="J46" s="6" t="str">
        <f aca="false">IFERROR(IF(A46="","",SUM(E46:I46)),"")</f>
        <v/>
      </c>
      <c r="K46" s="6" t="str">
        <f aca="false">IFERROR(IF(A46="","",SUMIFS(Movimientos!E:E, Movimientos!D:D, A46, Movimientos!C:C, "Reserva")-SUMIFS(Movimientos!E:E, Movimientos!D:D, A46, Movimientos!C:C, "Libera_Reserva")),"")</f>
        <v/>
      </c>
      <c r="L46" s="6" t="str">
        <f aca="false">IFERROR(IF(A46="","",J46-K46),"")</f>
        <v/>
      </c>
      <c r="M46" s="6" t="str">
        <f aca="false">IFERROR(IF(Productos!A46="","",Productos!G46),"")</f>
        <v/>
      </c>
      <c r="N46" s="6" t="str">
        <f aca="false">IFERROR(IF(A46="","",IF(L46&lt;M46,"BAJO STOCK","OK")),"")</f>
        <v/>
      </c>
    </row>
    <row r="47" customFormat="false" ht="15" hidden="false" customHeight="false" outlineLevel="0" collapsed="false">
      <c r="A47" s="0" t="str">
        <f aca="false">IFERROR(IF(Productos!A47="","",Productos!A47),"")</f>
        <v/>
      </c>
      <c r="B47" s="0" t="str">
        <f aca="false">IFERROR(IF(Productos!A47="","",Productos!B47),"")</f>
        <v/>
      </c>
      <c r="C47" s="0" t="str">
        <f aca="false">IFERROR(IF(Productos!A47="","",Productos!C47),"")</f>
        <v/>
      </c>
      <c r="D47" s="0" t="str">
        <f aca="false">IFERROR(IF(Productos!A47="","",Productos!E47),"")</f>
        <v/>
      </c>
      <c r="E47" s="6" t="str">
        <f aca="false">IFERROR(IF(A47="","",SUMIFS(Movimientos!E:E, Movimientos!D:D, A47, Movimientos!C:C, "Ingreso", Movimientos!G:G, "TIN")+SUMIFS(Movimientos!E:E, Movimientos!D:D, A47, Movimientos!C:C, "Traslado", Movimientos!G:G, "TIN")-SUMIFS(Movimientos!E:E, Movimientos!D:D, A47, Movimientos!C:C, "Traslado", Movimientos!F:F, "TIN")-SUMIFS(Movimientos!E:E, Movimientos!D:D, A47, Movimientos!C:C, "Egreso", Movimientos!F:F, "TIN")+SUMIFS(Movimientos!E:E, Movimientos!D:D, A47, Movimientos!C:C, "Ajuste", Movimientos!F:F, "TIN")),"")</f>
        <v/>
      </c>
      <c r="F47" s="6" t="str">
        <f aca="false">IFERROR(IF(A47="","",SUMIFS(Movimientos!E:E, Movimientos!D:D, A47, Movimientos!C:C, "Ingreso", Movimientos!G:G, "G1000")+SUMIFS(Movimientos!E:E, Movimientos!D:D, A47, Movimientos!C:C, "Traslado", Movimientos!G:G, "G1000")-SUMIFS(Movimientos!E:E, Movimientos!D:D, A47, Movimientos!C:C, "Traslado", Movimientos!F:F, "G1000")-SUMIFS(Movimientos!E:E, Movimientos!D:D, A47, Movimientos!C:C, "Egreso", Movimientos!F:F, "G1000")+SUMIFS(Movimientos!E:E, Movimientos!D:D, A47, Movimientos!C:C, "Ajuste", Movimientos!F:F, "G1000")),"")</f>
        <v/>
      </c>
      <c r="G47" s="6" t="str">
        <f aca="false">IFERROR(IF(A47="","",SUMIFS(Movimientos!E:E, Movimientos!D:D, A47, Movimientos!C:C, "Ingreso", Movimientos!G:G, "G710")+SUMIFS(Movimientos!E:E, Movimientos!D:D, A47, Movimientos!C:C, "Traslado", Movimientos!G:G, "G710")-SUMIFS(Movimientos!E:E, Movimientos!D:D, A47, Movimientos!C:C, "Traslado", Movimientos!F:F, "G710")-SUMIFS(Movimientos!E:E, Movimientos!D:D, A47, Movimientos!C:C, "Egreso", Movimientos!F:F, "G710")+SUMIFS(Movimientos!E:E, Movimientos!D:D, A47, Movimientos!C:C, "Ajuste", Movimientos!F:F, "G710")),"")</f>
        <v/>
      </c>
      <c r="H47" s="6" t="str">
        <f aca="false">IFERROR(IF(A47="","",SUMIFS(Movimientos!E:E, Movimientos!D:D, A47, Movimientos!C:C, "Ingreso", Movimientos!G:G, "G5000")+SUMIFS(Movimientos!E:E, Movimientos!D:D, A47, Movimientos!C:C, "Traslado", Movimientos!G:G, "G5000")-SUMIFS(Movimientos!E:E, Movimientos!D:D, A47, Movimientos!C:C, "Traslado", Movimientos!F:F, "G5000")-SUMIFS(Movimientos!E:E, Movimientos!D:D, A47, Movimientos!C:C, "Egreso", Movimientos!F:F, "G5000")+SUMIFS(Movimientos!E:E, Movimientos!D:D, A47, Movimientos!C:C, "Ajuste", Movimientos!F:F, "G5000")),"")</f>
        <v/>
      </c>
      <c r="I47" s="6" t="str">
        <f aca="false">IFERROR(IF(A47="","",SUMIFS(Movimientos!E:E, Movimientos!D:D, A47, Movimientos!C:C, "Ingreso", Movimientos!G:G, "G3")+SUMIFS(Movimientos!E:E, Movimientos!D:D, A47, Movimientos!C:C, "Traslado", Movimientos!G:G, "G3")-SUMIFS(Movimientos!E:E, Movimientos!D:D, A47, Movimientos!C:C, "Traslado", Movimientos!F:F, "G3")-SUMIFS(Movimientos!E:E, Movimientos!D:D, A47, Movimientos!C:C, "Egreso", Movimientos!F:F, "G3")+SUMIFS(Movimientos!E:E, Movimientos!D:D, A47, Movimientos!C:C, "Ajuste", Movimientos!F:F, "G3")),"")</f>
        <v/>
      </c>
      <c r="J47" s="6" t="str">
        <f aca="false">IFERROR(IF(A47="","",SUM(E47:I47)),"")</f>
        <v/>
      </c>
      <c r="K47" s="6" t="str">
        <f aca="false">IFERROR(IF(A47="","",SUMIFS(Movimientos!E:E, Movimientos!D:D, A47, Movimientos!C:C, "Reserva")-SUMIFS(Movimientos!E:E, Movimientos!D:D, A47, Movimientos!C:C, "Libera_Reserva")),"")</f>
        <v/>
      </c>
      <c r="L47" s="6" t="str">
        <f aca="false">IFERROR(IF(A47="","",J47-K47),"")</f>
        <v/>
      </c>
      <c r="M47" s="6" t="str">
        <f aca="false">IFERROR(IF(Productos!A47="","",Productos!G47),"")</f>
        <v/>
      </c>
      <c r="N47" s="6" t="str">
        <f aca="false">IFERROR(IF(A47="","",IF(L47&lt;M47,"BAJO STOCK","OK")),"")</f>
        <v/>
      </c>
    </row>
    <row r="48" customFormat="false" ht="15" hidden="false" customHeight="false" outlineLevel="0" collapsed="false">
      <c r="A48" s="0" t="str">
        <f aca="false">IFERROR(IF(Productos!A48="","",Productos!A48),"")</f>
        <v/>
      </c>
      <c r="B48" s="0" t="str">
        <f aca="false">IFERROR(IF(Productos!A48="","",Productos!B48),"")</f>
        <v/>
      </c>
      <c r="C48" s="0" t="str">
        <f aca="false">IFERROR(IF(Productos!A48="","",Productos!C48),"")</f>
        <v/>
      </c>
      <c r="D48" s="0" t="str">
        <f aca="false">IFERROR(IF(Productos!A48="","",Productos!E48),"")</f>
        <v/>
      </c>
      <c r="E48" s="6" t="str">
        <f aca="false">IFERROR(IF(A48="","",SUMIFS(Movimientos!E:E, Movimientos!D:D, A48, Movimientos!C:C, "Ingreso", Movimientos!G:G, "TIN")+SUMIFS(Movimientos!E:E, Movimientos!D:D, A48, Movimientos!C:C, "Traslado", Movimientos!G:G, "TIN")-SUMIFS(Movimientos!E:E, Movimientos!D:D, A48, Movimientos!C:C, "Traslado", Movimientos!F:F, "TIN")-SUMIFS(Movimientos!E:E, Movimientos!D:D, A48, Movimientos!C:C, "Egreso", Movimientos!F:F, "TIN")+SUMIFS(Movimientos!E:E, Movimientos!D:D, A48, Movimientos!C:C, "Ajuste", Movimientos!F:F, "TIN")),"")</f>
        <v/>
      </c>
      <c r="F48" s="6" t="str">
        <f aca="false">IFERROR(IF(A48="","",SUMIFS(Movimientos!E:E, Movimientos!D:D, A48, Movimientos!C:C, "Ingreso", Movimientos!G:G, "G1000")+SUMIFS(Movimientos!E:E, Movimientos!D:D, A48, Movimientos!C:C, "Traslado", Movimientos!G:G, "G1000")-SUMIFS(Movimientos!E:E, Movimientos!D:D, A48, Movimientos!C:C, "Traslado", Movimientos!F:F, "G1000")-SUMIFS(Movimientos!E:E, Movimientos!D:D, A48, Movimientos!C:C, "Egreso", Movimientos!F:F, "G1000")+SUMIFS(Movimientos!E:E, Movimientos!D:D, A48, Movimientos!C:C, "Ajuste", Movimientos!F:F, "G1000")),"")</f>
        <v/>
      </c>
      <c r="G48" s="6" t="str">
        <f aca="false">IFERROR(IF(A48="","",SUMIFS(Movimientos!E:E, Movimientos!D:D, A48, Movimientos!C:C, "Ingreso", Movimientos!G:G, "G710")+SUMIFS(Movimientos!E:E, Movimientos!D:D, A48, Movimientos!C:C, "Traslado", Movimientos!G:G, "G710")-SUMIFS(Movimientos!E:E, Movimientos!D:D, A48, Movimientos!C:C, "Traslado", Movimientos!F:F, "G710")-SUMIFS(Movimientos!E:E, Movimientos!D:D, A48, Movimientos!C:C, "Egreso", Movimientos!F:F, "G710")+SUMIFS(Movimientos!E:E, Movimientos!D:D, A48, Movimientos!C:C, "Ajuste", Movimientos!F:F, "G710")),"")</f>
        <v/>
      </c>
      <c r="H48" s="6" t="str">
        <f aca="false">IFERROR(IF(A48="","",SUMIFS(Movimientos!E:E, Movimientos!D:D, A48, Movimientos!C:C, "Ingreso", Movimientos!G:G, "G5000")+SUMIFS(Movimientos!E:E, Movimientos!D:D, A48, Movimientos!C:C, "Traslado", Movimientos!G:G, "G5000")-SUMIFS(Movimientos!E:E, Movimientos!D:D, A48, Movimientos!C:C, "Traslado", Movimientos!F:F, "G5000")-SUMIFS(Movimientos!E:E, Movimientos!D:D, A48, Movimientos!C:C, "Egreso", Movimientos!F:F, "G5000")+SUMIFS(Movimientos!E:E, Movimientos!D:D, A48, Movimientos!C:C, "Ajuste", Movimientos!F:F, "G5000")),"")</f>
        <v/>
      </c>
      <c r="I48" s="6" t="str">
        <f aca="false">IFERROR(IF(A48="","",SUMIFS(Movimientos!E:E, Movimientos!D:D, A48, Movimientos!C:C, "Ingreso", Movimientos!G:G, "G3")+SUMIFS(Movimientos!E:E, Movimientos!D:D, A48, Movimientos!C:C, "Traslado", Movimientos!G:G, "G3")-SUMIFS(Movimientos!E:E, Movimientos!D:D, A48, Movimientos!C:C, "Traslado", Movimientos!F:F, "G3")-SUMIFS(Movimientos!E:E, Movimientos!D:D, A48, Movimientos!C:C, "Egreso", Movimientos!F:F, "G3")+SUMIFS(Movimientos!E:E, Movimientos!D:D, A48, Movimientos!C:C, "Ajuste", Movimientos!F:F, "G3")),"")</f>
        <v/>
      </c>
      <c r="J48" s="6" t="str">
        <f aca="false">IFERROR(IF(A48="","",SUM(E48:I48)),"")</f>
        <v/>
      </c>
      <c r="K48" s="6" t="str">
        <f aca="false">IFERROR(IF(A48="","",SUMIFS(Movimientos!E:E, Movimientos!D:D, A48, Movimientos!C:C, "Reserva")-SUMIFS(Movimientos!E:E, Movimientos!D:D, A48, Movimientos!C:C, "Libera_Reserva")),"")</f>
        <v/>
      </c>
      <c r="L48" s="6" t="str">
        <f aca="false">IFERROR(IF(A48="","",J48-K48),"")</f>
        <v/>
      </c>
      <c r="M48" s="6" t="str">
        <f aca="false">IFERROR(IF(Productos!A48="","",Productos!G48),"")</f>
        <v/>
      </c>
      <c r="N48" s="6" t="str">
        <f aca="false">IFERROR(IF(A48="","",IF(L48&lt;M48,"BAJO STOCK","OK")),"")</f>
        <v/>
      </c>
    </row>
    <row r="49" customFormat="false" ht="15" hidden="false" customHeight="false" outlineLevel="0" collapsed="false">
      <c r="A49" s="0" t="str">
        <f aca="false">IFERROR(IF(Productos!A49="","",Productos!A49),"")</f>
        <v/>
      </c>
      <c r="B49" s="0" t="str">
        <f aca="false">IFERROR(IF(Productos!A49="","",Productos!B49),"")</f>
        <v/>
      </c>
      <c r="C49" s="0" t="str">
        <f aca="false">IFERROR(IF(Productos!A49="","",Productos!C49),"")</f>
        <v/>
      </c>
      <c r="D49" s="0" t="str">
        <f aca="false">IFERROR(IF(Productos!A49="","",Productos!E49),"")</f>
        <v/>
      </c>
      <c r="E49" s="6" t="str">
        <f aca="false">IFERROR(IF(A49="","",SUMIFS(Movimientos!E:E, Movimientos!D:D, A49, Movimientos!C:C, "Ingreso", Movimientos!G:G, "TIN")+SUMIFS(Movimientos!E:E, Movimientos!D:D, A49, Movimientos!C:C, "Traslado", Movimientos!G:G, "TIN")-SUMIFS(Movimientos!E:E, Movimientos!D:D, A49, Movimientos!C:C, "Traslado", Movimientos!F:F, "TIN")-SUMIFS(Movimientos!E:E, Movimientos!D:D, A49, Movimientos!C:C, "Egreso", Movimientos!F:F, "TIN")+SUMIFS(Movimientos!E:E, Movimientos!D:D, A49, Movimientos!C:C, "Ajuste", Movimientos!F:F, "TIN")),"")</f>
        <v/>
      </c>
      <c r="F49" s="6" t="str">
        <f aca="false">IFERROR(IF(A49="","",SUMIFS(Movimientos!E:E, Movimientos!D:D, A49, Movimientos!C:C, "Ingreso", Movimientos!G:G, "G1000")+SUMIFS(Movimientos!E:E, Movimientos!D:D, A49, Movimientos!C:C, "Traslado", Movimientos!G:G, "G1000")-SUMIFS(Movimientos!E:E, Movimientos!D:D, A49, Movimientos!C:C, "Traslado", Movimientos!F:F, "G1000")-SUMIFS(Movimientos!E:E, Movimientos!D:D, A49, Movimientos!C:C, "Egreso", Movimientos!F:F, "G1000")+SUMIFS(Movimientos!E:E, Movimientos!D:D, A49, Movimientos!C:C, "Ajuste", Movimientos!F:F, "G1000")),"")</f>
        <v/>
      </c>
      <c r="G49" s="6" t="str">
        <f aca="false">IFERROR(IF(A49="","",SUMIFS(Movimientos!E:E, Movimientos!D:D, A49, Movimientos!C:C, "Ingreso", Movimientos!G:G, "G710")+SUMIFS(Movimientos!E:E, Movimientos!D:D, A49, Movimientos!C:C, "Traslado", Movimientos!G:G, "G710")-SUMIFS(Movimientos!E:E, Movimientos!D:D, A49, Movimientos!C:C, "Traslado", Movimientos!F:F, "G710")-SUMIFS(Movimientos!E:E, Movimientos!D:D, A49, Movimientos!C:C, "Egreso", Movimientos!F:F, "G710")+SUMIFS(Movimientos!E:E, Movimientos!D:D, A49, Movimientos!C:C, "Ajuste", Movimientos!F:F, "G710")),"")</f>
        <v/>
      </c>
      <c r="H49" s="6" t="str">
        <f aca="false">IFERROR(IF(A49="","",SUMIFS(Movimientos!E:E, Movimientos!D:D, A49, Movimientos!C:C, "Ingreso", Movimientos!G:G, "G5000")+SUMIFS(Movimientos!E:E, Movimientos!D:D, A49, Movimientos!C:C, "Traslado", Movimientos!G:G, "G5000")-SUMIFS(Movimientos!E:E, Movimientos!D:D, A49, Movimientos!C:C, "Traslado", Movimientos!F:F, "G5000")-SUMIFS(Movimientos!E:E, Movimientos!D:D, A49, Movimientos!C:C, "Egreso", Movimientos!F:F, "G5000")+SUMIFS(Movimientos!E:E, Movimientos!D:D, A49, Movimientos!C:C, "Ajuste", Movimientos!F:F, "G5000")),"")</f>
        <v/>
      </c>
      <c r="I49" s="6" t="str">
        <f aca="false">IFERROR(IF(A49="","",SUMIFS(Movimientos!E:E, Movimientos!D:D, A49, Movimientos!C:C, "Ingreso", Movimientos!G:G, "G3")+SUMIFS(Movimientos!E:E, Movimientos!D:D, A49, Movimientos!C:C, "Traslado", Movimientos!G:G, "G3")-SUMIFS(Movimientos!E:E, Movimientos!D:D, A49, Movimientos!C:C, "Traslado", Movimientos!F:F, "G3")-SUMIFS(Movimientos!E:E, Movimientos!D:D, A49, Movimientos!C:C, "Egreso", Movimientos!F:F, "G3")+SUMIFS(Movimientos!E:E, Movimientos!D:D, A49, Movimientos!C:C, "Ajuste", Movimientos!F:F, "G3")),"")</f>
        <v/>
      </c>
      <c r="J49" s="6" t="str">
        <f aca="false">IFERROR(IF(A49="","",SUM(E49:I49)),"")</f>
        <v/>
      </c>
      <c r="K49" s="6" t="str">
        <f aca="false">IFERROR(IF(A49="","",SUMIFS(Movimientos!E:E, Movimientos!D:D, A49, Movimientos!C:C, "Reserva")-SUMIFS(Movimientos!E:E, Movimientos!D:D, A49, Movimientos!C:C, "Libera_Reserva")),"")</f>
        <v/>
      </c>
      <c r="L49" s="6" t="str">
        <f aca="false">IFERROR(IF(A49="","",J49-K49),"")</f>
        <v/>
      </c>
      <c r="M49" s="6" t="str">
        <f aca="false">IFERROR(IF(Productos!A49="","",Productos!G49),"")</f>
        <v/>
      </c>
      <c r="N49" s="6" t="str">
        <f aca="false">IFERROR(IF(A49="","",IF(L49&lt;M49,"BAJO STOCK","OK")),"")</f>
        <v/>
      </c>
    </row>
    <row r="50" customFormat="false" ht="15" hidden="false" customHeight="false" outlineLevel="0" collapsed="false">
      <c r="A50" s="0" t="str">
        <f aca="false">IFERROR(IF(Productos!A50="","",Productos!A50),"")</f>
        <v/>
      </c>
      <c r="B50" s="0" t="str">
        <f aca="false">IFERROR(IF(Productos!A50="","",Productos!B50),"")</f>
        <v/>
      </c>
      <c r="C50" s="0" t="str">
        <f aca="false">IFERROR(IF(Productos!A50="","",Productos!C50),"")</f>
        <v/>
      </c>
      <c r="D50" s="0" t="str">
        <f aca="false">IFERROR(IF(Productos!A50="","",Productos!E50),"")</f>
        <v/>
      </c>
      <c r="E50" s="6" t="str">
        <f aca="false">IFERROR(IF(A50="","",SUMIFS(Movimientos!E:E, Movimientos!D:D, A50, Movimientos!C:C, "Ingreso", Movimientos!G:G, "TIN")+SUMIFS(Movimientos!E:E, Movimientos!D:D, A50, Movimientos!C:C, "Traslado", Movimientos!G:G, "TIN")-SUMIFS(Movimientos!E:E, Movimientos!D:D, A50, Movimientos!C:C, "Traslado", Movimientos!F:F, "TIN")-SUMIFS(Movimientos!E:E, Movimientos!D:D, A50, Movimientos!C:C, "Egreso", Movimientos!F:F, "TIN")+SUMIFS(Movimientos!E:E, Movimientos!D:D, A50, Movimientos!C:C, "Ajuste", Movimientos!F:F, "TIN")),"")</f>
        <v/>
      </c>
      <c r="F50" s="6" t="str">
        <f aca="false">IFERROR(IF(A50="","",SUMIFS(Movimientos!E:E, Movimientos!D:D, A50, Movimientos!C:C, "Ingreso", Movimientos!G:G, "G1000")+SUMIFS(Movimientos!E:E, Movimientos!D:D, A50, Movimientos!C:C, "Traslado", Movimientos!G:G, "G1000")-SUMIFS(Movimientos!E:E, Movimientos!D:D, A50, Movimientos!C:C, "Traslado", Movimientos!F:F, "G1000")-SUMIFS(Movimientos!E:E, Movimientos!D:D, A50, Movimientos!C:C, "Egreso", Movimientos!F:F, "G1000")+SUMIFS(Movimientos!E:E, Movimientos!D:D, A50, Movimientos!C:C, "Ajuste", Movimientos!F:F, "G1000")),"")</f>
        <v/>
      </c>
      <c r="G50" s="6" t="str">
        <f aca="false">IFERROR(IF(A50="","",SUMIFS(Movimientos!E:E, Movimientos!D:D, A50, Movimientos!C:C, "Ingreso", Movimientos!G:G, "G710")+SUMIFS(Movimientos!E:E, Movimientos!D:D, A50, Movimientos!C:C, "Traslado", Movimientos!G:G, "G710")-SUMIFS(Movimientos!E:E, Movimientos!D:D, A50, Movimientos!C:C, "Traslado", Movimientos!F:F, "G710")-SUMIFS(Movimientos!E:E, Movimientos!D:D, A50, Movimientos!C:C, "Egreso", Movimientos!F:F, "G710")+SUMIFS(Movimientos!E:E, Movimientos!D:D, A50, Movimientos!C:C, "Ajuste", Movimientos!F:F, "G710")),"")</f>
        <v/>
      </c>
      <c r="H50" s="6" t="str">
        <f aca="false">IFERROR(IF(A50="","",SUMIFS(Movimientos!E:E, Movimientos!D:D, A50, Movimientos!C:C, "Ingreso", Movimientos!G:G, "G5000")+SUMIFS(Movimientos!E:E, Movimientos!D:D, A50, Movimientos!C:C, "Traslado", Movimientos!G:G, "G5000")-SUMIFS(Movimientos!E:E, Movimientos!D:D, A50, Movimientos!C:C, "Traslado", Movimientos!F:F, "G5000")-SUMIFS(Movimientos!E:E, Movimientos!D:D, A50, Movimientos!C:C, "Egreso", Movimientos!F:F, "G5000")+SUMIFS(Movimientos!E:E, Movimientos!D:D, A50, Movimientos!C:C, "Ajuste", Movimientos!F:F, "G5000")),"")</f>
        <v/>
      </c>
      <c r="I50" s="6" t="str">
        <f aca="false">IFERROR(IF(A50="","",SUMIFS(Movimientos!E:E, Movimientos!D:D, A50, Movimientos!C:C, "Ingreso", Movimientos!G:G, "G3")+SUMIFS(Movimientos!E:E, Movimientos!D:D, A50, Movimientos!C:C, "Traslado", Movimientos!G:G, "G3")-SUMIFS(Movimientos!E:E, Movimientos!D:D, A50, Movimientos!C:C, "Traslado", Movimientos!F:F, "G3")-SUMIFS(Movimientos!E:E, Movimientos!D:D, A50, Movimientos!C:C, "Egreso", Movimientos!F:F, "G3")+SUMIFS(Movimientos!E:E, Movimientos!D:D, A50, Movimientos!C:C, "Ajuste", Movimientos!F:F, "G3")),"")</f>
        <v/>
      </c>
      <c r="J50" s="6" t="str">
        <f aca="false">IFERROR(IF(A50="","",SUM(E50:I50)),"")</f>
        <v/>
      </c>
      <c r="K50" s="6" t="str">
        <f aca="false">IFERROR(IF(A50="","",SUMIFS(Movimientos!E:E, Movimientos!D:D, A50, Movimientos!C:C, "Reserva")-SUMIFS(Movimientos!E:E, Movimientos!D:D, A50, Movimientos!C:C, "Libera_Reserva")),"")</f>
        <v/>
      </c>
      <c r="L50" s="6" t="str">
        <f aca="false">IFERROR(IF(A50="","",J50-K50),"")</f>
        <v/>
      </c>
      <c r="M50" s="6" t="str">
        <f aca="false">IFERROR(IF(Productos!A50="","",Productos!G50),"")</f>
        <v/>
      </c>
      <c r="N50" s="6" t="str">
        <f aca="false">IFERROR(IF(A50="","",IF(L50&lt;M50,"BAJO STOCK","OK")),"")</f>
        <v/>
      </c>
    </row>
    <row r="51" customFormat="false" ht="15" hidden="false" customHeight="false" outlineLevel="0" collapsed="false">
      <c r="A51" s="0" t="str">
        <f aca="false">IFERROR(IF(Productos!A51="","",Productos!A51),"")</f>
        <v/>
      </c>
      <c r="B51" s="0" t="str">
        <f aca="false">IFERROR(IF(Productos!A51="","",Productos!B51),"")</f>
        <v/>
      </c>
      <c r="C51" s="0" t="str">
        <f aca="false">IFERROR(IF(Productos!A51="","",Productos!C51),"")</f>
        <v/>
      </c>
      <c r="D51" s="0" t="str">
        <f aca="false">IFERROR(IF(Productos!A51="","",Productos!E51),"")</f>
        <v/>
      </c>
      <c r="E51" s="6" t="str">
        <f aca="false">IFERROR(IF(A51="","",SUMIFS(Movimientos!E:E, Movimientos!D:D, A51, Movimientos!C:C, "Ingreso", Movimientos!G:G, "TIN")+SUMIFS(Movimientos!E:E, Movimientos!D:D, A51, Movimientos!C:C, "Traslado", Movimientos!G:G, "TIN")-SUMIFS(Movimientos!E:E, Movimientos!D:D, A51, Movimientos!C:C, "Traslado", Movimientos!F:F, "TIN")-SUMIFS(Movimientos!E:E, Movimientos!D:D, A51, Movimientos!C:C, "Egreso", Movimientos!F:F, "TIN")+SUMIFS(Movimientos!E:E, Movimientos!D:D, A51, Movimientos!C:C, "Ajuste", Movimientos!F:F, "TIN")),"")</f>
        <v/>
      </c>
      <c r="F51" s="6" t="str">
        <f aca="false">IFERROR(IF(A51="","",SUMIFS(Movimientos!E:E, Movimientos!D:D, A51, Movimientos!C:C, "Ingreso", Movimientos!G:G, "G1000")+SUMIFS(Movimientos!E:E, Movimientos!D:D, A51, Movimientos!C:C, "Traslado", Movimientos!G:G, "G1000")-SUMIFS(Movimientos!E:E, Movimientos!D:D, A51, Movimientos!C:C, "Traslado", Movimientos!F:F, "G1000")-SUMIFS(Movimientos!E:E, Movimientos!D:D, A51, Movimientos!C:C, "Egreso", Movimientos!F:F, "G1000")+SUMIFS(Movimientos!E:E, Movimientos!D:D, A51, Movimientos!C:C, "Ajuste", Movimientos!F:F, "G1000")),"")</f>
        <v/>
      </c>
      <c r="G51" s="6" t="str">
        <f aca="false">IFERROR(IF(A51="","",SUMIFS(Movimientos!E:E, Movimientos!D:D, A51, Movimientos!C:C, "Ingreso", Movimientos!G:G, "G710")+SUMIFS(Movimientos!E:E, Movimientos!D:D, A51, Movimientos!C:C, "Traslado", Movimientos!G:G, "G710")-SUMIFS(Movimientos!E:E, Movimientos!D:D, A51, Movimientos!C:C, "Traslado", Movimientos!F:F, "G710")-SUMIFS(Movimientos!E:E, Movimientos!D:D, A51, Movimientos!C:C, "Egreso", Movimientos!F:F, "G710")+SUMIFS(Movimientos!E:E, Movimientos!D:D, A51, Movimientos!C:C, "Ajuste", Movimientos!F:F, "G710")),"")</f>
        <v/>
      </c>
      <c r="H51" s="6" t="str">
        <f aca="false">IFERROR(IF(A51="","",SUMIFS(Movimientos!E:E, Movimientos!D:D, A51, Movimientos!C:C, "Ingreso", Movimientos!G:G, "G5000")+SUMIFS(Movimientos!E:E, Movimientos!D:D, A51, Movimientos!C:C, "Traslado", Movimientos!G:G, "G5000")-SUMIFS(Movimientos!E:E, Movimientos!D:D, A51, Movimientos!C:C, "Traslado", Movimientos!F:F, "G5000")-SUMIFS(Movimientos!E:E, Movimientos!D:D, A51, Movimientos!C:C, "Egreso", Movimientos!F:F, "G5000")+SUMIFS(Movimientos!E:E, Movimientos!D:D, A51, Movimientos!C:C, "Ajuste", Movimientos!F:F, "G5000")),"")</f>
        <v/>
      </c>
      <c r="I51" s="6" t="str">
        <f aca="false">IFERROR(IF(A51="","",SUMIFS(Movimientos!E:E, Movimientos!D:D, A51, Movimientos!C:C, "Ingreso", Movimientos!G:G, "G3")+SUMIFS(Movimientos!E:E, Movimientos!D:D, A51, Movimientos!C:C, "Traslado", Movimientos!G:G, "G3")-SUMIFS(Movimientos!E:E, Movimientos!D:D, A51, Movimientos!C:C, "Traslado", Movimientos!F:F, "G3")-SUMIFS(Movimientos!E:E, Movimientos!D:D, A51, Movimientos!C:C, "Egreso", Movimientos!F:F, "G3")+SUMIFS(Movimientos!E:E, Movimientos!D:D, A51, Movimientos!C:C, "Ajuste", Movimientos!F:F, "G3")),"")</f>
        <v/>
      </c>
      <c r="J51" s="6" t="str">
        <f aca="false">IFERROR(IF(A51="","",SUM(E51:I51)),"")</f>
        <v/>
      </c>
      <c r="K51" s="6" t="str">
        <f aca="false">IFERROR(IF(A51="","",SUMIFS(Movimientos!E:E, Movimientos!D:D, A51, Movimientos!C:C, "Reserva")-SUMIFS(Movimientos!E:E, Movimientos!D:D, A51, Movimientos!C:C, "Libera_Reserva")),"")</f>
        <v/>
      </c>
      <c r="L51" s="6" t="str">
        <f aca="false">IFERROR(IF(A51="","",J51-K51),"")</f>
        <v/>
      </c>
      <c r="M51" s="6" t="str">
        <f aca="false">IFERROR(IF(Productos!A51="","",Productos!G51),"")</f>
        <v/>
      </c>
      <c r="N51" s="6" t="str">
        <f aca="false">IFERROR(IF(A51="","",IF(L51&lt;M51,"BAJO STOCK","OK")),"")</f>
        <v/>
      </c>
    </row>
    <row r="52" customFormat="false" ht="15" hidden="false" customHeight="false" outlineLevel="0" collapsed="false">
      <c r="A52" s="0" t="str">
        <f aca="false">IFERROR(IF(Productos!A52="","",Productos!A52),"")</f>
        <v/>
      </c>
      <c r="B52" s="0" t="str">
        <f aca="false">IFERROR(IF(Productos!A52="","",Productos!B52),"")</f>
        <v/>
      </c>
      <c r="C52" s="0" t="str">
        <f aca="false">IFERROR(IF(Productos!A52="","",Productos!C52),"")</f>
        <v/>
      </c>
      <c r="D52" s="0" t="str">
        <f aca="false">IFERROR(IF(Productos!A52="","",Productos!E52),"")</f>
        <v/>
      </c>
      <c r="E52" s="6" t="str">
        <f aca="false">IFERROR(IF(A52="","",SUMIFS(Movimientos!E:E, Movimientos!D:D, A52, Movimientos!C:C, "Ingreso", Movimientos!G:G, "TIN")+SUMIFS(Movimientos!E:E, Movimientos!D:D, A52, Movimientos!C:C, "Traslado", Movimientos!G:G, "TIN")-SUMIFS(Movimientos!E:E, Movimientos!D:D, A52, Movimientos!C:C, "Traslado", Movimientos!F:F, "TIN")-SUMIFS(Movimientos!E:E, Movimientos!D:D, A52, Movimientos!C:C, "Egreso", Movimientos!F:F, "TIN")+SUMIFS(Movimientos!E:E, Movimientos!D:D, A52, Movimientos!C:C, "Ajuste", Movimientos!F:F, "TIN")),"")</f>
        <v/>
      </c>
      <c r="F52" s="6" t="str">
        <f aca="false">IFERROR(IF(A52="","",SUMIFS(Movimientos!E:E, Movimientos!D:D, A52, Movimientos!C:C, "Ingreso", Movimientos!G:G, "G1000")+SUMIFS(Movimientos!E:E, Movimientos!D:D, A52, Movimientos!C:C, "Traslado", Movimientos!G:G, "G1000")-SUMIFS(Movimientos!E:E, Movimientos!D:D, A52, Movimientos!C:C, "Traslado", Movimientos!F:F, "G1000")-SUMIFS(Movimientos!E:E, Movimientos!D:D, A52, Movimientos!C:C, "Egreso", Movimientos!F:F, "G1000")+SUMIFS(Movimientos!E:E, Movimientos!D:D, A52, Movimientos!C:C, "Ajuste", Movimientos!F:F, "G1000")),"")</f>
        <v/>
      </c>
      <c r="G52" s="6" t="str">
        <f aca="false">IFERROR(IF(A52="","",SUMIFS(Movimientos!E:E, Movimientos!D:D, A52, Movimientos!C:C, "Ingreso", Movimientos!G:G, "G710")+SUMIFS(Movimientos!E:E, Movimientos!D:D, A52, Movimientos!C:C, "Traslado", Movimientos!G:G, "G710")-SUMIFS(Movimientos!E:E, Movimientos!D:D, A52, Movimientos!C:C, "Traslado", Movimientos!F:F, "G710")-SUMIFS(Movimientos!E:E, Movimientos!D:D, A52, Movimientos!C:C, "Egreso", Movimientos!F:F, "G710")+SUMIFS(Movimientos!E:E, Movimientos!D:D, A52, Movimientos!C:C, "Ajuste", Movimientos!F:F, "G710")),"")</f>
        <v/>
      </c>
      <c r="H52" s="6" t="str">
        <f aca="false">IFERROR(IF(A52="","",SUMIFS(Movimientos!E:E, Movimientos!D:D, A52, Movimientos!C:C, "Ingreso", Movimientos!G:G, "G5000")+SUMIFS(Movimientos!E:E, Movimientos!D:D, A52, Movimientos!C:C, "Traslado", Movimientos!G:G, "G5000")-SUMIFS(Movimientos!E:E, Movimientos!D:D, A52, Movimientos!C:C, "Traslado", Movimientos!F:F, "G5000")-SUMIFS(Movimientos!E:E, Movimientos!D:D, A52, Movimientos!C:C, "Egreso", Movimientos!F:F, "G5000")+SUMIFS(Movimientos!E:E, Movimientos!D:D, A52, Movimientos!C:C, "Ajuste", Movimientos!F:F, "G5000")),"")</f>
        <v/>
      </c>
      <c r="I52" s="6" t="str">
        <f aca="false">IFERROR(IF(A52="","",SUMIFS(Movimientos!E:E, Movimientos!D:D, A52, Movimientos!C:C, "Ingreso", Movimientos!G:G, "G3")+SUMIFS(Movimientos!E:E, Movimientos!D:D, A52, Movimientos!C:C, "Traslado", Movimientos!G:G, "G3")-SUMIFS(Movimientos!E:E, Movimientos!D:D, A52, Movimientos!C:C, "Traslado", Movimientos!F:F, "G3")-SUMIFS(Movimientos!E:E, Movimientos!D:D, A52, Movimientos!C:C, "Egreso", Movimientos!F:F, "G3")+SUMIFS(Movimientos!E:E, Movimientos!D:D, A52, Movimientos!C:C, "Ajuste", Movimientos!F:F, "G3")),"")</f>
        <v/>
      </c>
      <c r="J52" s="6" t="str">
        <f aca="false">IFERROR(IF(A52="","",SUM(E52:I52)),"")</f>
        <v/>
      </c>
      <c r="K52" s="6" t="str">
        <f aca="false">IFERROR(IF(A52="","",SUMIFS(Movimientos!E:E, Movimientos!D:D, A52, Movimientos!C:C, "Reserva")-SUMIFS(Movimientos!E:E, Movimientos!D:D, A52, Movimientos!C:C, "Libera_Reserva")),"")</f>
        <v/>
      </c>
      <c r="L52" s="6" t="str">
        <f aca="false">IFERROR(IF(A52="","",J52-K52),"")</f>
        <v/>
      </c>
      <c r="M52" s="6" t="str">
        <f aca="false">IFERROR(IF(Productos!A52="","",Productos!G52),"")</f>
        <v/>
      </c>
      <c r="N52" s="6" t="str">
        <f aca="false">IFERROR(IF(A52="","",IF(L52&lt;M52,"BAJO STOCK","OK")),"")</f>
        <v/>
      </c>
    </row>
    <row r="53" customFormat="false" ht="15" hidden="false" customHeight="false" outlineLevel="0" collapsed="false">
      <c r="A53" s="0" t="str">
        <f aca="false">IFERROR(IF(Productos!A53="","",Productos!A53),"")</f>
        <v/>
      </c>
      <c r="B53" s="0" t="str">
        <f aca="false">IFERROR(IF(Productos!A53="","",Productos!B53),"")</f>
        <v/>
      </c>
      <c r="C53" s="0" t="str">
        <f aca="false">IFERROR(IF(Productos!A53="","",Productos!C53),"")</f>
        <v/>
      </c>
      <c r="D53" s="0" t="str">
        <f aca="false">IFERROR(IF(Productos!A53="","",Productos!E53),"")</f>
        <v/>
      </c>
      <c r="E53" s="6" t="str">
        <f aca="false">IFERROR(IF(A53="","",SUMIFS(Movimientos!E:E, Movimientos!D:D, A53, Movimientos!C:C, "Ingreso", Movimientos!G:G, "TIN")+SUMIFS(Movimientos!E:E, Movimientos!D:D, A53, Movimientos!C:C, "Traslado", Movimientos!G:G, "TIN")-SUMIFS(Movimientos!E:E, Movimientos!D:D, A53, Movimientos!C:C, "Traslado", Movimientos!F:F, "TIN")-SUMIFS(Movimientos!E:E, Movimientos!D:D, A53, Movimientos!C:C, "Egreso", Movimientos!F:F, "TIN")+SUMIFS(Movimientos!E:E, Movimientos!D:D, A53, Movimientos!C:C, "Ajuste", Movimientos!F:F, "TIN")),"")</f>
        <v/>
      </c>
      <c r="F53" s="6" t="str">
        <f aca="false">IFERROR(IF(A53="","",SUMIFS(Movimientos!E:E, Movimientos!D:D, A53, Movimientos!C:C, "Ingreso", Movimientos!G:G, "G1000")+SUMIFS(Movimientos!E:E, Movimientos!D:D, A53, Movimientos!C:C, "Traslado", Movimientos!G:G, "G1000")-SUMIFS(Movimientos!E:E, Movimientos!D:D, A53, Movimientos!C:C, "Traslado", Movimientos!F:F, "G1000")-SUMIFS(Movimientos!E:E, Movimientos!D:D, A53, Movimientos!C:C, "Egreso", Movimientos!F:F, "G1000")+SUMIFS(Movimientos!E:E, Movimientos!D:D, A53, Movimientos!C:C, "Ajuste", Movimientos!F:F, "G1000")),"")</f>
        <v/>
      </c>
      <c r="G53" s="6" t="str">
        <f aca="false">IFERROR(IF(A53="","",SUMIFS(Movimientos!E:E, Movimientos!D:D, A53, Movimientos!C:C, "Ingreso", Movimientos!G:G, "G710")+SUMIFS(Movimientos!E:E, Movimientos!D:D, A53, Movimientos!C:C, "Traslado", Movimientos!G:G, "G710")-SUMIFS(Movimientos!E:E, Movimientos!D:D, A53, Movimientos!C:C, "Traslado", Movimientos!F:F, "G710")-SUMIFS(Movimientos!E:E, Movimientos!D:D, A53, Movimientos!C:C, "Egreso", Movimientos!F:F, "G710")+SUMIFS(Movimientos!E:E, Movimientos!D:D, A53, Movimientos!C:C, "Ajuste", Movimientos!F:F, "G710")),"")</f>
        <v/>
      </c>
      <c r="H53" s="6" t="str">
        <f aca="false">IFERROR(IF(A53="","",SUMIFS(Movimientos!E:E, Movimientos!D:D, A53, Movimientos!C:C, "Ingreso", Movimientos!G:G, "G5000")+SUMIFS(Movimientos!E:E, Movimientos!D:D, A53, Movimientos!C:C, "Traslado", Movimientos!G:G, "G5000")-SUMIFS(Movimientos!E:E, Movimientos!D:D, A53, Movimientos!C:C, "Traslado", Movimientos!F:F, "G5000")-SUMIFS(Movimientos!E:E, Movimientos!D:D, A53, Movimientos!C:C, "Egreso", Movimientos!F:F, "G5000")+SUMIFS(Movimientos!E:E, Movimientos!D:D, A53, Movimientos!C:C, "Ajuste", Movimientos!F:F, "G5000")),"")</f>
        <v/>
      </c>
      <c r="I53" s="6" t="str">
        <f aca="false">IFERROR(IF(A53="","",SUMIFS(Movimientos!E:E, Movimientos!D:D, A53, Movimientos!C:C, "Ingreso", Movimientos!G:G, "G3")+SUMIFS(Movimientos!E:E, Movimientos!D:D, A53, Movimientos!C:C, "Traslado", Movimientos!G:G, "G3")-SUMIFS(Movimientos!E:E, Movimientos!D:D, A53, Movimientos!C:C, "Traslado", Movimientos!F:F, "G3")-SUMIFS(Movimientos!E:E, Movimientos!D:D, A53, Movimientos!C:C, "Egreso", Movimientos!F:F, "G3")+SUMIFS(Movimientos!E:E, Movimientos!D:D, A53, Movimientos!C:C, "Ajuste", Movimientos!F:F, "G3")),"")</f>
        <v/>
      </c>
      <c r="J53" s="6" t="str">
        <f aca="false">IFERROR(IF(A53="","",SUM(E53:I53)),"")</f>
        <v/>
      </c>
      <c r="K53" s="6" t="str">
        <f aca="false">IFERROR(IF(A53="","",SUMIFS(Movimientos!E:E, Movimientos!D:D, A53, Movimientos!C:C, "Reserva")-SUMIFS(Movimientos!E:E, Movimientos!D:D, A53, Movimientos!C:C, "Libera_Reserva")),"")</f>
        <v/>
      </c>
      <c r="L53" s="6" t="str">
        <f aca="false">IFERROR(IF(A53="","",J53-K53),"")</f>
        <v/>
      </c>
      <c r="M53" s="6" t="str">
        <f aca="false">IFERROR(IF(Productos!A53="","",Productos!G53),"")</f>
        <v/>
      </c>
      <c r="N53" s="6" t="str">
        <f aca="false">IFERROR(IF(A53="","",IF(L53&lt;M53,"BAJO STOCK","OK")),"")</f>
        <v/>
      </c>
    </row>
    <row r="54" customFormat="false" ht="15" hidden="false" customHeight="false" outlineLevel="0" collapsed="false">
      <c r="A54" s="0" t="str">
        <f aca="false">IFERROR(IF(Productos!A54="","",Productos!A54),"")</f>
        <v/>
      </c>
      <c r="B54" s="0" t="str">
        <f aca="false">IFERROR(IF(Productos!A54="","",Productos!B54),"")</f>
        <v/>
      </c>
      <c r="C54" s="0" t="str">
        <f aca="false">IFERROR(IF(Productos!A54="","",Productos!C54),"")</f>
        <v/>
      </c>
      <c r="D54" s="0" t="str">
        <f aca="false">IFERROR(IF(Productos!A54="","",Productos!E54),"")</f>
        <v/>
      </c>
      <c r="E54" s="6" t="str">
        <f aca="false">IFERROR(IF(A54="","",SUMIFS(Movimientos!E:E, Movimientos!D:D, A54, Movimientos!C:C, "Ingreso", Movimientos!G:G, "TIN")+SUMIFS(Movimientos!E:E, Movimientos!D:D, A54, Movimientos!C:C, "Traslado", Movimientos!G:G, "TIN")-SUMIFS(Movimientos!E:E, Movimientos!D:D, A54, Movimientos!C:C, "Traslado", Movimientos!F:F, "TIN")-SUMIFS(Movimientos!E:E, Movimientos!D:D, A54, Movimientos!C:C, "Egreso", Movimientos!F:F, "TIN")+SUMIFS(Movimientos!E:E, Movimientos!D:D, A54, Movimientos!C:C, "Ajuste", Movimientos!F:F, "TIN")),"")</f>
        <v/>
      </c>
      <c r="F54" s="6" t="str">
        <f aca="false">IFERROR(IF(A54="","",SUMIFS(Movimientos!E:E, Movimientos!D:D, A54, Movimientos!C:C, "Ingreso", Movimientos!G:G, "G1000")+SUMIFS(Movimientos!E:E, Movimientos!D:D, A54, Movimientos!C:C, "Traslado", Movimientos!G:G, "G1000")-SUMIFS(Movimientos!E:E, Movimientos!D:D, A54, Movimientos!C:C, "Traslado", Movimientos!F:F, "G1000")-SUMIFS(Movimientos!E:E, Movimientos!D:D, A54, Movimientos!C:C, "Egreso", Movimientos!F:F, "G1000")+SUMIFS(Movimientos!E:E, Movimientos!D:D, A54, Movimientos!C:C, "Ajuste", Movimientos!F:F, "G1000")),"")</f>
        <v/>
      </c>
      <c r="G54" s="6" t="str">
        <f aca="false">IFERROR(IF(A54="","",SUMIFS(Movimientos!E:E, Movimientos!D:D, A54, Movimientos!C:C, "Ingreso", Movimientos!G:G, "G710")+SUMIFS(Movimientos!E:E, Movimientos!D:D, A54, Movimientos!C:C, "Traslado", Movimientos!G:G, "G710")-SUMIFS(Movimientos!E:E, Movimientos!D:D, A54, Movimientos!C:C, "Traslado", Movimientos!F:F, "G710")-SUMIFS(Movimientos!E:E, Movimientos!D:D, A54, Movimientos!C:C, "Egreso", Movimientos!F:F, "G710")+SUMIFS(Movimientos!E:E, Movimientos!D:D, A54, Movimientos!C:C, "Ajuste", Movimientos!F:F, "G710")),"")</f>
        <v/>
      </c>
      <c r="H54" s="6" t="str">
        <f aca="false">IFERROR(IF(A54="","",SUMIFS(Movimientos!E:E, Movimientos!D:D, A54, Movimientos!C:C, "Ingreso", Movimientos!G:G, "G5000")+SUMIFS(Movimientos!E:E, Movimientos!D:D, A54, Movimientos!C:C, "Traslado", Movimientos!G:G, "G5000")-SUMIFS(Movimientos!E:E, Movimientos!D:D, A54, Movimientos!C:C, "Traslado", Movimientos!F:F, "G5000")-SUMIFS(Movimientos!E:E, Movimientos!D:D, A54, Movimientos!C:C, "Egreso", Movimientos!F:F, "G5000")+SUMIFS(Movimientos!E:E, Movimientos!D:D, A54, Movimientos!C:C, "Ajuste", Movimientos!F:F, "G5000")),"")</f>
        <v/>
      </c>
      <c r="I54" s="6" t="str">
        <f aca="false">IFERROR(IF(A54="","",SUMIFS(Movimientos!E:E, Movimientos!D:D, A54, Movimientos!C:C, "Ingreso", Movimientos!G:G, "G3")+SUMIFS(Movimientos!E:E, Movimientos!D:D, A54, Movimientos!C:C, "Traslado", Movimientos!G:G, "G3")-SUMIFS(Movimientos!E:E, Movimientos!D:D, A54, Movimientos!C:C, "Traslado", Movimientos!F:F, "G3")-SUMIFS(Movimientos!E:E, Movimientos!D:D, A54, Movimientos!C:C, "Egreso", Movimientos!F:F, "G3")+SUMIFS(Movimientos!E:E, Movimientos!D:D, A54, Movimientos!C:C, "Ajuste", Movimientos!F:F, "G3")),"")</f>
        <v/>
      </c>
      <c r="J54" s="6" t="str">
        <f aca="false">IFERROR(IF(A54="","",SUM(E54:I54)),"")</f>
        <v/>
      </c>
      <c r="K54" s="6" t="str">
        <f aca="false">IFERROR(IF(A54="","",SUMIFS(Movimientos!E:E, Movimientos!D:D, A54, Movimientos!C:C, "Reserva")-SUMIFS(Movimientos!E:E, Movimientos!D:D, A54, Movimientos!C:C, "Libera_Reserva")),"")</f>
        <v/>
      </c>
      <c r="L54" s="6" t="str">
        <f aca="false">IFERROR(IF(A54="","",J54-K54),"")</f>
        <v/>
      </c>
      <c r="M54" s="6" t="str">
        <f aca="false">IFERROR(IF(Productos!A54="","",Productos!G54),"")</f>
        <v/>
      </c>
      <c r="N54" s="6" t="str">
        <f aca="false">IFERROR(IF(A54="","",IF(L54&lt;M54,"BAJO STOCK","OK")),"")</f>
        <v/>
      </c>
    </row>
    <row r="55" customFormat="false" ht="15" hidden="false" customHeight="false" outlineLevel="0" collapsed="false">
      <c r="A55" s="0" t="str">
        <f aca="false">IFERROR(IF(Productos!A55="","",Productos!A55),"")</f>
        <v/>
      </c>
      <c r="B55" s="0" t="str">
        <f aca="false">IFERROR(IF(Productos!A55="","",Productos!B55),"")</f>
        <v/>
      </c>
      <c r="C55" s="0" t="str">
        <f aca="false">IFERROR(IF(Productos!A55="","",Productos!C55),"")</f>
        <v/>
      </c>
      <c r="D55" s="0" t="str">
        <f aca="false">IFERROR(IF(Productos!A55="","",Productos!E55),"")</f>
        <v/>
      </c>
      <c r="E55" s="6" t="str">
        <f aca="false">IFERROR(IF(A55="","",SUMIFS(Movimientos!E:E, Movimientos!D:D, A55, Movimientos!C:C, "Ingreso", Movimientos!G:G, "TIN")+SUMIFS(Movimientos!E:E, Movimientos!D:D, A55, Movimientos!C:C, "Traslado", Movimientos!G:G, "TIN")-SUMIFS(Movimientos!E:E, Movimientos!D:D, A55, Movimientos!C:C, "Traslado", Movimientos!F:F, "TIN")-SUMIFS(Movimientos!E:E, Movimientos!D:D, A55, Movimientos!C:C, "Egreso", Movimientos!F:F, "TIN")+SUMIFS(Movimientos!E:E, Movimientos!D:D, A55, Movimientos!C:C, "Ajuste", Movimientos!F:F, "TIN")),"")</f>
        <v/>
      </c>
      <c r="F55" s="6" t="str">
        <f aca="false">IFERROR(IF(A55="","",SUMIFS(Movimientos!E:E, Movimientos!D:D, A55, Movimientos!C:C, "Ingreso", Movimientos!G:G, "G1000")+SUMIFS(Movimientos!E:E, Movimientos!D:D, A55, Movimientos!C:C, "Traslado", Movimientos!G:G, "G1000")-SUMIFS(Movimientos!E:E, Movimientos!D:D, A55, Movimientos!C:C, "Traslado", Movimientos!F:F, "G1000")-SUMIFS(Movimientos!E:E, Movimientos!D:D, A55, Movimientos!C:C, "Egreso", Movimientos!F:F, "G1000")+SUMIFS(Movimientos!E:E, Movimientos!D:D, A55, Movimientos!C:C, "Ajuste", Movimientos!F:F, "G1000")),"")</f>
        <v/>
      </c>
      <c r="G55" s="6" t="str">
        <f aca="false">IFERROR(IF(A55="","",SUMIFS(Movimientos!E:E, Movimientos!D:D, A55, Movimientos!C:C, "Ingreso", Movimientos!G:G, "G710")+SUMIFS(Movimientos!E:E, Movimientos!D:D, A55, Movimientos!C:C, "Traslado", Movimientos!G:G, "G710")-SUMIFS(Movimientos!E:E, Movimientos!D:D, A55, Movimientos!C:C, "Traslado", Movimientos!F:F, "G710")-SUMIFS(Movimientos!E:E, Movimientos!D:D, A55, Movimientos!C:C, "Egreso", Movimientos!F:F, "G710")+SUMIFS(Movimientos!E:E, Movimientos!D:D, A55, Movimientos!C:C, "Ajuste", Movimientos!F:F, "G710")),"")</f>
        <v/>
      </c>
      <c r="H55" s="6" t="str">
        <f aca="false">IFERROR(IF(A55="","",SUMIFS(Movimientos!E:E, Movimientos!D:D, A55, Movimientos!C:C, "Ingreso", Movimientos!G:G, "G5000")+SUMIFS(Movimientos!E:E, Movimientos!D:D, A55, Movimientos!C:C, "Traslado", Movimientos!G:G, "G5000")-SUMIFS(Movimientos!E:E, Movimientos!D:D, A55, Movimientos!C:C, "Traslado", Movimientos!F:F, "G5000")-SUMIFS(Movimientos!E:E, Movimientos!D:D, A55, Movimientos!C:C, "Egreso", Movimientos!F:F, "G5000")+SUMIFS(Movimientos!E:E, Movimientos!D:D, A55, Movimientos!C:C, "Ajuste", Movimientos!F:F, "G5000")),"")</f>
        <v/>
      </c>
      <c r="I55" s="6" t="str">
        <f aca="false">IFERROR(IF(A55="","",SUMIFS(Movimientos!E:E, Movimientos!D:D, A55, Movimientos!C:C, "Ingreso", Movimientos!G:G, "G3")+SUMIFS(Movimientos!E:E, Movimientos!D:D, A55, Movimientos!C:C, "Traslado", Movimientos!G:G, "G3")-SUMIFS(Movimientos!E:E, Movimientos!D:D, A55, Movimientos!C:C, "Traslado", Movimientos!F:F, "G3")-SUMIFS(Movimientos!E:E, Movimientos!D:D, A55, Movimientos!C:C, "Egreso", Movimientos!F:F, "G3")+SUMIFS(Movimientos!E:E, Movimientos!D:D, A55, Movimientos!C:C, "Ajuste", Movimientos!F:F, "G3")),"")</f>
        <v/>
      </c>
      <c r="J55" s="6" t="str">
        <f aca="false">IFERROR(IF(A55="","",SUM(E55:I55)),"")</f>
        <v/>
      </c>
      <c r="K55" s="6" t="str">
        <f aca="false">IFERROR(IF(A55="","",SUMIFS(Movimientos!E:E, Movimientos!D:D, A55, Movimientos!C:C, "Reserva")-SUMIFS(Movimientos!E:E, Movimientos!D:D, A55, Movimientos!C:C, "Libera_Reserva")),"")</f>
        <v/>
      </c>
      <c r="L55" s="6" t="str">
        <f aca="false">IFERROR(IF(A55="","",J55-K55),"")</f>
        <v/>
      </c>
      <c r="M55" s="6" t="str">
        <f aca="false">IFERROR(IF(Productos!A55="","",Productos!G55),"")</f>
        <v/>
      </c>
      <c r="N55" s="6" t="str">
        <f aca="false">IFERROR(IF(A55="","",IF(L55&lt;M55,"BAJO STOCK","OK")),"")</f>
        <v/>
      </c>
    </row>
    <row r="56" customFormat="false" ht="15" hidden="false" customHeight="false" outlineLevel="0" collapsed="false">
      <c r="A56" s="0" t="str">
        <f aca="false">IFERROR(IF(Productos!A56="","",Productos!A56),"")</f>
        <v/>
      </c>
      <c r="B56" s="0" t="str">
        <f aca="false">IFERROR(IF(Productos!A56="","",Productos!B56),"")</f>
        <v/>
      </c>
      <c r="C56" s="0" t="str">
        <f aca="false">IFERROR(IF(Productos!A56="","",Productos!C56),"")</f>
        <v/>
      </c>
      <c r="D56" s="0" t="str">
        <f aca="false">IFERROR(IF(Productos!A56="","",Productos!E56),"")</f>
        <v/>
      </c>
      <c r="E56" s="6" t="str">
        <f aca="false">IFERROR(IF(A56="","",SUMIFS(Movimientos!E:E, Movimientos!D:D, A56, Movimientos!C:C, "Ingreso", Movimientos!G:G, "TIN")+SUMIFS(Movimientos!E:E, Movimientos!D:D, A56, Movimientos!C:C, "Traslado", Movimientos!G:G, "TIN")-SUMIFS(Movimientos!E:E, Movimientos!D:D, A56, Movimientos!C:C, "Traslado", Movimientos!F:F, "TIN")-SUMIFS(Movimientos!E:E, Movimientos!D:D, A56, Movimientos!C:C, "Egreso", Movimientos!F:F, "TIN")+SUMIFS(Movimientos!E:E, Movimientos!D:D, A56, Movimientos!C:C, "Ajuste", Movimientos!F:F, "TIN")),"")</f>
        <v/>
      </c>
      <c r="F56" s="6" t="str">
        <f aca="false">IFERROR(IF(A56="","",SUMIFS(Movimientos!E:E, Movimientos!D:D, A56, Movimientos!C:C, "Ingreso", Movimientos!G:G, "G1000")+SUMIFS(Movimientos!E:E, Movimientos!D:D, A56, Movimientos!C:C, "Traslado", Movimientos!G:G, "G1000")-SUMIFS(Movimientos!E:E, Movimientos!D:D, A56, Movimientos!C:C, "Traslado", Movimientos!F:F, "G1000")-SUMIFS(Movimientos!E:E, Movimientos!D:D, A56, Movimientos!C:C, "Egreso", Movimientos!F:F, "G1000")+SUMIFS(Movimientos!E:E, Movimientos!D:D, A56, Movimientos!C:C, "Ajuste", Movimientos!F:F, "G1000")),"")</f>
        <v/>
      </c>
      <c r="G56" s="6" t="str">
        <f aca="false">IFERROR(IF(A56="","",SUMIFS(Movimientos!E:E, Movimientos!D:D, A56, Movimientos!C:C, "Ingreso", Movimientos!G:G, "G710")+SUMIFS(Movimientos!E:E, Movimientos!D:D, A56, Movimientos!C:C, "Traslado", Movimientos!G:G, "G710")-SUMIFS(Movimientos!E:E, Movimientos!D:D, A56, Movimientos!C:C, "Traslado", Movimientos!F:F, "G710")-SUMIFS(Movimientos!E:E, Movimientos!D:D, A56, Movimientos!C:C, "Egreso", Movimientos!F:F, "G710")+SUMIFS(Movimientos!E:E, Movimientos!D:D, A56, Movimientos!C:C, "Ajuste", Movimientos!F:F, "G710")),"")</f>
        <v/>
      </c>
      <c r="H56" s="6" t="str">
        <f aca="false">IFERROR(IF(A56="","",SUMIFS(Movimientos!E:E, Movimientos!D:D, A56, Movimientos!C:C, "Ingreso", Movimientos!G:G, "G5000")+SUMIFS(Movimientos!E:E, Movimientos!D:D, A56, Movimientos!C:C, "Traslado", Movimientos!G:G, "G5000")-SUMIFS(Movimientos!E:E, Movimientos!D:D, A56, Movimientos!C:C, "Traslado", Movimientos!F:F, "G5000")-SUMIFS(Movimientos!E:E, Movimientos!D:D, A56, Movimientos!C:C, "Egreso", Movimientos!F:F, "G5000")+SUMIFS(Movimientos!E:E, Movimientos!D:D, A56, Movimientos!C:C, "Ajuste", Movimientos!F:F, "G5000")),"")</f>
        <v/>
      </c>
      <c r="I56" s="6" t="str">
        <f aca="false">IFERROR(IF(A56="","",SUMIFS(Movimientos!E:E, Movimientos!D:D, A56, Movimientos!C:C, "Ingreso", Movimientos!G:G, "G3")+SUMIFS(Movimientos!E:E, Movimientos!D:D, A56, Movimientos!C:C, "Traslado", Movimientos!G:G, "G3")-SUMIFS(Movimientos!E:E, Movimientos!D:D, A56, Movimientos!C:C, "Traslado", Movimientos!F:F, "G3")-SUMIFS(Movimientos!E:E, Movimientos!D:D, A56, Movimientos!C:C, "Egreso", Movimientos!F:F, "G3")+SUMIFS(Movimientos!E:E, Movimientos!D:D, A56, Movimientos!C:C, "Ajuste", Movimientos!F:F, "G3")),"")</f>
        <v/>
      </c>
      <c r="J56" s="6" t="str">
        <f aca="false">IFERROR(IF(A56="","",SUM(E56:I56)),"")</f>
        <v/>
      </c>
      <c r="K56" s="6" t="str">
        <f aca="false">IFERROR(IF(A56="","",SUMIFS(Movimientos!E:E, Movimientos!D:D, A56, Movimientos!C:C, "Reserva")-SUMIFS(Movimientos!E:E, Movimientos!D:D, A56, Movimientos!C:C, "Libera_Reserva")),"")</f>
        <v/>
      </c>
      <c r="L56" s="6" t="str">
        <f aca="false">IFERROR(IF(A56="","",J56-K56),"")</f>
        <v/>
      </c>
      <c r="M56" s="6" t="str">
        <f aca="false">IFERROR(IF(Productos!A56="","",Productos!G56),"")</f>
        <v/>
      </c>
      <c r="N56" s="6" t="str">
        <f aca="false">IFERROR(IF(A56="","",IF(L56&lt;M56,"BAJO STOCK","OK")),"")</f>
        <v/>
      </c>
    </row>
    <row r="57" customFormat="false" ht="15" hidden="false" customHeight="false" outlineLevel="0" collapsed="false">
      <c r="A57" s="0" t="str">
        <f aca="false">IFERROR(IF(Productos!A57="","",Productos!A57),"")</f>
        <v/>
      </c>
      <c r="B57" s="0" t="str">
        <f aca="false">IFERROR(IF(Productos!A57="","",Productos!B57),"")</f>
        <v/>
      </c>
      <c r="C57" s="0" t="str">
        <f aca="false">IFERROR(IF(Productos!A57="","",Productos!C57),"")</f>
        <v/>
      </c>
      <c r="D57" s="0" t="str">
        <f aca="false">IFERROR(IF(Productos!A57="","",Productos!E57),"")</f>
        <v/>
      </c>
      <c r="E57" s="6" t="str">
        <f aca="false">IFERROR(IF(A57="","",SUMIFS(Movimientos!E:E, Movimientos!D:D, A57, Movimientos!C:C, "Ingreso", Movimientos!G:G, "TIN")+SUMIFS(Movimientos!E:E, Movimientos!D:D, A57, Movimientos!C:C, "Traslado", Movimientos!G:G, "TIN")-SUMIFS(Movimientos!E:E, Movimientos!D:D, A57, Movimientos!C:C, "Traslado", Movimientos!F:F, "TIN")-SUMIFS(Movimientos!E:E, Movimientos!D:D, A57, Movimientos!C:C, "Egreso", Movimientos!F:F, "TIN")+SUMIFS(Movimientos!E:E, Movimientos!D:D, A57, Movimientos!C:C, "Ajuste", Movimientos!F:F, "TIN")),"")</f>
        <v/>
      </c>
      <c r="F57" s="6" t="str">
        <f aca="false">IFERROR(IF(A57="","",SUMIFS(Movimientos!E:E, Movimientos!D:D, A57, Movimientos!C:C, "Ingreso", Movimientos!G:G, "G1000")+SUMIFS(Movimientos!E:E, Movimientos!D:D, A57, Movimientos!C:C, "Traslado", Movimientos!G:G, "G1000")-SUMIFS(Movimientos!E:E, Movimientos!D:D, A57, Movimientos!C:C, "Traslado", Movimientos!F:F, "G1000")-SUMIFS(Movimientos!E:E, Movimientos!D:D, A57, Movimientos!C:C, "Egreso", Movimientos!F:F, "G1000")+SUMIFS(Movimientos!E:E, Movimientos!D:D, A57, Movimientos!C:C, "Ajuste", Movimientos!F:F, "G1000")),"")</f>
        <v/>
      </c>
      <c r="G57" s="6" t="str">
        <f aca="false">IFERROR(IF(A57="","",SUMIFS(Movimientos!E:E, Movimientos!D:D, A57, Movimientos!C:C, "Ingreso", Movimientos!G:G, "G710")+SUMIFS(Movimientos!E:E, Movimientos!D:D, A57, Movimientos!C:C, "Traslado", Movimientos!G:G, "G710")-SUMIFS(Movimientos!E:E, Movimientos!D:D, A57, Movimientos!C:C, "Traslado", Movimientos!F:F, "G710")-SUMIFS(Movimientos!E:E, Movimientos!D:D, A57, Movimientos!C:C, "Egreso", Movimientos!F:F, "G710")+SUMIFS(Movimientos!E:E, Movimientos!D:D, A57, Movimientos!C:C, "Ajuste", Movimientos!F:F, "G710")),"")</f>
        <v/>
      </c>
      <c r="H57" s="6" t="str">
        <f aca="false">IFERROR(IF(A57="","",SUMIFS(Movimientos!E:E, Movimientos!D:D, A57, Movimientos!C:C, "Ingreso", Movimientos!G:G, "G5000")+SUMIFS(Movimientos!E:E, Movimientos!D:D, A57, Movimientos!C:C, "Traslado", Movimientos!G:G, "G5000")-SUMIFS(Movimientos!E:E, Movimientos!D:D, A57, Movimientos!C:C, "Traslado", Movimientos!F:F, "G5000")-SUMIFS(Movimientos!E:E, Movimientos!D:D, A57, Movimientos!C:C, "Egreso", Movimientos!F:F, "G5000")+SUMIFS(Movimientos!E:E, Movimientos!D:D, A57, Movimientos!C:C, "Ajuste", Movimientos!F:F, "G5000")),"")</f>
        <v/>
      </c>
      <c r="I57" s="6" t="str">
        <f aca="false">IFERROR(IF(A57="","",SUMIFS(Movimientos!E:E, Movimientos!D:D, A57, Movimientos!C:C, "Ingreso", Movimientos!G:G, "G3")+SUMIFS(Movimientos!E:E, Movimientos!D:D, A57, Movimientos!C:C, "Traslado", Movimientos!G:G, "G3")-SUMIFS(Movimientos!E:E, Movimientos!D:D, A57, Movimientos!C:C, "Traslado", Movimientos!F:F, "G3")-SUMIFS(Movimientos!E:E, Movimientos!D:D, A57, Movimientos!C:C, "Egreso", Movimientos!F:F, "G3")+SUMIFS(Movimientos!E:E, Movimientos!D:D, A57, Movimientos!C:C, "Ajuste", Movimientos!F:F, "G3")),"")</f>
        <v/>
      </c>
      <c r="J57" s="6" t="str">
        <f aca="false">IFERROR(IF(A57="","",SUM(E57:I57)),"")</f>
        <v/>
      </c>
      <c r="K57" s="6" t="str">
        <f aca="false">IFERROR(IF(A57="","",SUMIFS(Movimientos!E:E, Movimientos!D:D, A57, Movimientos!C:C, "Reserva")-SUMIFS(Movimientos!E:E, Movimientos!D:D, A57, Movimientos!C:C, "Libera_Reserva")),"")</f>
        <v/>
      </c>
      <c r="L57" s="6" t="str">
        <f aca="false">IFERROR(IF(A57="","",J57-K57),"")</f>
        <v/>
      </c>
      <c r="M57" s="6" t="str">
        <f aca="false">IFERROR(IF(Productos!A57="","",Productos!G57),"")</f>
        <v/>
      </c>
      <c r="N57" s="6" t="str">
        <f aca="false">IFERROR(IF(A57="","",IF(L57&lt;M57,"BAJO STOCK","OK")),"")</f>
        <v/>
      </c>
    </row>
    <row r="58" customFormat="false" ht="15" hidden="false" customHeight="false" outlineLevel="0" collapsed="false">
      <c r="A58" s="0" t="str">
        <f aca="false">IFERROR(IF(Productos!A58="","",Productos!A58),"")</f>
        <v/>
      </c>
      <c r="B58" s="0" t="str">
        <f aca="false">IFERROR(IF(Productos!A58="","",Productos!B58),"")</f>
        <v/>
      </c>
      <c r="C58" s="0" t="str">
        <f aca="false">IFERROR(IF(Productos!A58="","",Productos!C58),"")</f>
        <v/>
      </c>
      <c r="D58" s="0" t="str">
        <f aca="false">IFERROR(IF(Productos!A58="","",Productos!E58),"")</f>
        <v/>
      </c>
      <c r="E58" s="6" t="str">
        <f aca="false">IFERROR(IF(A58="","",SUMIFS(Movimientos!E:E, Movimientos!D:D, A58, Movimientos!C:C, "Ingreso", Movimientos!G:G, "TIN")+SUMIFS(Movimientos!E:E, Movimientos!D:D, A58, Movimientos!C:C, "Traslado", Movimientos!G:G, "TIN")-SUMIFS(Movimientos!E:E, Movimientos!D:D, A58, Movimientos!C:C, "Traslado", Movimientos!F:F, "TIN")-SUMIFS(Movimientos!E:E, Movimientos!D:D, A58, Movimientos!C:C, "Egreso", Movimientos!F:F, "TIN")+SUMIFS(Movimientos!E:E, Movimientos!D:D, A58, Movimientos!C:C, "Ajuste", Movimientos!F:F, "TIN")),"")</f>
        <v/>
      </c>
      <c r="F58" s="6" t="str">
        <f aca="false">IFERROR(IF(A58="","",SUMIFS(Movimientos!E:E, Movimientos!D:D, A58, Movimientos!C:C, "Ingreso", Movimientos!G:G, "G1000")+SUMIFS(Movimientos!E:E, Movimientos!D:D, A58, Movimientos!C:C, "Traslado", Movimientos!G:G, "G1000")-SUMIFS(Movimientos!E:E, Movimientos!D:D, A58, Movimientos!C:C, "Traslado", Movimientos!F:F, "G1000")-SUMIFS(Movimientos!E:E, Movimientos!D:D, A58, Movimientos!C:C, "Egreso", Movimientos!F:F, "G1000")+SUMIFS(Movimientos!E:E, Movimientos!D:D, A58, Movimientos!C:C, "Ajuste", Movimientos!F:F, "G1000")),"")</f>
        <v/>
      </c>
      <c r="G58" s="6" t="str">
        <f aca="false">IFERROR(IF(A58="","",SUMIFS(Movimientos!E:E, Movimientos!D:D, A58, Movimientos!C:C, "Ingreso", Movimientos!G:G, "G710")+SUMIFS(Movimientos!E:E, Movimientos!D:D, A58, Movimientos!C:C, "Traslado", Movimientos!G:G, "G710")-SUMIFS(Movimientos!E:E, Movimientos!D:D, A58, Movimientos!C:C, "Traslado", Movimientos!F:F, "G710")-SUMIFS(Movimientos!E:E, Movimientos!D:D, A58, Movimientos!C:C, "Egreso", Movimientos!F:F, "G710")+SUMIFS(Movimientos!E:E, Movimientos!D:D, A58, Movimientos!C:C, "Ajuste", Movimientos!F:F, "G710")),"")</f>
        <v/>
      </c>
      <c r="H58" s="6" t="str">
        <f aca="false">IFERROR(IF(A58="","",SUMIFS(Movimientos!E:E, Movimientos!D:D, A58, Movimientos!C:C, "Ingreso", Movimientos!G:G, "G5000")+SUMIFS(Movimientos!E:E, Movimientos!D:D, A58, Movimientos!C:C, "Traslado", Movimientos!G:G, "G5000")-SUMIFS(Movimientos!E:E, Movimientos!D:D, A58, Movimientos!C:C, "Traslado", Movimientos!F:F, "G5000")-SUMIFS(Movimientos!E:E, Movimientos!D:D, A58, Movimientos!C:C, "Egreso", Movimientos!F:F, "G5000")+SUMIFS(Movimientos!E:E, Movimientos!D:D, A58, Movimientos!C:C, "Ajuste", Movimientos!F:F, "G5000")),"")</f>
        <v/>
      </c>
      <c r="I58" s="6" t="str">
        <f aca="false">IFERROR(IF(A58="","",SUMIFS(Movimientos!E:E, Movimientos!D:D, A58, Movimientos!C:C, "Ingreso", Movimientos!G:G, "G3")+SUMIFS(Movimientos!E:E, Movimientos!D:D, A58, Movimientos!C:C, "Traslado", Movimientos!G:G, "G3")-SUMIFS(Movimientos!E:E, Movimientos!D:D, A58, Movimientos!C:C, "Traslado", Movimientos!F:F, "G3")-SUMIFS(Movimientos!E:E, Movimientos!D:D, A58, Movimientos!C:C, "Egreso", Movimientos!F:F, "G3")+SUMIFS(Movimientos!E:E, Movimientos!D:D, A58, Movimientos!C:C, "Ajuste", Movimientos!F:F, "G3")),"")</f>
        <v/>
      </c>
      <c r="J58" s="6" t="str">
        <f aca="false">IFERROR(IF(A58="","",SUM(E58:I58)),"")</f>
        <v/>
      </c>
      <c r="K58" s="6" t="str">
        <f aca="false">IFERROR(IF(A58="","",SUMIFS(Movimientos!E:E, Movimientos!D:D, A58, Movimientos!C:C, "Reserva")-SUMIFS(Movimientos!E:E, Movimientos!D:D, A58, Movimientos!C:C, "Libera_Reserva")),"")</f>
        <v/>
      </c>
      <c r="L58" s="6" t="str">
        <f aca="false">IFERROR(IF(A58="","",J58-K58),"")</f>
        <v/>
      </c>
      <c r="M58" s="6" t="str">
        <f aca="false">IFERROR(IF(Productos!A58="","",Productos!G58),"")</f>
        <v/>
      </c>
      <c r="N58" s="6" t="str">
        <f aca="false">IFERROR(IF(A58="","",IF(L58&lt;M58,"BAJO STOCK","OK")),"")</f>
        <v/>
      </c>
    </row>
    <row r="59" customFormat="false" ht="15" hidden="false" customHeight="false" outlineLevel="0" collapsed="false">
      <c r="A59" s="0" t="str">
        <f aca="false">IFERROR(IF(Productos!A59="","",Productos!A59),"")</f>
        <v/>
      </c>
      <c r="B59" s="0" t="str">
        <f aca="false">IFERROR(IF(Productos!A59="","",Productos!B59),"")</f>
        <v/>
      </c>
      <c r="C59" s="0" t="str">
        <f aca="false">IFERROR(IF(Productos!A59="","",Productos!C59),"")</f>
        <v/>
      </c>
      <c r="D59" s="0" t="str">
        <f aca="false">IFERROR(IF(Productos!A59="","",Productos!E59),"")</f>
        <v/>
      </c>
      <c r="E59" s="6" t="str">
        <f aca="false">IFERROR(IF(A59="","",SUMIFS(Movimientos!E:E, Movimientos!D:D, A59, Movimientos!C:C, "Ingreso", Movimientos!G:G, "TIN")+SUMIFS(Movimientos!E:E, Movimientos!D:D, A59, Movimientos!C:C, "Traslado", Movimientos!G:G, "TIN")-SUMIFS(Movimientos!E:E, Movimientos!D:D, A59, Movimientos!C:C, "Traslado", Movimientos!F:F, "TIN")-SUMIFS(Movimientos!E:E, Movimientos!D:D, A59, Movimientos!C:C, "Egreso", Movimientos!F:F, "TIN")+SUMIFS(Movimientos!E:E, Movimientos!D:D, A59, Movimientos!C:C, "Ajuste", Movimientos!F:F, "TIN")),"")</f>
        <v/>
      </c>
      <c r="F59" s="6" t="str">
        <f aca="false">IFERROR(IF(A59="","",SUMIFS(Movimientos!E:E, Movimientos!D:D, A59, Movimientos!C:C, "Ingreso", Movimientos!G:G, "G1000")+SUMIFS(Movimientos!E:E, Movimientos!D:D, A59, Movimientos!C:C, "Traslado", Movimientos!G:G, "G1000")-SUMIFS(Movimientos!E:E, Movimientos!D:D, A59, Movimientos!C:C, "Traslado", Movimientos!F:F, "G1000")-SUMIFS(Movimientos!E:E, Movimientos!D:D, A59, Movimientos!C:C, "Egreso", Movimientos!F:F, "G1000")+SUMIFS(Movimientos!E:E, Movimientos!D:D, A59, Movimientos!C:C, "Ajuste", Movimientos!F:F, "G1000")),"")</f>
        <v/>
      </c>
      <c r="G59" s="6" t="str">
        <f aca="false">IFERROR(IF(A59="","",SUMIFS(Movimientos!E:E, Movimientos!D:D, A59, Movimientos!C:C, "Ingreso", Movimientos!G:G, "G710")+SUMIFS(Movimientos!E:E, Movimientos!D:D, A59, Movimientos!C:C, "Traslado", Movimientos!G:G, "G710")-SUMIFS(Movimientos!E:E, Movimientos!D:D, A59, Movimientos!C:C, "Traslado", Movimientos!F:F, "G710")-SUMIFS(Movimientos!E:E, Movimientos!D:D, A59, Movimientos!C:C, "Egreso", Movimientos!F:F, "G710")+SUMIFS(Movimientos!E:E, Movimientos!D:D, A59, Movimientos!C:C, "Ajuste", Movimientos!F:F, "G710")),"")</f>
        <v/>
      </c>
      <c r="H59" s="6" t="str">
        <f aca="false">IFERROR(IF(A59="","",SUMIFS(Movimientos!E:E, Movimientos!D:D, A59, Movimientos!C:C, "Ingreso", Movimientos!G:G, "G5000")+SUMIFS(Movimientos!E:E, Movimientos!D:D, A59, Movimientos!C:C, "Traslado", Movimientos!G:G, "G5000")-SUMIFS(Movimientos!E:E, Movimientos!D:D, A59, Movimientos!C:C, "Traslado", Movimientos!F:F, "G5000")-SUMIFS(Movimientos!E:E, Movimientos!D:D, A59, Movimientos!C:C, "Egreso", Movimientos!F:F, "G5000")+SUMIFS(Movimientos!E:E, Movimientos!D:D, A59, Movimientos!C:C, "Ajuste", Movimientos!F:F, "G5000")),"")</f>
        <v/>
      </c>
      <c r="I59" s="6" t="str">
        <f aca="false">IFERROR(IF(A59="","",SUMIFS(Movimientos!E:E, Movimientos!D:D, A59, Movimientos!C:C, "Ingreso", Movimientos!G:G, "G3")+SUMIFS(Movimientos!E:E, Movimientos!D:D, A59, Movimientos!C:C, "Traslado", Movimientos!G:G, "G3")-SUMIFS(Movimientos!E:E, Movimientos!D:D, A59, Movimientos!C:C, "Traslado", Movimientos!F:F, "G3")-SUMIFS(Movimientos!E:E, Movimientos!D:D, A59, Movimientos!C:C, "Egreso", Movimientos!F:F, "G3")+SUMIFS(Movimientos!E:E, Movimientos!D:D, A59, Movimientos!C:C, "Ajuste", Movimientos!F:F, "G3")),"")</f>
        <v/>
      </c>
      <c r="J59" s="6" t="str">
        <f aca="false">IFERROR(IF(A59="","",SUM(E59:I59)),"")</f>
        <v/>
      </c>
      <c r="K59" s="6" t="str">
        <f aca="false">IFERROR(IF(A59="","",SUMIFS(Movimientos!E:E, Movimientos!D:D, A59, Movimientos!C:C, "Reserva")-SUMIFS(Movimientos!E:E, Movimientos!D:D, A59, Movimientos!C:C, "Libera_Reserva")),"")</f>
        <v/>
      </c>
      <c r="L59" s="6" t="str">
        <f aca="false">IFERROR(IF(A59="","",J59-K59),"")</f>
        <v/>
      </c>
      <c r="M59" s="6" t="str">
        <f aca="false">IFERROR(IF(Productos!A59="","",Productos!G59),"")</f>
        <v/>
      </c>
      <c r="N59" s="6" t="str">
        <f aca="false">IFERROR(IF(A59="","",IF(L59&lt;M59,"BAJO STOCK","OK")),"")</f>
        <v/>
      </c>
    </row>
    <row r="60" customFormat="false" ht="15" hidden="false" customHeight="false" outlineLevel="0" collapsed="false">
      <c r="A60" s="0" t="str">
        <f aca="false">IFERROR(IF(Productos!A60="","",Productos!A60),"")</f>
        <v/>
      </c>
      <c r="B60" s="0" t="str">
        <f aca="false">IFERROR(IF(Productos!A60="","",Productos!B60),"")</f>
        <v/>
      </c>
      <c r="C60" s="0" t="str">
        <f aca="false">IFERROR(IF(Productos!A60="","",Productos!C60),"")</f>
        <v/>
      </c>
      <c r="D60" s="0" t="str">
        <f aca="false">IFERROR(IF(Productos!A60="","",Productos!E60),"")</f>
        <v/>
      </c>
      <c r="E60" s="6" t="str">
        <f aca="false">IFERROR(IF(A60="","",SUMIFS(Movimientos!E:E, Movimientos!D:D, A60, Movimientos!C:C, "Ingreso", Movimientos!G:G, "TIN")+SUMIFS(Movimientos!E:E, Movimientos!D:D, A60, Movimientos!C:C, "Traslado", Movimientos!G:G, "TIN")-SUMIFS(Movimientos!E:E, Movimientos!D:D, A60, Movimientos!C:C, "Traslado", Movimientos!F:F, "TIN")-SUMIFS(Movimientos!E:E, Movimientos!D:D, A60, Movimientos!C:C, "Egreso", Movimientos!F:F, "TIN")+SUMIFS(Movimientos!E:E, Movimientos!D:D, A60, Movimientos!C:C, "Ajuste", Movimientos!F:F, "TIN")),"")</f>
        <v/>
      </c>
      <c r="F60" s="6" t="str">
        <f aca="false">IFERROR(IF(A60="","",SUMIFS(Movimientos!E:E, Movimientos!D:D, A60, Movimientos!C:C, "Ingreso", Movimientos!G:G, "G1000")+SUMIFS(Movimientos!E:E, Movimientos!D:D, A60, Movimientos!C:C, "Traslado", Movimientos!G:G, "G1000")-SUMIFS(Movimientos!E:E, Movimientos!D:D, A60, Movimientos!C:C, "Traslado", Movimientos!F:F, "G1000")-SUMIFS(Movimientos!E:E, Movimientos!D:D, A60, Movimientos!C:C, "Egreso", Movimientos!F:F, "G1000")+SUMIFS(Movimientos!E:E, Movimientos!D:D, A60, Movimientos!C:C, "Ajuste", Movimientos!F:F, "G1000")),"")</f>
        <v/>
      </c>
      <c r="G60" s="6" t="str">
        <f aca="false">IFERROR(IF(A60="","",SUMIFS(Movimientos!E:E, Movimientos!D:D, A60, Movimientos!C:C, "Ingreso", Movimientos!G:G, "G710")+SUMIFS(Movimientos!E:E, Movimientos!D:D, A60, Movimientos!C:C, "Traslado", Movimientos!G:G, "G710")-SUMIFS(Movimientos!E:E, Movimientos!D:D, A60, Movimientos!C:C, "Traslado", Movimientos!F:F, "G710")-SUMIFS(Movimientos!E:E, Movimientos!D:D, A60, Movimientos!C:C, "Egreso", Movimientos!F:F, "G710")+SUMIFS(Movimientos!E:E, Movimientos!D:D, A60, Movimientos!C:C, "Ajuste", Movimientos!F:F, "G710")),"")</f>
        <v/>
      </c>
      <c r="H60" s="6" t="str">
        <f aca="false">IFERROR(IF(A60="","",SUMIFS(Movimientos!E:E, Movimientos!D:D, A60, Movimientos!C:C, "Ingreso", Movimientos!G:G, "G5000")+SUMIFS(Movimientos!E:E, Movimientos!D:D, A60, Movimientos!C:C, "Traslado", Movimientos!G:G, "G5000")-SUMIFS(Movimientos!E:E, Movimientos!D:D, A60, Movimientos!C:C, "Traslado", Movimientos!F:F, "G5000")-SUMIFS(Movimientos!E:E, Movimientos!D:D, A60, Movimientos!C:C, "Egreso", Movimientos!F:F, "G5000")+SUMIFS(Movimientos!E:E, Movimientos!D:D, A60, Movimientos!C:C, "Ajuste", Movimientos!F:F, "G5000")),"")</f>
        <v/>
      </c>
      <c r="I60" s="6" t="str">
        <f aca="false">IFERROR(IF(A60="","",SUMIFS(Movimientos!E:E, Movimientos!D:D, A60, Movimientos!C:C, "Ingreso", Movimientos!G:G, "G3")+SUMIFS(Movimientos!E:E, Movimientos!D:D, A60, Movimientos!C:C, "Traslado", Movimientos!G:G, "G3")-SUMIFS(Movimientos!E:E, Movimientos!D:D, A60, Movimientos!C:C, "Traslado", Movimientos!F:F, "G3")-SUMIFS(Movimientos!E:E, Movimientos!D:D, A60, Movimientos!C:C, "Egreso", Movimientos!F:F, "G3")+SUMIFS(Movimientos!E:E, Movimientos!D:D, A60, Movimientos!C:C, "Ajuste", Movimientos!F:F, "G3")),"")</f>
        <v/>
      </c>
      <c r="J60" s="6" t="str">
        <f aca="false">IFERROR(IF(A60="","",SUM(E60:I60)),"")</f>
        <v/>
      </c>
      <c r="K60" s="6" t="str">
        <f aca="false">IFERROR(IF(A60="","",SUMIFS(Movimientos!E:E, Movimientos!D:D, A60, Movimientos!C:C, "Reserva")-SUMIFS(Movimientos!E:E, Movimientos!D:D, A60, Movimientos!C:C, "Libera_Reserva")),"")</f>
        <v/>
      </c>
      <c r="L60" s="6" t="str">
        <f aca="false">IFERROR(IF(A60="","",J60-K60),"")</f>
        <v/>
      </c>
      <c r="M60" s="6" t="str">
        <f aca="false">IFERROR(IF(Productos!A60="","",Productos!G60),"")</f>
        <v/>
      </c>
      <c r="N60" s="6" t="str">
        <f aca="false">IFERROR(IF(A60="","",IF(L60&lt;M60,"BAJO STOCK","OK")),"")</f>
        <v/>
      </c>
    </row>
    <row r="61" customFormat="false" ht="15" hidden="false" customHeight="false" outlineLevel="0" collapsed="false">
      <c r="A61" s="0" t="str">
        <f aca="false">IFERROR(IF(Productos!A61="","",Productos!A61),"")</f>
        <v/>
      </c>
      <c r="B61" s="0" t="str">
        <f aca="false">IFERROR(IF(Productos!A61="","",Productos!B61),"")</f>
        <v/>
      </c>
      <c r="C61" s="0" t="str">
        <f aca="false">IFERROR(IF(Productos!A61="","",Productos!C61),"")</f>
        <v/>
      </c>
      <c r="D61" s="0" t="str">
        <f aca="false">IFERROR(IF(Productos!A61="","",Productos!E61),"")</f>
        <v/>
      </c>
      <c r="E61" s="6" t="str">
        <f aca="false">IFERROR(IF(A61="","",SUMIFS(Movimientos!E:E, Movimientos!D:D, A61, Movimientos!C:C, "Ingreso", Movimientos!G:G, "TIN")+SUMIFS(Movimientos!E:E, Movimientos!D:D, A61, Movimientos!C:C, "Traslado", Movimientos!G:G, "TIN")-SUMIFS(Movimientos!E:E, Movimientos!D:D, A61, Movimientos!C:C, "Traslado", Movimientos!F:F, "TIN")-SUMIFS(Movimientos!E:E, Movimientos!D:D, A61, Movimientos!C:C, "Egreso", Movimientos!F:F, "TIN")+SUMIFS(Movimientos!E:E, Movimientos!D:D, A61, Movimientos!C:C, "Ajuste", Movimientos!F:F, "TIN")),"")</f>
        <v/>
      </c>
      <c r="F61" s="6" t="str">
        <f aca="false">IFERROR(IF(A61="","",SUMIFS(Movimientos!E:E, Movimientos!D:D, A61, Movimientos!C:C, "Ingreso", Movimientos!G:G, "G1000")+SUMIFS(Movimientos!E:E, Movimientos!D:D, A61, Movimientos!C:C, "Traslado", Movimientos!G:G, "G1000")-SUMIFS(Movimientos!E:E, Movimientos!D:D, A61, Movimientos!C:C, "Traslado", Movimientos!F:F, "G1000")-SUMIFS(Movimientos!E:E, Movimientos!D:D, A61, Movimientos!C:C, "Egreso", Movimientos!F:F, "G1000")+SUMIFS(Movimientos!E:E, Movimientos!D:D, A61, Movimientos!C:C, "Ajuste", Movimientos!F:F, "G1000")),"")</f>
        <v/>
      </c>
      <c r="G61" s="6" t="str">
        <f aca="false">IFERROR(IF(A61="","",SUMIFS(Movimientos!E:E, Movimientos!D:D, A61, Movimientos!C:C, "Ingreso", Movimientos!G:G, "G710")+SUMIFS(Movimientos!E:E, Movimientos!D:D, A61, Movimientos!C:C, "Traslado", Movimientos!G:G, "G710")-SUMIFS(Movimientos!E:E, Movimientos!D:D, A61, Movimientos!C:C, "Traslado", Movimientos!F:F, "G710")-SUMIFS(Movimientos!E:E, Movimientos!D:D, A61, Movimientos!C:C, "Egreso", Movimientos!F:F, "G710")+SUMIFS(Movimientos!E:E, Movimientos!D:D, A61, Movimientos!C:C, "Ajuste", Movimientos!F:F, "G710")),"")</f>
        <v/>
      </c>
      <c r="H61" s="6" t="str">
        <f aca="false">IFERROR(IF(A61="","",SUMIFS(Movimientos!E:E, Movimientos!D:D, A61, Movimientos!C:C, "Ingreso", Movimientos!G:G, "G5000")+SUMIFS(Movimientos!E:E, Movimientos!D:D, A61, Movimientos!C:C, "Traslado", Movimientos!G:G, "G5000")-SUMIFS(Movimientos!E:E, Movimientos!D:D, A61, Movimientos!C:C, "Traslado", Movimientos!F:F, "G5000")-SUMIFS(Movimientos!E:E, Movimientos!D:D, A61, Movimientos!C:C, "Egreso", Movimientos!F:F, "G5000")+SUMIFS(Movimientos!E:E, Movimientos!D:D, A61, Movimientos!C:C, "Ajuste", Movimientos!F:F, "G5000")),"")</f>
        <v/>
      </c>
      <c r="I61" s="6" t="str">
        <f aca="false">IFERROR(IF(A61="","",SUMIFS(Movimientos!E:E, Movimientos!D:D, A61, Movimientos!C:C, "Ingreso", Movimientos!G:G, "G3")+SUMIFS(Movimientos!E:E, Movimientos!D:D, A61, Movimientos!C:C, "Traslado", Movimientos!G:G, "G3")-SUMIFS(Movimientos!E:E, Movimientos!D:D, A61, Movimientos!C:C, "Traslado", Movimientos!F:F, "G3")-SUMIFS(Movimientos!E:E, Movimientos!D:D, A61, Movimientos!C:C, "Egreso", Movimientos!F:F, "G3")+SUMIFS(Movimientos!E:E, Movimientos!D:D, A61, Movimientos!C:C, "Ajuste", Movimientos!F:F, "G3")),"")</f>
        <v/>
      </c>
      <c r="J61" s="6" t="str">
        <f aca="false">IFERROR(IF(A61="","",SUM(E61:I61)),"")</f>
        <v/>
      </c>
      <c r="K61" s="6" t="str">
        <f aca="false">IFERROR(IF(A61="","",SUMIFS(Movimientos!E:E, Movimientos!D:D, A61, Movimientos!C:C, "Reserva")-SUMIFS(Movimientos!E:E, Movimientos!D:D, A61, Movimientos!C:C, "Libera_Reserva")),"")</f>
        <v/>
      </c>
      <c r="L61" s="6" t="str">
        <f aca="false">IFERROR(IF(A61="","",J61-K61),"")</f>
        <v/>
      </c>
      <c r="M61" s="6" t="str">
        <f aca="false">IFERROR(IF(Productos!A61="","",Productos!G61),"")</f>
        <v/>
      </c>
      <c r="N61" s="6" t="str">
        <f aca="false">IFERROR(IF(A61="","",IF(L61&lt;M61,"BAJO STOCK","OK")),"")</f>
        <v/>
      </c>
    </row>
    <row r="62" customFormat="false" ht="15" hidden="false" customHeight="false" outlineLevel="0" collapsed="false">
      <c r="A62" s="0" t="str">
        <f aca="false">IFERROR(IF(Productos!A62="","",Productos!A62),"")</f>
        <v/>
      </c>
      <c r="B62" s="0" t="str">
        <f aca="false">IFERROR(IF(Productos!A62="","",Productos!B62),"")</f>
        <v/>
      </c>
      <c r="C62" s="0" t="str">
        <f aca="false">IFERROR(IF(Productos!A62="","",Productos!C62),"")</f>
        <v/>
      </c>
      <c r="D62" s="0" t="str">
        <f aca="false">IFERROR(IF(Productos!A62="","",Productos!E62),"")</f>
        <v/>
      </c>
      <c r="E62" s="6" t="str">
        <f aca="false">IFERROR(IF(A62="","",SUMIFS(Movimientos!E:E, Movimientos!D:D, A62, Movimientos!C:C, "Ingreso", Movimientos!G:G, "TIN")+SUMIFS(Movimientos!E:E, Movimientos!D:D, A62, Movimientos!C:C, "Traslado", Movimientos!G:G, "TIN")-SUMIFS(Movimientos!E:E, Movimientos!D:D, A62, Movimientos!C:C, "Traslado", Movimientos!F:F, "TIN")-SUMIFS(Movimientos!E:E, Movimientos!D:D, A62, Movimientos!C:C, "Egreso", Movimientos!F:F, "TIN")+SUMIFS(Movimientos!E:E, Movimientos!D:D, A62, Movimientos!C:C, "Ajuste", Movimientos!F:F, "TIN")),"")</f>
        <v/>
      </c>
      <c r="F62" s="6" t="str">
        <f aca="false">IFERROR(IF(A62="","",SUMIFS(Movimientos!E:E, Movimientos!D:D, A62, Movimientos!C:C, "Ingreso", Movimientos!G:G, "G1000")+SUMIFS(Movimientos!E:E, Movimientos!D:D, A62, Movimientos!C:C, "Traslado", Movimientos!G:G, "G1000")-SUMIFS(Movimientos!E:E, Movimientos!D:D, A62, Movimientos!C:C, "Traslado", Movimientos!F:F, "G1000")-SUMIFS(Movimientos!E:E, Movimientos!D:D, A62, Movimientos!C:C, "Egreso", Movimientos!F:F, "G1000")+SUMIFS(Movimientos!E:E, Movimientos!D:D, A62, Movimientos!C:C, "Ajuste", Movimientos!F:F, "G1000")),"")</f>
        <v/>
      </c>
      <c r="G62" s="6" t="str">
        <f aca="false">IFERROR(IF(A62="","",SUMIFS(Movimientos!E:E, Movimientos!D:D, A62, Movimientos!C:C, "Ingreso", Movimientos!G:G, "G710")+SUMIFS(Movimientos!E:E, Movimientos!D:D, A62, Movimientos!C:C, "Traslado", Movimientos!G:G, "G710")-SUMIFS(Movimientos!E:E, Movimientos!D:D, A62, Movimientos!C:C, "Traslado", Movimientos!F:F, "G710")-SUMIFS(Movimientos!E:E, Movimientos!D:D, A62, Movimientos!C:C, "Egreso", Movimientos!F:F, "G710")+SUMIFS(Movimientos!E:E, Movimientos!D:D, A62, Movimientos!C:C, "Ajuste", Movimientos!F:F, "G710")),"")</f>
        <v/>
      </c>
      <c r="H62" s="6" t="str">
        <f aca="false">IFERROR(IF(A62="","",SUMIFS(Movimientos!E:E, Movimientos!D:D, A62, Movimientos!C:C, "Ingreso", Movimientos!G:G, "G5000")+SUMIFS(Movimientos!E:E, Movimientos!D:D, A62, Movimientos!C:C, "Traslado", Movimientos!G:G, "G5000")-SUMIFS(Movimientos!E:E, Movimientos!D:D, A62, Movimientos!C:C, "Traslado", Movimientos!F:F, "G5000")-SUMIFS(Movimientos!E:E, Movimientos!D:D, A62, Movimientos!C:C, "Egreso", Movimientos!F:F, "G5000")+SUMIFS(Movimientos!E:E, Movimientos!D:D, A62, Movimientos!C:C, "Ajuste", Movimientos!F:F, "G5000")),"")</f>
        <v/>
      </c>
      <c r="I62" s="6" t="str">
        <f aca="false">IFERROR(IF(A62="","",SUMIFS(Movimientos!E:E, Movimientos!D:D, A62, Movimientos!C:C, "Ingreso", Movimientos!G:G, "G3")+SUMIFS(Movimientos!E:E, Movimientos!D:D, A62, Movimientos!C:C, "Traslado", Movimientos!G:G, "G3")-SUMIFS(Movimientos!E:E, Movimientos!D:D, A62, Movimientos!C:C, "Traslado", Movimientos!F:F, "G3")-SUMIFS(Movimientos!E:E, Movimientos!D:D, A62, Movimientos!C:C, "Egreso", Movimientos!F:F, "G3")+SUMIFS(Movimientos!E:E, Movimientos!D:D, A62, Movimientos!C:C, "Ajuste", Movimientos!F:F, "G3")),"")</f>
        <v/>
      </c>
      <c r="J62" s="6" t="str">
        <f aca="false">IFERROR(IF(A62="","",SUM(E62:I62)),"")</f>
        <v/>
      </c>
      <c r="K62" s="6" t="str">
        <f aca="false">IFERROR(IF(A62="","",SUMIFS(Movimientos!E:E, Movimientos!D:D, A62, Movimientos!C:C, "Reserva")-SUMIFS(Movimientos!E:E, Movimientos!D:D, A62, Movimientos!C:C, "Libera_Reserva")),"")</f>
        <v/>
      </c>
      <c r="L62" s="6" t="str">
        <f aca="false">IFERROR(IF(A62="","",J62-K62),"")</f>
        <v/>
      </c>
      <c r="M62" s="6" t="str">
        <f aca="false">IFERROR(IF(Productos!A62="","",Productos!G62),"")</f>
        <v/>
      </c>
      <c r="N62" s="6" t="str">
        <f aca="false">IFERROR(IF(A62="","",IF(L62&lt;M62,"BAJO STOCK","OK")),"")</f>
        <v/>
      </c>
    </row>
    <row r="63" customFormat="false" ht="15" hidden="false" customHeight="false" outlineLevel="0" collapsed="false">
      <c r="A63" s="0" t="str">
        <f aca="false">IFERROR(IF(Productos!A63="","",Productos!A63),"")</f>
        <v/>
      </c>
      <c r="B63" s="0" t="str">
        <f aca="false">IFERROR(IF(Productos!A63="","",Productos!B63),"")</f>
        <v/>
      </c>
      <c r="C63" s="0" t="str">
        <f aca="false">IFERROR(IF(Productos!A63="","",Productos!C63),"")</f>
        <v/>
      </c>
      <c r="D63" s="0" t="str">
        <f aca="false">IFERROR(IF(Productos!A63="","",Productos!E63),"")</f>
        <v/>
      </c>
      <c r="E63" s="6" t="str">
        <f aca="false">IFERROR(IF(A63="","",SUMIFS(Movimientos!E:E, Movimientos!D:D, A63, Movimientos!C:C, "Ingreso", Movimientos!G:G, "TIN")+SUMIFS(Movimientos!E:E, Movimientos!D:D, A63, Movimientos!C:C, "Traslado", Movimientos!G:G, "TIN")-SUMIFS(Movimientos!E:E, Movimientos!D:D, A63, Movimientos!C:C, "Traslado", Movimientos!F:F, "TIN")-SUMIFS(Movimientos!E:E, Movimientos!D:D, A63, Movimientos!C:C, "Egreso", Movimientos!F:F, "TIN")+SUMIFS(Movimientos!E:E, Movimientos!D:D, A63, Movimientos!C:C, "Ajuste", Movimientos!F:F, "TIN")),"")</f>
        <v/>
      </c>
      <c r="F63" s="6" t="str">
        <f aca="false">IFERROR(IF(A63="","",SUMIFS(Movimientos!E:E, Movimientos!D:D, A63, Movimientos!C:C, "Ingreso", Movimientos!G:G, "G1000")+SUMIFS(Movimientos!E:E, Movimientos!D:D, A63, Movimientos!C:C, "Traslado", Movimientos!G:G, "G1000")-SUMIFS(Movimientos!E:E, Movimientos!D:D, A63, Movimientos!C:C, "Traslado", Movimientos!F:F, "G1000")-SUMIFS(Movimientos!E:E, Movimientos!D:D, A63, Movimientos!C:C, "Egreso", Movimientos!F:F, "G1000")+SUMIFS(Movimientos!E:E, Movimientos!D:D, A63, Movimientos!C:C, "Ajuste", Movimientos!F:F, "G1000")),"")</f>
        <v/>
      </c>
      <c r="G63" s="6" t="str">
        <f aca="false">IFERROR(IF(A63="","",SUMIFS(Movimientos!E:E, Movimientos!D:D, A63, Movimientos!C:C, "Ingreso", Movimientos!G:G, "G710")+SUMIFS(Movimientos!E:E, Movimientos!D:D, A63, Movimientos!C:C, "Traslado", Movimientos!G:G, "G710")-SUMIFS(Movimientos!E:E, Movimientos!D:D, A63, Movimientos!C:C, "Traslado", Movimientos!F:F, "G710")-SUMIFS(Movimientos!E:E, Movimientos!D:D, A63, Movimientos!C:C, "Egreso", Movimientos!F:F, "G710")+SUMIFS(Movimientos!E:E, Movimientos!D:D, A63, Movimientos!C:C, "Ajuste", Movimientos!F:F, "G710")),"")</f>
        <v/>
      </c>
      <c r="H63" s="6" t="str">
        <f aca="false">IFERROR(IF(A63="","",SUMIFS(Movimientos!E:E, Movimientos!D:D, A63, Movimientos!C:C, "Ingreso", Movimientos!G:G, "G5000")+SUMIFS(Movimientos!E:E, Movimientos!D:D, A63, Movimientos!C:C, "Traslado", Movimientos!G:G, "G5000")-SUMIFS(Movimientos!E:E, Movimientos!D:D, A63, Movimientos!C:C, "Traslado", Movimientos!F:F, "G5000")-SUMIFS(Movimientos!E:E, Movimientos!D:D, A63, Movimientos!C:C, "Egreso", Movimientos!F:F, "G5000")+SUMIFS(Movimientos!E:E, Movimientos!D:D, A63, Movimientos!C:C, "Ajuste", Movimientos!F:F, "G5000")),"")</f>
        <v/>
      </c>
      <c r="I63" s="6" t="str">
        <f aca="false">IFERROR(IF(A63="","",SUMIFS(Movimientos!E:E, Movimientos!D:D, A63, Movimientos!C:C, "Ingreso", Movimientos!G:G, "G3")+SUMIFS(Movimientos!E:E, Movimientos!D:D, A63, Movimientos!C:C, "Traslado", Movimientos!G:G, "G3")-SUMIFS(Movimientos!E:E, Movimientos!D:D, A63, Movimientos!C:C, "Traslado", Movimientos!F:F, "G3")-SUMIFS(Movimientos!E:E, Movimientos!D:D, A63, Movimientos!C:C, "Egreso", Movimientos!F:F, "G3")+SUMIFS(Movimientos!E:E, Movimientos!D:D, A63, Movimientos!C:C, "Ajuste", Movimientos!F:F, "G3")),"")</f>
        <v/>
      </c>
      <c r="J63" s="6" t="str">
        <f aca="false">IFERROR(IF(A63="","",SUM(E63:I63)),"")</f>
        <v/>
      </c>
      <c r="K63" s="6" t="str">
        <f aca="false">IFERROR(IF(A63="","",SUMIFS(Movimientos!E:E, Movimientos!D:D, A63, Movimientos!C:C, "Reserva")-SUMIFS(Movimientos!E:E, Movimientos!D:D, A63, Movimientos!C:C, "Libera_Reserva")),"")</f>
        <v/>
      </c>
      <c r="L63" s="6" t="str">
        <f aca="false">IFERROR(IF(A63="","",J63-K63),"")</f>
        <v/>
      </c>
      <c r="M63" s="6" t="str">
        <f aca="false">IFERROR(IF(Productos!A63="","",Productos!G63),"")</f>
        <v/>
      </c>
      <c r="N63" s="6" t="str">
        <f aca="false">IFERROR(IF(A63="","",IF(L63&lt;M63,"BAJO STOCK","OK")),"")</f>
        <v/>
      </c>
    </row>
    <row r="64" customFormat="false" ht="15" hidden="false" customHeight="false" outlineLevel="0" collapsed="false">
      <c r="A64" s="0" t="str">
        <f aca="false">IFERROR(IF(Productos!A64="","",Productos!A64),"")</f>
        <v/>
      </c>
      <c r="B64" s="0" t="str">
        <f aca="false">IFERROR(IF(Productos!A64="","",Productos!B64),"")</f>
        <v/>
      </c>
      <c r="C64" s="0" t="str">
        <f aca="false">IFERROR(IF(Productos!A64="","",Productos!C64),"")</f>
        <v/>
      </c>
      <c r="D64" s="0" t="str">
        <f aca="false">IFERROR(IF(Productos!A64="","",Productos!E64),"")</f>
        <v/>
      </c>
      <c r="E64" s="6" t="str">
        <f aca="false">IFERROR(IF(A64="","",SUMIFS(Movimientos!E:E, Movimientos!D:D, A64, Movimientos!C:C, "Ingreso", Movimientos!G:G, "TIN")+SUMIFS(Movimientos!E:E, Movimientos!D:D, A64, Movimientos!C:C, "Traslado", Movimientos!G:G, "TIN")-SUMIFS(Movimientos!E:E, Movimientos!D:D, A64, Movimientos!C:C, "Traslado", Movimientos!F:F, "TIN")-SUMIFS(Movimientos!E:E, Movimientos!D:D, A64, Movimientos!C:C, "Egreso", Movimientos!F:F, "TIN")+SUMIFS(Movimientos!E:E, Movimientos!D:D, A64, Movimientos!C:C, "Ajuste", Movimientos!F:F, "TIN")),"")</f>
        <v/>
      </c>
      <c r="F64" s="6" t="str">
        <f aca="false">IFERROR(IF(A64="","",SUMIFS(Movimientos!E:E, Movimientos!D:D, A64, Movimientos!C:C, "Ingreso", Movimientos!G:G, "G1000")+SUMIFS(Movimientos!E:E, Movimientos!D:D, A64, Movimientos!C:C, "Traslado", Movimientos!G:G, "G1000")-SUMIFS(Movimientos!E:E, Movimientos!D:D, A64, Movimientos!C:C, "Traslado", Movimientos!F:F, "G1000")-SUMIFS(Movimientos!E:E, Movimientos!D:D, A64, Movimientos!C:C, "Egreso", Movimientos!F:F, "G1000")+SUMIFS(Movimientos!E:E, Movimientos!D:D, A64, Movimientos!C:C, "Ajuste", Movimientos!F:F, "G1000")),"")</f>
        <v/>
      </c>
      <c r="G64" s="6" t="str">
        <f aca="false">IFERROR(IF(A64="","",SUMIFS(Movimientos!E:E, Movimientos!D:D, A64, Movimientos!C:C, "Ingreso", Movimientos!G:G, "G710")+SUMIFS(Movimientos!E:E, Movimientos!D:D, A64, Movimientos!C:C, "Traslado", Movimientos!G:G, "G710")-SUMIFS(Movimientos!E:E, Movimientos!D:D, A64, Movimientos!C:C, "Traslado", Movimientos!F:F, "G710")-SUMIFS(Movimientos!E:E, Movimientos!D:D, A64, Movimientos!C:C, "Egreso", Movimientos!F:F, "G710")+SUMIFS(Movimientos!E:E, Movimientos!D:D, A64, Movimientos!C:C, "Ajuste", Movimientos!F:F, "G710")),"")</f>
        <v/>
      </c>
      <c r="H64" s="6" t="str">
        <f aca="false">IFERROR(IF(A64="","",SUMIFS(Movimientos!E:E, Movimientos!D:D, A64, Movimientos!C:C, "Ingreso", Movimientos!G:G, "G5000")+SUMIFS(Movimientos!E:E, Movimientos!D:D, A64, Movimientos!C:C, "Traslado", Movimientos!G:G, "G5000")-SUMIFS(Movimientos!E:E, Movimientos!D:D, A64, Movimientos!C:C, "Traslado", Movimientos!F:F, "G5000")-SUMIFS(Movimientos!E:E, Movimientos!D:D, A64, Movimientos!C:C, "Egreso", Movimientos!F:F, "G5000")+SUMIFS(Movimientos!E:E, Movimientos!D:D, A64, Movimientos!C:C, "Ajuste", Movimientos!F:F, "G5000")),"")</f>
        <v/>
      </c>
      <c r="I64" s="6" t="str">
        <f aca="false">IFERROR(IF(A64="","",SUMIFS(Movimientos!E:E, Movimientos!D:D, A64, Movimientos!C:C, "Ingreso", Movimientos!G:G, "G3")+SUMIFS(Movimientos!E:E, Movimientos!D:D, A64, Movimientos!C:C, "Traslado", Movimientos!G:G, "G3")-SUMIFS(Movimientos!E:E, Movimientos!D:D, A64, Movimientos!C:C, "Traslado", Movimientos!F:F, "G3")-SUMIFS(Movimientos!E:E, Movimientos!D:D, A64, Movimientos!C:C, "Egreso", Movimientos!F:F, "G3")+SUMIFS(Movimientos!E:E, Movimientos!D:D, A64, Movimientos!C:C, "Ajuste", Movimientos!F:F, "G3")),"")</f>
        <v/>
      </c>
      <c r="J64" s="6" t="str">
        <f aca="false">IFERROR(IF(A64="","",SUM(E64:I64)),"")</f>
        <v/>
      </c>
      <c r="K64" s="6" t="str">
        <f aca="false">IFERROR(IF(A64="","",SUMIFS(Movimientos!E:E, Movimientos!D:D, A64, Movimientos!C:C, "Reserva")-SUMIFS(Movimientos!E:E, Movimientos!D:D, A64, Movimientos!C:C, "Libera_Reserva")),"")</f>
        <v/>
      </c>
      <c r="L64" s="6" t="str">
        <f aca="false">IFERROR(IF(A64="","",J64-K64),"")</f>
        <v/>
      </c>
      <c r="M64" s="6" t="str">
        <f aca="false">IFERROR(IF(Productos!A64="","",Productos!G64),"")</f>
        <v/>
      </c>
      <c r="N64" s="6" t="str">
        <f aca="false">IFERROR(IF(A64="","",IF(L64&lt;M64,"BAJO STOCK","OK")),"")</f>
        <v/>
      </c>
    </row>
    <row r="65" customFormat="false" ht="15" hidden="false" customHeight="false" outlineLevel="0" collapsed="false">
      <c r="A65" s="0" t="str">
        <f aca="false">IFERROR(IF(Productos!A65="","",Productos!A65),"")</f>
        <v/>
      </c>
      <c r="B65" s="0" t="str">
        <f aca="false">IFERROR(IF(Productos!A65="","",Productos!B65),"")</f>
        <v/>
      </c>
      <c r="C65" s="0" t="str">
        <f aca="false">IFERROR(IF(Productos!A65="","",Productos!C65),"")</f>
        <v/>
      </c>
      <c r="D65" s="0" t="str">
        <f aca="false">IFERROR(IF(Productos!A65="","",Productos!E65),"")</f>
        <v/>
      </c>
      <c r="E65" s="6" t="str">
        <f aca="false">IFERROR(IF(A65="","",SUMIFS(Movimientos!E:E, Movimientos!D:D, A65, Movimientos!C:C, "Ingreso", Movimientos!G:G, "TIN")+SUMIFS(Movimientos!E:E, Movimientos!D:D, A65, Movimientos!C:C, "Traslado", Movimientos!G:G, "TIN")-SUMIFS(Movimientos!E:E, Movimientos!D:D, A65, Movimientos!C:C, "Traslado", Movimientos!F:F, "TIN")-SUMIFS(Movimientos!E:E, Movimientos!D:D, A65, Movimientos!C:C, "Egreso", Movimientos!F:F, "TIN")+SUMIFS(Movimientos!E:E, Movimientos!D:D, A65, Movimientos!C:C, "Ajuste", Movimientos!F:F, "TIN")),"")</f>
        <v/>
      </c>
      <c r="F65" s="6" t="str">
        <f aca="false">IFERROR(IF(A65="","",SUMIFS(Movimientos!E:E, Movimientos!D:D, A65, Movimientos!C:C, "Ingreso", Movimientos!G:G, "G1000")+SUMIFS(Movimientos!E:E, Movimientos!D:D, A65, Movimientos!C:C, "Traslado", Movimientos!G:G, "G1000")-SUMIFS(Movimientos!E:E, Movimientos!D:D, A65, Movimientos!C:C, "Traslado", Movimientos!F:F, "G1000")-SUMIFS(Movimientos!E:E, Movimientos!D:D, A65, Movimientos!C:C, "Egreso", Movimientos!F:F, "G1000")+SUMIFS(Movimientos!E:E, Movimientos!D:D, A65, Movimientos!C:C, "Ajuste", Movimientos!F:F, "G1000")),"")</f>
        <v/>
      </c>
      <c r="G65" s="6" t="str">
        <f aca="false">IFERROR(IF(A65="","",SUMIFS(Movimientos!E:E, Movimientos!D:D, A65, Movimientos!C:C, "Ingreso", Movimientos!G:G, "G710")+SUMIFS(Movimientos!E:E, Movimientos!D:D, A65, Movimientos!C:C, "Traslado", Movimientos!G:G, "G710")-SUMIFS(Movimientos!E:E, Movimientos!D:D, A65, Movimientos!C:C, "Traslado", Movimientos!F:F, "G710")-SUMIFS(Movimientos!E:E, Movimientos!D:D, A65, Movimientos!C:C, "Egreso", Movimientos!F:F, "G710")+SUMIFS(Movimientos!E:E, Movimientos!D:D, A65, Movimientos!C:C, "Ajuste", Movimientos!F:F, "G710")),"")</f>
        <v/>
      </c>
      <c r="H65" s="6" t="str">
        <f aca="false">IFERROR(IF(A65="","",SUMIFS(Movimientos!E:E, Movimientos!D:D, A65, Movimientos!C:C, "Ingreso", Movimientos!G:G, "G5000")+SUMIFS(Movimientos!E:E, Movimientos!D:D, A65, Movimientos!C:C, "Traslado", Movimientos!G:G, "G5000")-SUMIFS(Movimientos!E:E, Movimientos!D:D, A65, Movimientos!C:C, "Traslado", Movimientos!F:F, "G5000")-SUMIFS(Movimientos!E:E, Movimientos!D:D, A65, Movimientos!C:C, "Egreso", Movimientos!F:F, "G5000")+SUMIFS(Movimientos!E:E, Movimientos!D:D, A65, Movimientos!C:C, "Ajuste", Movimientos!F:F, "G5000")),"")</f>
        <v/>
      </c>
      <c r="I65" s="6" t="str">
        <f aca="false">IFERROR(IF(A65="","",SUMIFS(Movimientos!E:E, Movimientos!D:D, A65, Movimientos!C:C, "Ingreso", Movimientos!G:G, "G3")+SUMIFS(Movimientos!E:E, Movimientos!D:D, A65, Movimientos!C:C, "Traslado", Movimientos!G:G, "G3")-SUMIFS(Movimientos!E:E, Movimientos!D:D, A65, Movimientos!C:C, "Traslado", Movimientos!F:F, "G3")-SUMIFS(Movimientos!E:E, Movimientos!D:D, A65, Movimientos!C:C, "Egreso", Movimientos!F:F, "G3")+SUMIFS(Movimientos!E:E, Movimientos!D:D, A65, Movimientos!C:C, "Ajuste", Movimientos!F:F, "G3")),"")</f>
        <v/>
      </c>
      <c r="J65" s="6" t="str">
        <f aca="false">IFERROR(IF(A65="","",SUM(E65:I65)),"")</f>
        <v/>
      </c>
      <c r="K65" s="6" t="str">
        <f aca="false">IFERROR(IF(A65="","",SUMIFS(Movimientos!E:E, Movimientos!D:D, A65, Movimientos!C:C, "Reserva")-SUMIFS(Movimientos!E:E, Movimientos!D:D, A65, Movimientos!C:C, "Libera_Reserva")),"")</f>
        <v/>
      </c>
      <c r="L65" s="6" t="str">
        <f aca="false">IFERROR(IF(A65="","",J65-K65),"")</f>
        <v/>
      </c>
      <c r="M65" s="6" t="str">
        <f aca="false">IFERROR(IF(Productos!A65="","",Productos!G65),"")</f>
        <v/>
      </c>
      <c r="N65" s="6" t="str">
        <f aca="false">IFERROR(IF(A65="","",IF(L65&lt;M65,"BAJO STOCK","OK")),"")</f>
        <v/>
      </c>
    </row>
    <row r="66" customFormat="false" ht="15" hidden="false" customHeight="false" outlineLevel="0" collapsed="false">
      <c r="A66" s="0" t="str">
        <f aca="false">IFERROR(IF(Productos!A66="","",Productos!A66),"")</f>
        <v/>
      </c>
      <c r="B66" s="0" t="str">
        <f aca="false">IFERROR(IF(Productos!A66="","",Productos!B66),"")</f>
        <v/>
      </c>
      <c r="C66" s="0" t="str">
        <f aca="false">IFERROR(IF(Productos!A66="","",Productos!C66),"")</f>
        <v/>
      </c>
      <c r="D66" s="0" t="str">
        <f aca="false">IFERROR(IF(Productos!A66="","",Productos!E66),"")</f>
        <v/>
      </c>
      <c r="E66" s="6" t="str">
        <f aca="false">IFERROR(IF(A66="","",SUMIFS(Movimientos!E:E, Movimientos!D:D, A66, Movimientos!C:C, "Ingreso", Movimientos!G:G, "TIN")+SUMIFS(Movimientos!E:E, Movimientos!D:D, A66, Movimientos!C:C, "Traslado", Movimientos!G:G, "TIN")-SUMIFS(Movimientos!E:E, Movimientos!D:D, A66, Movimientos!C:C, "Traslado", Movimientos!F:F, "TIN")-SUMIFS(Movimientos!E:E, Movimientos!D:D, A66, Movimientos!C:C, "Egreso", Movimientos!F:F, "TIN")+SUMIFS(Movimientos!E:E, Movimientos!D:D, A66, Movimientos!C:C, "Ajuste", Movimientos!F:F, "TIN")),"")</f>
        <v/>
      </c>
      <c r="F66" s="6" t="str">
        <f aca="false">IFERROR(IF(A66="","",SUMIFS(Movimientos!E:E, Movimientos!D:D, A66, Movimientos!C:C, "Ingreso", Movimientos!G:G, "G1000")+SUMIFS(Movimientos!E:E, Movimientos!D:D, A66, Movimientos!C:C, "Traslado", Movimientos!G:G, "G1000")-SUMIFS(Movimientos!E:E, Movimientos!D:D, A66, Movimientos!C:C, "Traslado", Movimientos!F:F, "G1000")-SUMIFS(Movimientos!E:E, Movimientos!D:D, A66, Movimientos!C:C, "Egreso", Movimientos!F:F, "G1000")+SUMIFS(Movimientos!E:E, Movimientos!D:D, A66, Movimientos!C:C, "Ajuste", Movimientos!F:F, "G1000")),"")</f>
        <v/>
      </c>
      <c r="G66" s="6" t="str">
        <f aca="false">IFERROR(IF(A66="","",SUMIFS(Movimientos!E:E, Movimientos!D:D, A66, Movimientos!C:C, "Ingreso", Movimientos!G:G, "G710")+SUMIFS(Movimientos!E:E, Movimientos!D:D, A66, Movimientos!C:C, "Traslado", Movimientos!G:G, "G710")-SUMIFS(Movimientos!E:E, Movimientos!D:D, A66, Movimientos!C:C, "Traslado", Movimientos!F:F, "G710")-SUMIFS(Movimientos!E:E, Movimientos!D:D, A66, Movimientos!C:C, "Egreso", Movimientos!F:F, "G710")+SUMIFS(Movimientos!E:E, Movimientos!D:D, A66, Movimientos!C:C, "Ajuste", Movimientos!F:F, "G710")),"")</f>
        <v/>
      </c>
      <c r="H66" s="6" t="str">
        <f aca="false">IFERROR(IF(A66="","",SUMIFS(Movimientos!E:E, Movimientos!D:D, A66, Movimientos!C:C, "Ingreso", Movimientos!G:G, "G5000")+SUMIFS(Movimientos!E:E, Movimientos!D:D, A66, Movimientos!C:C, "Traslado", Movimientos!G:G, "G5000")-SUMIFS(Movimientos!E:E, Movimientos!D:D, A66, Movimientos!C:C, "Traslado", Movimientos!F:F, "G5000")-SUMIFS(Movimientos!E:E, Movimientos!D:D, A66, Movimientos!C:C, "Egreso", Movimientos!F:F, "G5000")+SUMIFS(Movimientos!E:E, Movimientos!D:D, A66, Movimientos!C:C, "Ajuste", Movimientos!F:F, "G5000")),"")</f>
        <v/>
      </c>
      <c r="I66" s="6" t="str">
        <f aca="false">IFERROR(IF(A66="","",SUMIFS(Movimientos!E:E, Movimientos!D:D, A66, Movimientos!C:C, "Ingreso", Movimientos!G:G, "G3")+SUMIFS(Movimientos!E:E, Movimientos!D:D, A66, Movimientos!C:C, "Traslado", Movimientos!G:G, "G3")-SUMIFS(Movimientos!E:E, Movimientos!D:D, A66, Movimientos!C:C, "Traslado", Movimientos!F:F, "G3")-SUMIFS(Movimientos!E:E, Movimientos!D:D, A66, Movimientos!C:C, "Egreso", Movimientos!F:F, "G3")+SUMIFS(Movimientos!E:E, Movimientos!D:D, A66, Movimientos!C:C, "Ajuste", Movimientos!F:F, "G3")),"")</f>
        <v/>
      </c>
      <c r="J66" s="6" t="str">
        <f aca="false">IFERROR(IF(A66="","",SUM(E66:I66)),"")</f>
        <v/>
      </c>
      <c r="K66" s="6" t="str">
        <f aca="false">IFERROR(IF(A66="","",SUMIFS(Movimientos!E:E, Movimientos!D:D, A66, Movimientos!C:C, "Reserva")-SUMIFS(Movimientos!E:E, Movimientos!D:D, A66, Movimientos!C:C, "Libera_Reserva")),"")</f>
        <v/>
      </c>
      <c r="L66" s="6" t="str">
        <f aca="false">IFERROR(IF(A66="","",J66-K66),"")</f>
        <v/>
      </c>
      <c r="M66" s="6" t="str">
        <f aca="false">IFERROR(IF(Productos!A66="","",Productos!G66),"")</f>
        <v/>
      </c>
      <c r="N66" s="6" t="str">
        <f aca="false">IFERROR(IF(A66="","",IF(L66&lt;M66,"BAJO STOCK","OK")),"")</f>
        <v/>
      </c>
    </row>
    <row r="67" customFormat="false" ht="15" hidden="false" customHeight="false" outlineLevel="0" collapsed="false">
      <c r="A67" s="0" t="str">
        <f aca="false">IFERROR(IF(Productos!A67="","",Productos!A67),"")</f>
        <v/>
      </c>
      <c r="B67" s="0" t="str">
        <f aca="false">IFERROR(IF(Productos!A67="","",Productos!B67),"")</f>
        <v/>
      </c>
      <c r="C67" s="0" t="str">
        <f aca="false">IFERROR(IF(Productos!A67="","",Productos!C67),"")</f>
        <v/>
      </c>
      <c r="D67" s="0" t="str">
        <f aca="false">IFERROR(IF(Productos!A67="","",Productos!E67),"")</f>
        <v/>
      </c>
      <c r="E67" s="6" t="str">
        <f aca="false">IFERROR(IF(A67="","",SUMIFS(Movimientos!E:E, Movimientos!D:D, A67, Movimientos!C:C, "Ingreso", Movimientos!G:G, "TIN")+SUMIFS(Movimientos!E:E, Movimientos!D:D, A67, Movimientos!C:C, "Traslado", Movimientos!G:G, "TIN")-SUMIFS(Movimientos!E:E, Movimientos!D:D, A67, Movimientos!C:C, "Traslado", Movimientos!F:F, "TIN")-SUMIFS(Movimientos!E:E, Movimientos!D:D, A67, Movimientos!C:C, "Egreso", Movimientos!F:F, "TIN")+SUMIFS(Movimientos!E:E, Movimientos!D:D, A67, Movimientos!C:C, "Ajuste", Movimientos!F:F, "TIN")),"")</f>
        <v/>
      </c>
      <c r="F67" s="6" t="str">
        <f aca="false">IFERROR(IF(A67="","",SUMIFS(Movimientos!E:E, Movimientos!D:D, A67, Movimientos!C:C, "Ingreso", Movimientos!G:G, "G1000")+SUMIFS(Movimientos!E:E, Movimientos!D:D, A67, Movimientos!C:C, "Traslado", Movimientos!G:G, "G1000")-SUMIFS(Movimientos!E:E, Movimientos!D:D, A67, Movimientos!C:C, "Traslado", Movimientos!F:F, "G1000")-SUMIFS(Movimientos!E:E, Movimientos!D:D, A67, Movimientos!C:C, "Egreso", Movimientos!F:F, "G1000")+SUMIFS(Movimientos!E:E, Movimientos!D:D, A67, Movimientos!C:C, "Ajuste", Movimientos!F:F, "G1000")),"")</f>
        <v/>
      </c>
      <c r="G67" s="6" t="str">
        <f aca="false">IFERROR(IF(A67="","",SUMIFS(Movimientos!E:E, Movimientos!D:D, A67, Movimientos!C:C, "Ingreso", Movimientos!G:G, "G710")+SUMIFS(Movimientos!E:E, Movimientos!D:D, A67, Movimientos!C:C, "Traslado", Movimientos!G:G, "G710")-SUMIFS(Movimientos!E:E, Movimientos!D:D, A67, Movimientos!C:C, "Traslado", Movimientos!F:F, "G710")-SUMIFS(Movimientos!E:E, Movimientos!D:D, A67, Movimientos!C:C, "Egreso", Movimientos!F:F, "G710")+SUMIFS(Movimientos!E:E, Movimientos!D:D, A67, Movimientos!C:C, "Ajuste", Movimientos!F:F, "G710")),"")</f>
        <v/>
      </c>
      <c r="H67" s="6" t="str">
        <f aca="false">IFERROR(IF(A67="","",SUMIFS(Movimientos!E:E, Movimientos!D:D, A67, Movimientos!C:C, "Ingreso", Movimientos!G:G, "G5000")+SUMIFS(Movimientos!E:E, Movimientos!D:D, A67, Movimientos!C:C, "Traslado", Movimientos!G:G, "G5000")-SUMIFS(Movimientos!E:E, Movimientos!D:D, A67, Movimientos!C:C, "Traslado", Movimientos!F:F, "G5000")-SUMIFS(Movimientos!E:E, Movimientos!D:D, A67, Movimientos!C:C, "Egreso", Movimientos!F:F, "G5000")+SUMIFS(Movimientos!E:E, Movimientos!D:D, A67, Movimientos!C:C, "Ajuste", Movimientos!F:F, "G5000")),"")</f>
        <v/>
      </c>
      <c r="I67" s="6" t="str">
        <f aca="false">IFERROR(IF(A67="","",SUMIFS(Movimientos!E:E, Movimientos!D:D, A67, Movimientos!C:C, "Ingreso", Movimientos!G:G, "G3")+SUMIFS(Movimientos!E:E, Movimientos!D:D, A67, Movimientos!C:C, "Traslado", Movimientos!G:G, "G3")-SUMIFS(Movimientos!E:E, Movimientos!D:D, A67, Movimientos!C:C, "Traslado", Movimientos!F:F, "G3")-SUMIFS(Movimientos!E:E, Movimientos!D:D, A67, Movimientos!C:C, "Egreso", Movimientos!F:F, "G3")+SUMIFS(Movimientos!E:E, Movimientos!D:D, A67, Movimientos!C:C, "Ajuste", Movimientos!F:F, "G3")),"")</f>
        <v/>
      </c>
      <c r="J67" s="6" t="str">
        <f aca="false">IFERROR(IF(A67="","",SUM(E67:I67)),"")</f>
        <v/>
      </c>
      <c r="K67" s="6" t="str">
        <f aca="false">IFERROR(IF(A67="","",SUMIFS(Movimientos!E:E, Movimientos!D:D, A67, Movimientos!C:C, "Reserva")-SUMIFS(Movimientos!E:E, Movimientos!D:D, A67, Movimientos!C:C, "Libera_Reserva")),"")</f>
        <v/>
      </c>
      <c r="L67" s="6" t="str">
        <f aca="false">IFERROR(IF(A67="","",J67-K67),"")</f>
        <v/>
      </c>
      <c r="M67" s="6" t="str">
        <f aca="false">IFERROR(IF(Productos!A67="","",Productos!G67),"")</f>
        <v/>
      </c>
      <c r="N67" s="6" t="str">
        <f aca="false">IFERROR(IF(A67="","",IF(L67&lt;M67,"BAJO STOCK","OK")),"")</f>
        <v/>
      </c>
    </row>
    <row r="68" customFormat="false" ht="15" hidden="false" customHeight="false" outlineLevel="0" collapsed="false">
      <c r="A68" s="0" t="str">
        <f aca="false">IFERROR(IF(Productos!A68="","",Productos!A68),"")</f>
        <v/>
      </c>
      <c r="B68" s="0" t="str">
        <f aca="false">IFERROR(IF(Productos!A68="","",Productos!B68),"")</f>
        <v/>
      </c>
      <c r="C68" s="0" t="str">
        <f aca="false">IFERROR(IF(Productos!A68="","",Productos!C68),"")</f>
        <v/>
      </c>
      <c r="D68" s="0" t="str">
        <f aca="false">IFERROR(IF(Productos!A68="","",Productos!E68),"")</f>
        <v/>
      </c>
      <c r="E68" s="6" t="str">
        <f aca="false">IFERROR(IF(A68="","",SUMIFS(Movimientos!E:E, Movimientos!D:D, A68, Movimientos!C:C, "Ingreso", Movimientos!G:G, "TIN")+SUMIFS(Movimientos!E:E, Movimientos!D:D, A68, Movimientos!C:C, "Traslado", Movimientos!G:G, "TIN")-SUMIFS(Movimientos!E:E, Movimientos!D:D, A68, Movimientos!C:C, "Traslado", Movimientos!F:F, "TIN")-SUMIFS(Movimientos!E:E, Movimientos!D:D, A68, Movimientos!C:C, "Egreso", Movimientos!F:F, "TIN")+SUMIFS(Movimientos!E:E, Movimientos!D:D, A68, Movimientos!C:C, "Ajuste", Movimientos!F:F, "TIN")),"")</f>
        <v/>
      </c>
      <c r="F68" s="6" t="str">
        <f aca="false">IFERROR(IF(A68="","",SUMIFS(Movimientos!E:E, Movimientos!D:D, A68, Movimientos!C:C, "Ingreso", Movimientos!G:G, "G1000")+SUMIFS(Movimientos!E:E, Movimientos!D:D, A68, Movimientos!C:C, "Traslado", Movimientos!G:G, "G1000")-SUMIFS(Movimientos!E:E, Movimientos!D:D, A68, Movimientos!C:C, "Traslado", Movimientos!F:F, "G1000")-SUMIFS(Movimientos!E:E, Movimientos!D:D, A68, Movimientos!C:C, "Egreso", Movimientos!F:F, "G1000")+SUMIFS(Movimientos!E:E, Movimientos!D:D, A68, Movimientos!C:C, "Ajuste", Movimientos!F:F, "G1000")),"")</f>
        <v/>
      </c>
      <c r="G68" s="6" t="str">
        <f aca="false">IFERROR(IF(A68="","",SUMIFS(Movimientos!E:E, Movimientos!D:D, A68, Movimientos!C:C, "Ingreso", Movimientos!G:G, "G710")+SUMIFS(Movimientos!E:E, Movimientos!D:D, A68, Movimientos!C:C, "Traslado", Movimientos!G:G, "G710")-SUMIFS(Movimientos!E:E, Movimientos!D:D, A68, Movimientos!C:C, "Traslado", Movimientos!F:F, "G710")-SUMIFS(Movimientos!E:E, Movimientos!D:D, A68, Movimientos!C:C, "Egreso", Movimientos!F:F, "G710")+SUMIFS(Movimientos!E:E, Movimientos!D:D, A68, Movimientos!C:C, "Ajuste", Movimientos!F:F, "G710")),"")</f>
        <v/>
      </c>
      <c r="H68" s="6" t="str">
        <f aca="false">IFERROR(IF(A68="","",SUMIFS(Movimientos!E:E, Movimientos!D:D, A68, Movimientos!C:C, "Ingreso", Movimientos!G:G, "G5000")+SUMIFS(Movimientos!E:E, Movimientos!D:D, A68, Movimientos!C:C, "Traslado", Movimientos!G:G, "G5000")-SUMIFS(Movimientos!E:E, Movimientos!D:D, A68, Movimientos!C:C, "Traslado", Movimientos!F:F, "G5000")-SUMIFS(Movimientos!E:E, Movimientos!D:D, A68, Movimientos!C:C, "Egreso", Movimientos!F:F, "G5000")+SUMIFS(Movimientos!E:E, Movimientos!D:D, A68, Movimientos!C:C, "Ajuste", Movimientos!F:F, "G5000")),"")</f>
        <v/>
      </c>
      <c r="I68" s="6" t="str">
        <f aca="false">IFERROR(IF(A68="","",SUMIFS(Movimientos!E:E, Movimientos!D:D, A68, Movimientos!C:C, "Ingreso", Movimientos!G:G, "G3")+SUMIFS(Movimientos!E:E, Movimientos!D:D, A68, Movimientos!C:C, "Traslado", Movimientos!G:G, "G3")-SUMIFS(Movimientos!E:E, Movimientos!D:D, A68, Movimientos!C:C, "Traslado", Movimientos!F:F, "G3")-SUMIFS(Movimientos!E:E, Movimientos!D:D, A68, Movimientos!C:C, "Egreso", Movimientos!F:F, "G3")+SUMIFS(Movimientos!E:E, Movimientos!D:D, A68, Movimientos!C:C, "Ajuste", Movimientos!F:F, "G3")),"")</f>
        <v/>
      </c>
      <c r="J68" s="6" t="str">
        <f aca="false">IFERROR(IF(A68="","",SUM(E68:I68)),"")</f>
        <v/>
      </c>
      <c r="K68" s="6" t="str">
        <f aca="false">IFERROR(IF(A68="","",SUMIFS(Movimientos!E:E, Movimientos!D:D, A68, Movimientos!C:C, "Reserva")-SUMIFS(Movimientos!E:E, Movimientos!D:D, A68, Movimientos!C:C, "Libera_Reserva")),"")</f>
        <v/>
      </c>
      <c r="L68" s="6" t="str">
        <f aca="false">IFERROR(IF(A68="","",J68-K68),"")</f>
        <v/>
      </c>
      <c r="M68" s="6" t="str">
        <f aca="false">IFERROR(IF(Productos!A68="","",Productos!G68),"")</f>
        <v/>
      </c>
      <c r="N68" s="6" t="str">
        <f aca="false">IFERROR(IF(A68="","",IF(L68&lt;M68,"BAJO STOCK","OK")),"")</f>
        <v/>
      </c>
    </row>
    <row r="69" customFormat="false" ht="15" hidden="false" customHeight="false" outlineLevel="0" collapsed="false">
      <c r="A69" s="0" t="str">
        <f aca="false">IFERROR(IF(Productos!A69="","",Productos!A69),"")</f>
        <v/>
      </c>
      <c r="B69" s="0" t="str">
        <f aca="false">IFERROR(IF(Productos!A69="","",Productos!B69),"")</f>
        <v/>
      </c>
      <c r="C69" s="0" t="str">
        <f aca="false">IFERROR(IF(Productos!A69="","",Productos!C69),"")</f>
        <v/>
      </c>
      <c r="D69" s="0" t="str">
        <f aca="false">IFERROR(IF(Productos!A69="","",Productos!E69),"")</f>
        <v/>
      </c>
      <c r="E69" s="6" t="str">
        <f aca="false">IFERROR(IF(A69="","",SUMIFS(Movimientos!E:E, Movimientos!D:D, A69, Movimientos!C:C, "Ingreso", Movimientos!G:G, "TIN")+SUMIFS(Movimientos!E:E, Movimientos!D:D, A69, Movimientos!C:C, "Traslado", Movimientos!G:G, "TIN")-SUMIFS(Movimientos!E:E, Movimientos!D:D, A69, Movimientos!C:C, "Traslado", Movimientos!F:F, "TIN")-SUMIFS(Movimientos!E:E, Movimientos!D:D, A69, Movimientos!C:C, "Egreso", Movimientos!F:F, "TIN")+SUMIFS(Movimientos!E:E, Movimientos!D:D, A69, Movimientos!C:C, "Ajuste", Movimientos!F:F, "TIN")),"")</f>
        <v/>
      </c>
      <c r="F69" s="6" t="str">
        <f aca="false">IFERROR(IF(A69="","",SUMIFS(Movimientos!E:E, Movimientos!D:D, A69, Movimientos!C:C, "Ingreso", Movimientos!G:G, "G1000")+SUMIFS(Movimientos!E:E, Movimientos!D:D, A69, Movimientos!C:C, "Traslado", Movimientos!G:G, "G1000")-SUMIFS(Movimientos!E:E, Movimientos!D:D, A69, Movimientos!C:C, "Traslado", Movimientos!F:F, "G1000")-SUMIFS(Movimientos!E:E, Movimientos!D:D, A69, Movimientos!C:C, "Egreso", Movimientos!F:F, "G1000")+SUMIFS(Movimientos!E:E, Movimientos!D:D, A69, Movimientos!C:C, "Ajuste", Movimientos!F:F, "G1000")),"")</f>
        <v/>
      </c>
      <c r="G69" s="6" t="str">
        <f aca="false">IFERROR(IF(A69="","",SUMIFS(Movimientos!E:E, Movimientos!D:D, A69, Movimientos!C:C, "Ingreso", Movimientos!G:G, "G710")+SUMIFS(Movimientos!E:E, Movimientos!D:D, A69, Movimientos!C:C, "Traslado", Movimientos!G:G, "G710")-SUMIFS(Movimientos!E:E, Movimientos!D:D, A69, Movimientos!C:C, "Traslado", Movimientos!F:F, "G710")-SUMIFS(Movimientos!E:E, Movimientos!D:D, A69, Movimientos!C:C, "Egreso", Movimientos!F:F, "G710")+SUMIFS(Movimientos!E:E, Movimientos!D:D, A69, Movimientos!C:C, "Ajuste", Movimientos!F:F, "G710")),"")</f>
        <v/>
      </c>
      <c r="H69" s="6" t="str">
        <f aca="false">IFERROR(IF(A69="","",SUMIFS(Movimientos!E:E, Movimientos!D:D, A69, Movimientos!C:C, "Ingreso", Movimientos!G:G, "G5000")+SUMIFS(Movimientos!E:E, Movimientos!D:D, A69, Movimientos!C:C, "Traslado", Movimientos!G:G, "G5000")-SUMIFS(Movimientos!E:E, Movimientos!D:D, A69, Movimientos!C:C, "Traslado", Movimientos!F:F, "G5000")-SUMIFS(Movimientos!E:E, Movimientos!D:D, A69, Movimientos!C:C, "Egreso", Movimientos!F:F, "G5000")+SUMIFS(Movimientos!E:E, Movimientos!D:D, A69, Movimientos!C:C, "Ajuste", Movimientos!F:F, "G5000")),"")</f>
        <v/>
      </c>
      <c r="I69" s="6" t="str">
        <f aca="false">IFERROR(IF(A69="","",SUMIFS(Movimientos!E:E, Movimientos!D:D, A69, Movimientos!C:C, "Ingreso", Movimientos!G:G, "G3")+SUMIFS(Movimientos!E:E, Movimientos!D:D, A69, Movimientos!C:C, "Traslado", Movimientos!G:G, "G3")-SUMIFS(Movimientos!E:E, Movimientos!D:D, A69, Movimientos!C:C, "Traslado", Movimientos!F:F, "G3")-SUMIFS(Movimientos!E:E, Movimientos!D:D, A69, Movimientos!C:C, "Egreso", Movimientos!F:F, "G3")+SUMIFS(Movimientos!E:E, Movimientos!D:D, A69, Movimientos!C:C, "Ajuste", Movimientos!F:F, "G3")),"")</f>
        <v/>
      </c>
      <c r="J69" s="6" t="str">
        <f aca="false">IFERROR(IF(A69="","",SUM(E69:I69)),"")</f>
        <v/>
      </c>
      <c r="K69" s="6" t="str">
        <f aca="false">IFERROR(IF(A69="","",SUMIFS(Movimientos!E:E, Movimientos!D:D, A69, Movimientos!C:C, "Reserva")-SUMIFS(Movimientos!E:E, Movimientos!D:D, A69, Movimientos!C:C, "Libera_Reserva")),"")</f>
        <v/>
      </c>
      <c r="L69" s="6" t="str">
        <f aca="false">IFERROR(IF(A69="","",J69-K69),"")</f>
        <v/>
      </c>
      <c r="M69" s="6" t="str">
        <f aca="false">IFERROR(IF(Productos!A69="","",Productos!G69),"")</f>
        <v/>
      </c>
      <c r="N69" s="6" t="str">
        <f aca="false">IFERROR(IF(A69="","",IF(L69&lt;M69,"BAJO STOCK","OK")),"")</f>
        <v/>
      </c>
    </row>
    <row r="70" customFormat="false" ht="15" hidden="false" customHeight="false" outlineLevel="0" collapsed="false">
      <c r="A70" s="0" t="str">
        <f aca="false">IFERROR(IF(Productos!A70="","",Productos!A70),"")</f>
        <v/>
      </c>
      <c r="B70" s="0" t="str">
        <f aca="false">IFERROR(IF(Productos!A70="","",Productos!B70),"")</f>
        <v/>
      </c>
      <c r="C70" s="0" t="str">
        <f aca="false">IFERROR(IF(Productos!A70="","",Productos!C70),"")</f>
        <v/>
      </c>
      <c r="D70" s="0" t="str">
        <f aca="false">IFERROR(IF(Productos!A70="","",Productos!E70),"")</f>
        <v/>
      </c>
      <c r="E70" s="6" t="str">
        <f aca="false">IFERROR(IF(A70="","",SUMIFS(Movimientos!E:E, Movimientos!D:D, A70, Movimientos!C:C, "Ingreso", Movimientos!G:G, "TIN")+SUMIFS(Movimientos!E:E, Movimientos!D:D, A70, Movimientos!C:C, "Traslado", Movimientos!G:G, "TIN")-SUMIFS(Movimientos!E:E, Movimientos!D:D, A70, Movimientos!C:C, "Traslado", Movimientos!F:F, "TIN")-SUMIFS(Movimientos!E:E, Movimientos!D:D, A70, Movimientos!C:C, "Egreso", Movimientos!F:F, "TIN")+SUMIFS(Movimientos!E:E, Movimientos!D:D, A70, Movimientos!C:C, "Ajuste", Movimientos!F:F, "TIN")),"")</f>
        <v/>
      </c>
      <c r="F70" s="6" t="str">
        <f aca="false">IFERROR(IF(A70="","",SUMIFS(Movimientos!E:E, Movimientos!D:D, A70, Movimientos!C:C, "Ingreso", Movimientos!G:G, "G1000")+SUMIFS(Movimientos!E:E, Movimientos!D:D, A70, Movimientos!C:C, "Traslado", Movimientos!G:G, "G1000")-SUMIFS(Movimientos!E:E, Movimientos!D:D, A70, Movimientos!C:C, "Traslado", Movimientos!F:F, "G1000")-SUMIFS(Movimientos!E:E, Movimientos!D:D, A70, Movimientos!C:C, "Egreso", Movimientos!F:F, "G1000")+SUMIFS(Movimientos!E:E, Movimientos!D:D, A70, Movimientos!C:C, "Ajuste", Movimientos!F:F, "G1000")),"")</f>
        <v/>
      </c>
      <c r="G70" s="6" t="str">
        <f aca="false">IFERROR(IF(A70="","",SUMIFS(Movimientos!E:E, Movimientos!D:D, A70, Movimientos!C:C, "Ingreso", Movimientos!G:G, "G710")+SUMIFS(Movimientos!E:E, Movimientos!D:D, A70, Movimientos!C:C, "Traslado", Movimientos!G:G, "G710")-SUMIFS(Movimientos!E:E, Movimientos!D:D, A70, Movimientos!C:C, "Traslado", Movimientos!F:F, "G710")-SUMIFS(Movimientos!E:E, Movimientos!D:D, A70, Movimientos!C:C, "Egreso", Movimientos!F:F, "G710")+SUMIFS(Movimientos!E:E, Movimientos!D:D, A70, Movimientos!C:C, "Ajuste", Movimientos!F:F, "G710")),"")</f>
        <v/>
      </c>
      <c r="H70" s="6" t="str">
        <f aca="false">IFERROR(IF(A70="","",SUMIFS(Movimientos!E:E, Movimientos!D:D, A70, Movimientos!C:C, "Ingreso", Movimientos!G:G, "G5000")+SUMIFS(Movimientos!E:E, Movimientos!D:D, A70, Movimientos!C:C, "Traslado", Movimientos!G:G, "G5000")-SUMIFS(Movimientos!E:E, Movimientos!D:D, A70, Movimientos!C:C, "Traslado", Movimientos!F:F, "G5000")-SUMIFS(Movimientos!E:E, Movimientos!D:D, A70, Movimientos!C:C, "Egreso", Movimientos!F:F, "G5000")+SUMIFS(Movimientos!E:E, Movimientos!D:D, A70, Movimientos!C:C, "Ajuste", Movimientos!F:F, "G5000")),"")</f>
        <v/>
      </c>
      <c r="I70" s="6" t="str">
        <f aca="false">IFERROR(IF(A70="","",SUMIFS(Movimientos!E:E, Movimientos!D:D, A70, Movimientos!C:C, "Ingreso", Movimientos!G:G, "G3")+SUMIFS(Movimientos!E:E, Movimientos!D:D, A70, Movimientos!C:C, "Traslado", Movimientos!G:G, "G3")-SUMIFS(Movimientos!E:E, Movimientos!D:D, A70, Movimientos!C:C, "Traslado", Movimientos!F:F, "G3")-SUMIFS(Movimientos!E:E, Movimientos!D:D, A70, Movimientos!C:C, "Egreso", Movimientos!F:F, "G3")+SUMIFS(Movimientos!E:E, Movimientos!D:D, A70, Movimientos!C:C, "Ajuste", Movimientos!F:F, "G3")),"")</f>
        <v/>
      </c>
      <c r="J70" s="6" t="str">
        <f aca="false">IFERROR(IF(A70="","",SUM(E70:I70)),"")</f>
        <v/>
      </c>
      <c r="K70" s="6" t="str">
        <f aca="false">IFERROR(IF(A70="","",SUMIFS(Movimientos!E:E, Movimientos!D:D, A70, Movimientos!C:C, "Reserva")-SUMIFS(Movimientos!E:E, Movimientos!D:D, A70, Movimientos!C:C, "Libera_Reserva")),"")</f>
        <v/>
      </c>
      <c r="L70" s="6" t="str">
        <f aca="false">IFERROR(IF(A70="","",J70-K70),"")</f>
        <v/>
      </c>
      <c r="M70" s="6" t="str">
        <f aca="false">IFERROR(IF(Productos!A70="","",Productos!G70),"")</f>
        <v/>
      </c>
      <c r="N70" s="6" t="str">
        <f aca="false">IFERROR(IF(A70="","",IF(L70&lt;M70,"BAJO STOCK","OK")),"")</f>
        <v/>
      </c>
    </row>
    <row r="71" customFormat="false" ht="15" hidden="false" customHeight="false" outlineLevel="0" collapsed="false">
      <c r="A71" s="0" t="str">
        <f aca="false">IFERROR(IF(Productos!A71="","",Productos!A71),"")</f>
        <v/>
      </c>
      <c r="B71" s="0" t="str">
        <f aca="false">IFERROR(IF(Productos!A71="","",Productos!B71),"")</f>
        <v/>
      </c>
      <c r="C71" s="0" t="str">
        <f aca="false">IFERROR(IF(Productos!A71="","",Productos!C71),"")</f>
        <v/>
      </c>
      <c r="D71" s="0" t="str">
        <f aca="false">IFERROR(IF(Productos!A71="","",Productos!E71),"")</f>
        <v/>
      </c>
      <c r="E71" s="6" t="str">
        <f aca="false">IFERROR(IF(A71="","",SUMIFS(Movimientos!E:E, Movimientos!D:D, A71, Movimientos!C:C, "Ingreso", Movimientos!G:G, "TIN")+SUMIFS(Movimientos!E:E, Movimientos!D:D, A71, Movimientos!C:C, "Traslado", Movimientos!G:G, "TIN")-SUMIFS(Movimientos!E:E, Movimientos!D:D, A71, Movimientos!C:C, "Traslado", Movimientos!F:F, "TIN")-SUMIFS(Movimientos!E:E, Movimientos!D:D, A71, Movimientos!C:C, "Egreso", Movimientos!F:F, "TIN")+SUMIFS(Movimientos!E:E, Movimientos!D:D, A71, Movimientos!C:C, "Ajuste", Movimientos!F:F, "TIN")),"")</f>
        <v/>
      </c>
      <c r="F71" s="6" t="str">
        <f aca="false">IFERROR(IF(A71="","",SUMIFS(Movimientos!E:E, Movimientos!D:D, A71, Movimientos!C:C, "Ingreso", Movimientos!G:G, "G1000")+SUMIFS(Movimientos!E:E, Movimientos!D:D, A71, Movimientos!C:C, "Traslado", Movimientos!G:G, "G1000")-SUMIFS(Movimientos!E:E, Movimientos!D:D, A71, Movimientos!C:C, "Traslado", Movimientos!F:F, "G1000")-SUMIFS(Movimientos!E:E, Movimientos!D:D, A71, Movimientos!C:C, "Egreso", Movimientos!F:F, "G1000")+SUMIFS(Movimientos!E:E, Movimientos!D:D, A71, Movimientos!C:C, "Ajuste", Movimientos!F:F, "G1000")),"")</f>
        <v/>
      </c>
      <c r="G71" s="6" t="str">
        <f aca="false">IFERROR(IF(A71="","",SUMIFS(Movimientos!E:E, Movimientos!D:D, A71, Movimientos!C:C, "Ingreso", Movimientos!G:G, "G710")+SUMIFS(Movimientos!E:E, Movimientos!D:D, A71, Movimientos!C:C, "Traslado", Movimientos!G:G, "G710")-SUMIFS(Movimientos!E:E, Movimientos!D:D, A71, Movimientos!C:C, "Traslado", Movimientos!F:F, "G710")-SUMIFS(Movimientos!E:E, Movimientos!D:D, A71, Movimientos!C:C, "Egreso", Movimientos!F:F, "G710")+SUMIFS(Movimientos!E:E, Movimientos!D:D, A71, Movimientos!C:C, "Ajuste", Movimientos!F:F, "G710")),"")</f>
        <v/>
      </c>
      <c r="H71" s="6" t="str">
        <f aca="false">IFERROR(IF(A71="","",SUMIFS(Movimientos!E:E, Movimientos!D:D, A71, Movimientos!C:C, "Ingreso", Movimientos!G:G, "G5000")+SUMIFS(Movimientos!E:E, Movimientos!D:D, A71, Movimientos!C:C, "Traslado", Movimientos!G:G, "G5000")-SUMIFS(Movimientos!E:E, Movimientos!D:D, A71, Movimientos!C:C, "Traslado", Movimientos!F:F, "G5000")-SUMIFS(Movimientos!E:E, Movimientos!D:D, A71, Movimientos!C:C, "Egreso", Movimientos!F:F, "G5000")+SUMIFS(Movimientos!E:E, Movimientos!D:D, A71, Movimientos!C:C, "Ajuste", Movimientos!F:F, "G5000")),"")</f>
        <v/>
      </c>
      <c r="I71" s="6" t="str">
        <f aca="false">IFERROR(IF(A71="","",SUMIFS(Movimientos!E:E, Movimientos!D:D, A71, Movimientos!C:C, "Ingreso", Movimientos!G:G, "G3")+SUMIFS(Movimientos!E:E, Movimientos!D:D, A71, Movimientos!C:C, "Traslado", Movimientos!G:G, "G3")-SUMIFS(Movimientos!E:E, Movimientos!D:D, A71, Movimientos!C:C, "Traslado", Movimientos!F:F, "G3")-SUMIFS(Movimientos!E:E, Movimientos!D:D, A71, Movimientos!C:C, "Egreso", Movimientos!F:F, "G3")+SUMIFS(Movimientos!E:E, Movimientos!D:D, A71, Movimientos!C:C, "Ajuste", Movimientos!F:F, "G3")),"")</f>
        <v/>
      </c>
      <c r="J71" s="6" t="str">
        <f aca="false">IFERROR(IF(A71="","",SUM(E71:I71)),"")</f>
        <v/>
      </c>
      <c r="K71" s="6" t="str">
        <f aca="false">IFERROR(IF(A71="","",SUMIFS(Movimientos!E:E, Movimientos!D:D, A71, Movimientos!C:C, "Reserva")-SUMIFS(Movimientos!E:E, Movimientos!D:D, A71, Movimientos!C:C, "Libera_Reserva")),"")</f>
        <v/>
      </c>
      <c r="L71" s="6" t="str">
        <f aca="false">IFERROR(IF(A71="","",J71-K71),"")</f>
        <v/>
      </c>
      <c r="M71" s="6" t="str">
        <f aca="false">IFERROR(IF(Productos!A71="","",Productos!G71),"")</f>
        <v/>
      </c>
      <c r="N71" s="6" t="str">
        <f aca="false">IFERROR(IF(A71="","",IF(L71&lt;M71,"BAJO STOCK","OK")),"")</f>
        <v/>
      </c>
    </row>
    <row r="72" customFormat="false" ht="15" hidden="false" customHeight="false" outlineLevel="0" collapsed="false">
      <c r="A72" s="0" t="str">
        <f aca="false">IFERROR(IF(Productos!A72="","",Productos!A72),"")</f>
        <v/>
      </c>
      <c r="B72" s="0" t="str">
        <f aca="false">IFERROR(IF(Productos!A72="","",Productos!B72),"")</f>
        <v/>
      </c>
      <c r="C72" s="0" t="str">
        <f aca="false">IFERROR(IF(Productos!A72="","",Productos!C72),"")</f>
        <v/>
      </c>
      <c r="D72" s="0" t="str">
        <f aca="false">IFERROR(IF(Productos!A72="","",Productos!E72),"")</f>
        <v/>
      </c>
      <c r="E72" s="6" t="str">
        <f aca="false">IFERROR(IF(A72="","",SUMIFS(Movimientos!E:E, Movimientos!D:D, A72, Movimientos!C:C, "Ingreso", Movimientos!G:G, "TIN")+SUMIFS(Movimientos!E:E, Movimientos!D:D, A72, Movimientos!C:C, "Traslado", Movimientos!G:G, "TIN")-SUMIFS(Movimientos!E:E, Movimientos!D:D, A72, Movimientos!C:C, "Traslado", Movimientos!F:F, "TIN")-SUMIFS(Movimientos!E:E, Movimientos!D:D, A72, Movimientos!C:C, "Egreso", Movimientos!F:F, "TIN")+SUMIFS(Movimientos!E:E, Movimientos!D:D, A72, Movimientos!C:C, "Ajuste", Movimientos!F:F, "TIN")),"")</f>
        <v/>
      </c>
      <c r="F72" s="6" t="str">
        <f aca="false">IFERROR(IF(A72="","",SUMIFS(Movimientos!E:E, Movimientos!D:D, A72, Movimientos!C:C, "Ingreso", Movimientos!G:G, "G1000")+SUMIFS(Movimientos!E:E, Movimientos!D:D, A72, Movimientos!C:C, "Traslado", Movimientos!G:G, "G1000")-SUMIFS(Movimientos!E:E, Movimientos!D:D, A72, Movimientos!C:C, "Traslado", Movimientos!F:F, "G1000")-SUMIFS(Movimientos!E:E, Movimientos!D:D, A72, Movimientos!C:C, "Egreso", Movimientos!F:F, "G1000")+SUMIFS(Movimientos!E:E, Movimientos!D:D, A72, Movimientos!C:C, "Ajuste", Movimientos!F:F, "G1000")),"")</f>
        <v/>
      </c>
      <c r="G72" s="6" t="str">
        <f aca="false">IFERROR(IF(A72="","",SUMIFS(Movimientos!E:E, Movimientos!D:D, A72, Movimientos!C:C, "Ingreso", Movimientos!G:G, "G710")+SUMIFS(Movimientos!E:E, Movimientos!D:D, A72, Movimientos!C:C, "Traslado", Movimientos!G:G, "G710")-SUMIFS(Movimientos!E:E, Movimientos!D:D, A72, Movimientos!C:C, "Traslado", Movimientos!F:F, "G710")-SUMIFS(Movimientos!E:E, Movimientos!D:D, A72, Movimientos!C:C, "Egreso", Movimientos!F:F, "G710")+SUMIFS(Movimientos!E:E, Movimientos!D:D, A72, Movimientos!C:C, "Ajuste", Movimientos!F:F, "G710")),"")</f>
        <v/>
      </c>
      <c r="H72" s="6" t="str">
        <f aca="false">IFERROR(IF(A72="","",SUMIFS(Movimientos!E:E, Movimientos!D:D, A72, Movimientos!C:C, "Ingreso", Movimientos!G:G, "G5000")+SUMIFS(Movimientos!E:E, Movimientos!D:D, A72, Movimientos!C:C, "Traslado", Movimientos!G:G, "G5000")-SUMIFS(Movimientos!E:E, Movimientos!D:D, A72, Movimientos!C:C, "Traslado", Movimientos!F:F, "G5000")-SUMIFS(Movimientos!E:E, Movimientos!D:D, A72, Movimientos!C:C, "Egreso", Movimientos!F:F, "G5000")+SUMIFS(Movimientos!E:E, Movimientos!D:D, A72, Movimientos!C:C, "Ajuste", Movimientos!F:F, "G5000")),"")</f>
        <v/>
      </c>
      <c r="I72" s="6" t="str">
        <f aca="false">IFERROR(IF(A72="","",SUMIFS(Movimientos!E:E, Movimientos!D:D, A72, Movimientos!C:C, "Ingreso", Movimientos!G:G, "G3")+SUMIFS(Movimientos!E:E, Movimientos!D:D, A72, Movimientos!C:C, "Traslado", Movimientos!G:G, "G3")-SUMIFS(Movimientos!E:E, Movimientos!D:D, A72, Movimientos!C:C, "Traslado", Movimientos!F:F, "G3")-SUMIFS(Movimientos!E:E, Movimientos!D:D, A72, Movimientos!C:C, "Egreso", Movimientos!F:F, "G3")+SUMIFS(Movimientos!E:E, Movimientos!D:D, A72, Movimientos!C:C, "Ajuste", Movimientos!F:F, "G3")),"")</f>
        <v/>
      </c>
      <c r="J72" s="6" t="str">
        <f aca="false">IFERROR(IF(A72="","",SUM(E72:I72)),"")</f>
        <v/>
      </c>
      <c r="K72" s="6" t="str">
        <f aca="false">IFERROR(IF(A72="","",SUMIFS(Movimientos!E:E, Movimientos!D:D, A72, Movimientos!C:C, "Reserva")-SUMIFS(Movimientos!E:E, Movimientos!D:D, A72, Movimientos!C:C, "Libera_Reserva")),"")</f>
        <v/>
      </c>
      <c r="L72" s="6" t="str">
        <f aca="false">IFERROR(IF(A72="","",J72-K72),"")</f>
        <v/>
      </c>
      <c r="M72" s="6" t="str">
        <f aca="false">IFERROR(IF(Productos!A72="","",Productos!G72),"")</f>
        <v/>
      </c>
      <c r="N72" s="6" t="str">
        <f aca="false">IFERROR(IF(A72="","",IF(L72&lt;M72,"BAJO STOCK","OK")),"")</f>
        <v/>
      </c>
    </row>
    <row r="73" customFormat="false" ht="15" hidden="false" customHeight="false" outlineLevel="0" collapsed="false">
      <c r="A73" s="0" t="str">
        <f aca="false">IFERROR(IF(Productos!A73="","",Productos!A73),"")</f>
        <v/>
      </c>
      <c r="B73" s="0" t="str">
        <f aca="false">IFERROR(IF(Productos!A73="","",Productos!B73),"")</f>
        <v/>
      </c>
      <c r="C73" s="0" t="str">
        <f aca="false">IFERROR(IF(Productos!A73="","",Productos!C73),"")</f>
        <v/>
      </c>
      <c r="D73" s="0" t="str">
        <f aca="false">IFERROR(IF(Productos!A73="","",Productos!E73),"")</f>
        <v/>
      </c>
      <c r="E73" s="6" t="str">
        <f aca="false">IFERROR(IF(A73="","",SUMIFS(Movimientos!E:E, Movimientos!D:D, A73, Movimientos!C:C, "Ingreso", Movimientos!G:G, "TIN")+SUMIFS(Movimientos!E:E, Movimientos!D:D, A73, Movimientos!C:C, "Traslado", Movimientos!G:G, "TIN")-SUMIFS(Movimientos!E:E, Movimientos!D:D, A73, Movimientos!C:C, "Traslado", Movimientos!F:F, "TIN")-SUMIFS(Movimientos!E:E, Movimientos!D:D, A73, Movimientos!C:C, "Egreso", Movimientos!F:F, "TIN")+SUMIFS(Movimientos!E:E, Movimientos!D:D, A73, Movimientos!C:C, "Ajuste", Movimientos!F:F, "TIN")),"")</f>
        <v/>
      </c>
      <c r="F73" s="6" t="str">
        <f aca="false">IFERROR(IF(A73="","",SUMIFS(Movimientos!E:E, Movimientos!D:D, A73, Movimientos!C:C, "Ingreso", Movimientos!G:G, "G1000")+SUMIFS(Movimientos!E:E, Movimientos!D:D, A73, Movimientos!C:C, "Traslado", Movimientos!G:G, "G1000")-SUMIFS(Movimientos!E:E, Movimientos!D:D, A73, Movimientos!C:C, "Traslado", Movimientos!F:F, "G1000")-SUMIFS(Movimientos!E:E, Movimientos!D:D, A73, Movimientos!C:C, "Egreso", Movimientos!F:F, "G1000")+SUMIFS(Movimientos!E:E, Movimientos!D:D, A73, Movimientos!C:C, "Ajuste", Movimientos!F:F, "G1000")),"")</f>
        <v/>
      </c>
      <c r="G73" s="6" t="str">
        <f aca="false">IFERROR(IF(A73="","",SUMIFS(Movimientos!E:E, Movimientos!D:D, A73, Movimientos!C:C, "Ingreso", Movimientos!G:G, "G710")+SUMIFS(Movimientos!E:E, Movimientos!D:D, A73, Movimientos!C:C, "Traslado", Movimientos!G:G, "G710")-SUMIFS(Movimientos!E:E, Movimientos!D:D, A73, Movimientos!C:C, "Traslado", Movimientos!F:F, "G710")-SUMIFS(Movimientos!E:E, Movimientos!D:D, A73, Movimientos!C:C, "Egreso", Movimientos!F:F, "G710")+SUMIFS(Movimientos!E:E, Movimientos!D:D, A73, Movimientos!C:C, "Ajuste", Movimientos!F:F, "G710")),"")</f>
        <v/>
      </c>
      <c r="H73" s="6" t="str">
        <f aca="false">IFERROR(IF(A73="","",SUMIFS(Movimientos!E:E, Movimientos!D:D, A73, Movimientos!C:C, "Ingreso", Movimientos!G:G, "G5000")+SUMIFS(Movimientos!E:E, Movimientos!D:D, A73, Movimientos!C:C, "Traslado", Movimientos!G:G, "G5000")-SUMIFS(Movimientos!E:E, Movimientos!D:D, A73, Movimientos!C:C, "Traslado", Movimientos!F:F, "G5000")-SUMIFS(Movimientos!E:E, Movimientos!D:D, A73, Movimientos!C:C, "Egreso", Movimientos!F:F, "G5000")+SUMIFS(Movimientos!E:E, Movimientos!D:D, A73, Movimientos!C:C, "Ajuste", Movimientos!F:F, "G5000")),"")</f>
        <v/>
      </c>
      <c r="I73" s="6" t="str">
        <f aca="false">IFERROR(IF(A73="","",SUMIFS(Movimientos!E:E, Movimientos!D:D, A73, Movimientos!C:C, "Ingreso", Movimientos!G:G, "G3")+SUMIFS(Movimientos!E:E, Movimientos!D:D, A73, Movimientos!C:C, "Traslado", Movimientos!G:G, "G3")-SUMIFS(Movimientos!E:E, Movimientos!D:D, A73, Movimientos!C:C, "Traslado", Movimientos!F:F, "G3")-SUMIFS(Movimientos!E:E, Movimientos!D:D, A73, Movimientos!C:C, "Egreso", Movimientos!F:F, "G3")+SUMIFS(Movimientos!E:E, Movimientos!D:D, A73, Movimientos!C:C, "Ajuste", Movimientos!F:F, "G3")),"")</f>
        <v/>
      </c>
      <c r="J73" s="6" t="str">
        <f aca="false">IFERROR(IF(A73="","",SUM(E73:I73)),"")</f>
        <v/>
      </c>
      <c r="K73" s="6" t="str">
        <f aca="false">IFERROR(IF(A73="","",SUMIFS(Movimientos!E:E, Movimientos!D:D, A73, Movimientos!C:C, "Reserva")-SUMIFS(Movimientos!E:E, Movimientos!D:D, A73, Movimientos!C:C, "Libera_Reserva")),"")</f>
        <v/>
      </c>
      <c r="L73" s="6" t="str">
        <f aca="false">IFERROR(IF(A73="","",J73-K73),"")</f>
        <v/>
      </c>
      <c r="M73" s="6" t="str">
        <f aca="false">IFERROR(IF(Productos!A73="","",Productos!G73),"")</f>
        <v/>
      </c>
      <c r="N73" s="6" t="str">
        <f aca="false">IFERROR(IF(A73="","",IF(L73&lt;M73,"BAJO STOCK","OK")),"")</f>
        <v/>
      </c>
    </row>
    <row r="74" customFormat="false" ht="15" hidden="false" customHeight="false" outlineLevel="0" collapsed="false">
      <c r="A74" s="0" t="str">
        <f aca="false">IFERROR(IF(Productos!A74="","",Productos!A74),"")</f>
        <v/>
      </c>
      <c r="B74" s="0" t="str">
        <f aca="false">IFERROR(IF(Productos!A74="","",Productos!B74),"")</f>
        <v/>
      </c>
      <c r="C74" s="0" t="str">
        <f aca="false">IFERROR(IF(Productos!A74="","",Productos!C74),"")</f>
        <v/>
      </c>
      <c r="D74" s="0" t="str">
        <f aca="false">IFERROR(IF(Productos!A74="","",Productos!E74),"")</f>
        <v/>
      </c>
      <c r="E74" s="6" t="str">
        <f aca="false">IFERROR(IF(A74="","",SUMIFS(Movimientos!E:E, Movimientos!D:D, A74, Movimientos!C:C, "Ingreso", Movimientos!G:G, "TIN")+SUMIFS(Movimientos!E:E, Movimientos!D:D, A74, Movimientos!C:C, "Traslado", Movimientos!G:G, "TIN")-SUMIFS(Movimientos!E:E, Movimientos!D:D, A74, Movimientos!C:C, "Traslado", Movimientos!F:F, "TIN")-SUMIFS(Movimientos!E:E, Movimientos!D:D, A74, Movimientos!C:C, "Egreso", Movimientos!F:F, "TIN")+SUMIFS(Movimientos!E:E, Movimientos!D:D, A74, Movimientos!C:C, "Ajuste", Movimientos!F:F, "TIN")),"")</f>
        <v/>
      </c>
      <c r="F74" s="6" t="str">
        <f aca="false">IFERROR(IF(A74="","",SUMIFS(Movimientos!E:E, Movimientos!D:D, A74, Movimientos!C:C, "Ingreso", Movimientos!G:G, "G1000")+SUMIFS(Movimientos!E:E, Movimientos!D:D, A74, Movimientos!C:C, "Traslado", Movimientos!G:G, "G1000")-SUMIFS(Movimientos!E:E, Movimientos!D:D, A74, Movimientos!C:C, "Traslado", Movimientos!F:F, "G1000")-SUMIFS(Movimientos!E:E, Movimientos!D:D, A74, Movimientos!C:C, "Egreso", Movimientos!F:F, "G1000")+SUMIFS(Movimientos!E:E, Movimientos!D:D, A74, Movimientos!C:C, "Ajuste", Movimientos!F:F, "G1000")),"")</f>
        <v/>
      </c>
      <c r="G74" s="6" t="str">
        <f aca="false">IFERROR(IF(A74="","",SUMIFS(Movimientos!E:E, Movimientos!D:D, A74, Movimientos!C:C, "Ingreso", Movimientos!G:G, "G710")+SUMIFS(Movimientos!E:E, Movimientos!D:D, A74, Movimientos!C:C, "Traslado", Movimientos!G:G, "G710")-SUMIFS(Movimientos!E:E, Movimientos!D:D, A74, Movimientos!C:C, "Traslado", Movimientos!F:F, "G710")-SUMIFS(Movimientos!E:E, Movimientos!D:D, A74, Movimientos!C:C, "Egreso", Movimientos!F:F, "G710")+SUMIFS(Movimientos!E:E, Movimientos!D:D, A74, Movimientos!C:C, "Ajuste", Movimientos!F:F, "G710")),"")</f>
        <v/>
      </c>
      <c r="H74" s="6" t="str">
        <f aca="false">IFERROR(IF(A74="","",SUMIFS(Movimientos!E:E, Movimientos!D:D, A74, Movimientos!C:C, "Ingreso", Movimientos!G:G, "G5000")+SUMIFS(Movimientos!E:E, Movimientos!D:D, A74, Movimientos!C:C, "Traslado", Movimientos!G:G, "G5000")-SUMIFS(Movimientos!E:E, Movimientos!D:D, A74, Movimientos!C:C, "Traslado", Movimientos!F:F, "G5000")-SUMIFS(Movimientos!E:E, Movimientos!D:D, A74, Movimientos!C:C, "Egreso", Movimientos!F:F, "G5000")+SUMIFS(Movimientos!E:E, Movimientos!D:D, A74, Movimientos!C:C, "Ajuste", Movimientos!F:F, "G5000")),"")</f>
        <v/>
      </c>
      <c r="I74" s="6" t="str">
        <f aca="false">IFERROR(IF(A74="","",SUMIFS(Movimientos!E:E, Movimientos!D:D, A74, Movimientos!C:C, "Ingreso", Movimientos!G:G, "G3")+SUMIFS(Movimientos!E:E, Movimientos!D:D, A74, Movimientos!C:C, "Traslado", Movimientos!G:G, "G3")-SUMIFS(Movimientos!E:E, Movimientos!D:D, A74, Movimientos!C:C, "Traslado", Movimientos!F:F, "G3")-SUMIFS(Movimientos!E:E, Movimientos!D:D, A74, Movimientos!C:C, "Egreso", Movimientos!F:F, "G3")+SUMIFS(Movimientos!E:E, Movimientos!D:D, A74, Movimientos!C:C, "Ajuste", Movimientos!F:F, "G3")),"")</f>
        <v/>
      </c>
      <c r="J74" s="6" t="str">
        <f aca="false">IFERROR(IF(A74="","",SUM(E74:I74)),"")</f>
        <v/>
      </c>
      <c r="K74" s="6" t="str">
        <f aca="false">IFERROR(IF(A74="","",SUMIFS(Movimientos!E:E, Movimientos!D:D, A74, Movimientos!C:C, "Reserva")-SUMIFS(Movimientos!E:E, Movimientos!D:D, A74, Movimientos!C:C, "Libera_Reserva")),"")</f>
        <v/>
      </c>
      <c r="L74" s="6" t="str">
        <f aca="false">IFERROR(IF(A74="","",J74-K74),"")</f>
        <v/>
      </c>
      <c r="M74" s="6" t="str">
        <f aca="false">IFERROR(IF(Productos!A74="","",Productos!G74),"")</f>
        <v/>
      </c>
      <c r="N74" s="6" t="str">
        <f aca="false">IFERROR(IF(A74="","",IF(L74&lt;M74,"BAJO STOCK","OK")),"")</f>
        <v/>
      </c>
    </row>
    <row r="75" customFormat="false" ht="15" hidden="false" customHeight="false" outlineLevel="0" collapsed="false">
      <c r="A75" s="0" t="str">
        <f aca="false">IFERROR(IF(Productos!A75="","",Productos!A75),"")</f>
        <v/>
      </c>
      <c r="B75" s="0" t="str">
        <f aca="false">IFERROR(IF(Productos!A75="","",Productos!B75),"")</f>
        <v/>
      </c>
      <c r="C75" s="0" t="str">
        <f aca="false">IFERROR(IF(Productos!A75="","",Productos!C75),"")</f>
        <v/>
      </c>
      <c r="D75" s="0" t="str">
        <f aca="false">IFERROR(IF(Productos!A75="","",Productos!E75),"")</f>
        <v/>
      </c>
      <c r="E75" s="6" t="str">
        <f aca="false">IFERROR(IF(A75="","",SUMIFS(Movimientos!E:E, Movimientos!D:D, A75, Movimientos!C:C, "Ingreso", Movimientos!G:G, "TIN")+SUMIFS(Movimientos!E:E, Movimientos!D:D, A75, Movimientos!C:C, "Traslado", Movimientos!G:G, "TIN")-SUMIFS(Movimientos!E:E, Movimientos!D:D, A75, Movimientos!C:C, "Traslado", Movimientos!F:F, "TIN")-SUMIFS(Movimientos!E:E, Movimientos!D:D, A75, Movimientos!C:C, "Egreso", Movimientos!F:F, "TIN")+SUMIFS(Movimientos!E:E, Movimientos!D:D, A75, Movimientos!C:C, "Ajuste", Movimientos!F:F, "TIN")),"")</f>
        <v/>
      </c>
      <c r="F75" s="6" t="str">
        <f aca="false">IFERROR(IF(A75="","",SUMIFS(Movimientos!E:E, Movimientos!D:D, A75, Movimientos!C:C, "Ingreso", Movimientos!G:G, "G1000")+SUMIFS(Movimientos!E:E, Movimientos!D:D, A75, Movimientos!C:C, "Traslado", Movimientos!G:G, "G1000")-SUMIFS(Movimientos!E:E, Movimientos!D:D, A75, Movimientos!C:C, "Traslado", Movimientos!F:F, "G1000")-SUMIFS(Movimientos!E:E, Movimientos!D:D, A75, Movimientos!C:C, "Egreso", Movimientos!F:F, "G1000")+SUMIFS(Movimientos!E:E, Movimientos!D:D, A75, Movimientos!C:C, "Ajuste", Movimientos!F:F, "G1000")),"")</f>
        <v/>
      </c>
      <c r="G75" s="6" t="str">
        <f aca="false">IFERROR(IF(A75="","",SUMIFS(Movimientos!E:E, Movimientos!D:D, A75, Movimientos!C:C, "Ingreso", Movimientos!G:G, "G710")+SUMIFS(Movimientos!E:E, Movimientos!D:D, A75, Movimientos!C:C, "Traslado", Movimientos!G:G, "G710")-SUMIFS(Movimientos!E:E, Movimientos!D:D, A75, Movimientos!C:C, "Traslado", Movimientos!F:F, "G710")-SUMIFS(Movimientos!E:E, Movimientos!D:D, A75, Movimientos!C:C, "Egreso", Movimientos!F:F, "G710")+SUMIFS(Movimientos!E:E, Movimientos!D:D, A75, Movimientos!C:C, "Ajuste", Movimientos!F:F, "G710")),"")</f>
        <v/>
      </c>
      <c r="H75" s="6" t="str">
        <f aca="false">IFERROR(IF(A75="","",SUMIFS(Movimientos!E:E, Movimientos!D:D, A75, Movimientos!C:C, "Ingreso", Movimientos!G:G, "G5000")+SUMIFS(Movimientos!E:E, Movimientos!D:D, A75, Movimientos!C:C, "Traslado", Movimientos!G:G, "G5000")-SUMIFS(Movimientos!E:E, Movimientos!D:D, A75, Movimientos!C:C, "Traslado", Movimientos!F:F, "G5000")-SUMIFS(Movimientos!E:E, Movimientos!D:D, A75, Movimientos!C:C, "Egreso", Movimientos!F:F, "G5000")+SUMIFS(Movimientos!E:E, Movimientos!D:D, A75, Movimientos!C:C, "Ajuste", Movimientos!F:F, "G5000")),"")</f>
        <v/>
      </c>
      <c r="I75" s="6" t="str">
        <f aca="false">IFERROR(IF(A75="","",SUMIFS(Movimientos!E:E, Movimientos!D:D, A75, Movimientos!C:C, "Ingreso", Movimientos!G:G, "G3")+SUMIFS(Movimientos!E:E, Movimientos!D:D, A75, Movimientos!C:C, "Traslado", Movimientos!G:G, "G3")-SUMIFS(Movimientos!E:E, Movimientos!D:D, A75, Movimientos!C:C, "Traslado", Movimientos!F:F, "G3")-SUMIFS(Movimientos!E:E, Movimientos!D:D, A75, Movimientos!C:C, "Egreso", Movimientos!F:F, "G3")+SUMIFS(Movimientos!E:E, Movimientos!D:D, A75, Movimientos!C:C, "Ajuste", Movimientos!F:F, "G3")),"")</f>
        <v/>
      </c>
      <c r="J75" s="6" t="str">
        <f aca="false">IFERROR(IF(A75="","",SUM(E75:I75)),"")</f>
        <v/>
      </c>
      <c r="K75" s="6" t="str">
        <f aca="false">IFERROR(IF(A75="","",SUMIFS(Movimientos!E:E, Movimientos!D:D, A75, Movimientos!C:C, "Reserva")-SUMIFS(Movimientos!E:E, Movimientos!D:D, A75, Movimientos!C:C, "Libera_Reserva")),"")</f>
        <v/>
      </c>
      <c r="L75" s="6" t="str">
        <f aca="false">IFERROR(IF(A75="","",J75-K75),"")</f>
        <v/>
      </c>
      <c r="M75" s="6" t="str">
        <f aca="false">IFERROR(IF(Productos!A75="","",Productos!G75),"")</f>
        <v/>
      </c>
      <c r="N75" s="6" t="str">
        <f aca="false">IFERROR(IF(A75="","",IF(L75&lt;M75,"BAJO STOCK","OK")),"")</f>
        <v/>
      </c>
    </row>
    <row r="76" customFormat="false" ht="15" hidden="false" customHeight="false" outlineLevel="0" collapsed="false">
      <c r="A76" s="0" t="str">
        <f aca="false">IFERROR(IF(Productos!A76="","",Productos!A76),"")</f>
        <v/>
      </c>
      <c r="B76" s="0" t="str">
        <f aca="false">IFERROR(IF(Productos!A76="","",Productos!B76),"")</f>
        <v/>
      </c>
      <c r="C76" s="0" t="str">
        <f aca="false">IFERROR(IF(Productos!A76="","",Productos!C76),"")</f>
        <v/>
      </c>
      <c r="D76" s="0" t="str">
        <f aca="false">IFERROR(IF(Productos!A76="","",Productos!E76),"")</f>
        <v/>
      </c>
      <c r="E76" s="6" t="str">
        <f aca="false">IFERROR(IF(A76="","",SUMIFS(Movimientos!E:E, Movimientos!D:D, A76, Movimientos!C:C, "Ingreso", Movimientos!G:G, "TIN")+SUMIFS(Movimientos!E:E, Movimientos!D:D, A76, Movimientos!C:C, "Traslado", Movimientos!G:G, "TIN")-SUMIFS(Movimientos!E:E, Movimientos!D:D, A76, Movimientos!C:C, "Traslado", Movimientos!F:F, "TIN")-SUMIFS(Movimientos!E:E, Movimientos!D:D, A76, Movimientos!C:C, "Egreso", Movimientos!F:F, "TIN")+SUMIFS(Movimientos!E:E, Movimientos!D:D, A76, Movimientos!C:C, "Ajuste", Movimientos!F:F, "TIN")),"")</f>
        <v/>
      </c>
      <c r="F76" s="6" t="str">
        <f aca="false">IFERROR(IF(A76="","",SUMIFS(Movimientos!E:E, Movimientos!D:D, A76, Movimientos!C:C, "Ingreso", Movimientos!G:G, "G1000")+SUMIFS(Movimientos!E:E, Movimientos!D:D, A76, Movimientos!C:C, "Traslado", Movimientos!G:G, "G1000")-SUMIFS(Movimientos!E:E, Movimientos!D:D, A76, Movimientos!C:C, "Traslado", Movimientos!F:F, "G1000")-SUMIFS(Movimientos!E:E, Movimientos!D:D, A76, Movimientos!C:C, "Egreso", Movimientos!F:F, "G1000")+SUMIFS(Movimientos!E:E, Movimientos!D:D, A76, Movimientos!C:C, "Ajuste", Movimientos!F:F, "G1000")),"")</f>
        <v/>
      </c>
      <c r="G76" s="6" t="str">
        <f aca="false">IFERROR(IF(A76="","",SUMIFS(Movimientos!E:E, Movimientos!D:D, A76, Movimientos!C:C, "Ingreso", Movimientos!G:G, "G710")+SUMIFS(Movimientos!E:E, Movimientos!D:D, A76, Movimientos!C:C, "Traslado", Movimientos!G:G, "G710")-SUMIFS(Movimientos!E:E, Movimientos!D:D, A76, Movimientos!C:C, "Traslado", Movimientos!F:F, "G710")-SUMIFS(Movimientos!E:E, Movimientos!D:D, A76, Movimientos!C:C, "Egreso", Movimientos!F:F, "G710")+SUMIFS(Movimientos!E:E, Movimientos!D:D, A76, Movimientos!C:C, "Ajuste", Movimientos!F:F, "G710")),"")</f>
        <v/>
      </c>
      <c r="H76" s="6" t="str">
        <f aca="false">IFERROR(IF(A76="","",SUMIFS(Movimientos!E:E, Movimientos!D:D, A76, Movimientos!C:C, "Ingreso", Movimientos!G:G, "G5000")+SUMIFS(Movimientos!E:E, Movimientos!D:D, A76, Movimientos!C:C, "Traslado", Movimientos!G:G, "G5000")-SUMIFS(Movimientos!E:E, Movimientos!D:D, A76, Movimientos!C:C, "Traslado", Movimientos!F:F, "G5000")-SUMIFS(Movimientos!E:E, Movimientos!D:D, A76, Movimientos!C:C, "Egreso", Movimientos!F:F, "G5000")+SUMIFS(Movimientos!E:E, Movimientos!D:D, A76, Movimientos!C:C, "Ajuste", Movimientos!F:F, "G5000")),"")</f>
        <v/>
      </c>
      <c r="I76" s="6" t="str">
        <f aca="false">IFERROR(IF(A76="","",SUMIFS(Movimientos!E:E, Movimientos!D:D, A76, Movimientos!C:C, "Ingreso", Movimientos!G:G, "G3")+SUMIFS(Movimientos!E:E, Movimientos!D:D, A76, Movimientos!C:C, "Traslado", Movimientos!G:G, "G3")-SUMIFS(Movimientos!E:E, Movimientos!D:D, A76, Movimientos!C:C, "Traslado", Movimientos!F:F, "G3")-SUMIFS(Movimientos!E:E, Movimientos!D:D, A76, Movimientos!C:C, "Egreso", Movimientos!F:F, "G3")+SUMIFS(Movimientos!E:E, Movimientos!D:D, A76, Movimientos!C:C, "Ajuste", Movimientos!F:F, "G3")),"")</f>
        <v/>
      </c>
      <c r="J76" s="6" t="str">
        <f aca="false">IFERROR(IF(A76="","",SUM(E76:I76)),"")</f>
        <v/>
      </c>
      <c r="K76" s="6" t="str">
        <f aca="false">IFERROR(IF(A76="","",SUMIFS(Movimientos!E:E, Movimientos!D:D, A76, Movimientos!C:C, "Reserva")-SUMIFS(Movimientos!E:E, Movimientos!D:D, A76, Movimientos!C:C, "Libera_Reserva")),"")</f>
        <v/>
      </c>
      <c r="L76" s="6" t="str">
        <f aca="false">IFERROR(IF(A76="","",J76-K76),"")</f>
        <v/>
      </c>
      <c r="M76" s="6" t="str">
        <f aca="false">IFERROR(IF(Productos!A76="","",Productos!G76),"")</f>
        <v/>
      </c>
      <c r="N76" s="6" t="str">
        <f aca="false">IFERROR(IF(A76="","",IF(L76&lt;M76,"BAJO STOCK","OK")),"")</f>
        <v/>
      </c>
    </row>
    <row r="77" customFormat="false" ht="15" hidden="false" customHeight="false" outlineLevel="0" collapsed="false">
      <c r="A77" s="0" t="str">
        <f aca="false">IFERROR(IF(Productos!A77="","",Productos!A77),"")</f>
        <v/>
      </c>
      <c r="B77" s="0" t="str">
        <f aca="false">IFERROR(IF(Productos!A77="","",Productos!B77),"")</f>
        <v/>
      </c>
      <c r="C77" s="0" t="str">
        <f aca="false">IFERROR(IF(Productos!A77="","",Productos!C77),"")</f>
        <v/>
      </c>
      <c r="D77" s="0" t="str">
        <f aca="false">IFERROR(IF(Productos!A77="","",Productos!E77),"")</f>
        <v/>
      </c>
      <c r="E77" s="6" t="str">
        <f aca="false">IFERROR(IF(A77="","",SUMIFS(Movimientos!E:E, Movimientos!D:D, A77, Movimientos!C:C, "Ingreso", Movimientos!G:G, "TIN")+SUMIFS(Movimientos!E:E, Movimientos!D:D, A77, Movimientos!C:C, "Traslado", Movimientos!G:G, "TIN")-SUMIFS(Movimientos!E:E, Movimientos!D:D, A77, Movimientos!C:C, "Traslado", Movimientos!F:F, "TIN")-SUMIFS(Movimientos!E:E, Movimientos!D:D, A77, Movimientos!C:C, "Egreso", Movimientos!F:F, "TIN")+SUMIFS(Movimientos!E:E, Movimientos!D:D, A77, Movimientos!C:C, "Ajuste", Movimientos!F:F, "TIN")),"")</f>
        <v/>
      </c>
      <c r="F77" s="6" t="str">
        <f aca="false">IFERROR(IF(A77="","",SUMIFS(Movimientos!E:E, Movimientos!D:D, A77, Movimientos!C:C, "Ingreso", Movimientos!G:G, "G1000")+SUMIFS(Movimientos!E:E, Movimientos!D:D, A77, Movimientos!C:C, "Traslado", Movimientos!G:G, "G1000")-SUMIFS(Movimientos!E:E, Movimientos!D:D, A77, Movimientos!C:C, "Traslado", Movimientos!F:F, "G1000")-SUMIFS(Movimientos!E:E, Movimientos!D:D, A77, Movimientos!C:C, "Egreso", Movimientos!F:F, "G1000")+SUMIFS(Movimientos!E:E, Movimientos!D:D, A77, Movimientos!C:C, "Ajuste", Movimientos!F:F, "G1000")),"")</f>
        <v/>
      </c>
      <c r="G77" s="6" t="str">
        <f aca="false">IFERROR(IF(A77="","",SUMIFS(Movimientos!E:E, Movimientos!D:D, A77, Movimientos!C:C, "Ingreso", Movimientos!G:G, "G710")+SUMIFS(Movimientos!E:E, Movimientos!D:D, A77, Movimientos!C:C, "Traslado", Movimientos!G:G, "G710")-SUMIFS(Movimientos!E:E, Movimientos!D:D, A77, Movimientos!C:C, "Traslado", Movimientos!F:F, "G710")-SUMIFS(Movimientos!E:E, Movimientos!D:D, A77, Movimientos!C:C, "Egreso", Movimientos!F:F, "G710")+SUMIFS(Movimientos!E:E, Movimientos!D:D, A77, Movimientos!C:C, "Ajuste", Movimientos!F:F, "G710")),"")</f>
        <v/>
      </c>
      <c r="H77" s="6" t="str">
        <f aca="false">IFERROR(IF(A77="","",SUMIFS(Movimientos!E:E, Movimientos!D:D, A77, Movimientos!C:C, "Ingreso", Movimientos!G:G, "G5000")+SUMIFS(Movimientos!E:E, Movimientos!D:D, A77, Movimientos!C:C, "Traslado", Movimientos!G:G, "G5000")-SUMIFS(Movimientos!E:E, Movimientos!D:D, A77, Movimientos!C:C, "Traslado", Movimientos!F:F, "G5000")-SUMIFS(Movimientos!E:E, Movimientos!D:D, A77, Movimientos!C:C, "Egreso", Movimientos!F:F, "G5000")+SUMIFS(Movimientos!E:E, Movimientos!D:D, A77, Movimientos!C:C, "Ajuste", Movimientos!F:F, "G5000")),"")</f>
        <v/>
      </c>
      <c r="I77" s="6" t="str">
        <f aca="false">IFERROR(IF(A77="","",SUMIFS(Movimientos!E:E, Movimientos!D:D, A77, Movimientos!C:C, "Ingreso", Movimientos!G:G, "G3")+SUMIFS(Movimientos!E:E, Movimientos!D:D, A77, Movimientos!C:C, "Traslado", Movimientos!G:G, "G3")-SUMIFS(Movimientos!E:E, Movimientos!D:D, A77, Movimientos!C:C, "Traslado", Movimientos!F:F, "G3")-SUMIFS(Movimientos!E:E, Movimientos!D:D, A77, Movimientos!C:C, "Egreso", Movimientos!F:F, "G3")+SUMIFS(Movimientos!E:E, Movimientos!D:D, A77, Movimientos!C:C, "Ajuste", Movimientos!F:F, "G3")),"")</f>
        <v/>
      </c>
      <c r="J77" s="6" t="str">
        <f aca="false">IFERROR(IF(A77="","",SUM(E77:I77)),"")</f>
        <v/>
      </c>
      <c r="K77" s="6" t="str">
        <f aca="false">IFERROR(IF(A77="","",SUMIFS(Movimientos!E:E, Movimientos!D:D, A77, Movimientos!C:C, "Reserva")-SUMIFS(Movimientos!E:E, Movimientos!D:D, A77, Movimientos!C:C, "Libera_Reserva")),"")</f>
        <v/>
      </c>
      <c r="L77" s="6" t="str">
        <f aca="false">IFERROR(IF(A77="","",J77-K77),"")</f>
        <v/>
      </c>
      <c r="M77" s="6" t="str">
        <f aca="false">IFERROR(IF(Productos!A77="","",Productos!G77),"")</f>
        <v/>
      </c>
      <c r="N77" s="6" t="str">
        <f aca="false">IFERROR(IF(A77="","",IF(L77&lt;M77,"BAJO STOCK","OK")),"")</f>
        <v/>
      </c>
    </row>
    <row r="78" customFormat="false" ht="15" hidden="false" customHeight="false" outlineLevel="0" collapsed="false">
      <c r="A78" s="0" t="str">
        <f aca="false">IFERROR(IF(Productos!A78="","",Productos!A78),"")</f>
        <v/>
      </c>
      <c r="B78" s="0" t="str">
        <f aca="false">IFERROR(IF(Productos!A78="","",Productos!B78),"")</f>
        <v/>
      </c>
      <c r="C78" s="0" t="str">
        <f aca="false">IFERROR(IF(Productos!A78="","",Productos!C78),"")</f>
        <v/>
      </c>
      <c r="D78" s="0" t="str">
        <f aca="false">IFERROR(IF(Productos!A78="","",Productos!E78),"")</f>
        <v/>
      </c>
      <c r="E78" s="6" t="str">
        <f aca="false">IFERROR(IF(A78="","",SUMIFS(Movimientos!E:E, Movimientos!D:D, A78, Movimientos!C:C, "Ingreso", Movimientos!G:G, "TIN")+SUMIFS(Movimientos!E:E, Movimientos!D:D, A78, Movimientos!C:C, "Traslado", Movimientos!G:G, "TIN")-SUMIFS(Movimientos!E:E, Movimientos!D:D, A78, Movimientos!C:C, "Traslado", Movimientos!F:F, "TIN")-SUMIFS(Movimientos!E:E, Movimientos!D:D, A78, Movimientos!C:C, "Egreso", Movimientos!F:F, "TIN")+SUMIFS(Movimientos!E:E, Movimientos!D:D, A78, Movimientos!C:C, "Ajuste", Movimientos!F:F, "TIN")),"")</f>
        <v/>
      </c>
      <c r="F78" s="6" t="str">
        <f aca="false">IFERROR(IF(A78="","",SUMIFS(Movimientos!E:E, Movimientos!D:D, A78, Movimientos!C:C, "Ingreso", Movimientos!G:G, "G1000")+SUMIFS(Movimientos!E:E, Movimientos!D:D, A78, Movimientos!C:C, "Traslado", Movimientos!G:G, "G1000")-SUMIFS(Movimientos!E:E, Movimientos!D:D, A78, Movimientos!C:C, "Traslado", Movimientos!F:F, "G1000")-SUMIFS(Movimientos!E:E, Movimientos!D:D, A78, Movimientos!C:C, "Egreso", Movimientos!F:F, "G1000")+SUMIFS(Movimientos!E:E, Movimientos!D:D, A78, Movimientos!C:C, "Ajuste", Movimientos!F:F, "G1000")),"")</f>
        <v/>
      </c>
      <c r="G78" s="6" t="str">
        <f aca="false">IFERROR(IF(A78="","",SUMIFS(Movimientos!E:E, Movimientos!D:D, A78, Movimientos!C:C, "Ingreso", Movimientos!G:G, "G710")+SUMIFS(Movimientos!E:E, Movimientos!D:D, A78, Movimientos!C:C, "Traslado", Movimientos!G:G, "G710")-SUMIFS(Movimientos!E:E, Movimientos!D:D, A78, Movimientos!C:C, "Traslado", Movimientos!F:F, "G710")-SUMIFS(Movimientos!E:E, Movimientos!D:D, A78, Movimientos!C:C, "Egreso", Movimientos!F:F, "G710")+SUMIFS(Movimientos!E:E, Movimientos!D:D, A78, Movimientos!C:C, "Ajuste", Movimientos!F:F, "G710")),"")</f>
        <v/>
      </c>
      <c r="H78" s="6" t="str">
        <f aca="false">IFERROR(IF(A78="","",SUMIFS(Movimientos!E:E, Movimientos!D:D, A78, Movimientos!C:C, "Ingreso", Movimientos!G:G, "G5000")+SUMIFS(Movimientos!E:E, Movimientos!D:D, A78, Movimientos!C:C, "Traslado", Movimientos!G:G, "G5000")-SUMIFS(Movimientos!E:E, Movimientos!D:D, A78, Movimientos!C:C, "Traslado", Movimientos!F:F, "G5000")-SUMIFS(Movimientos!E:E, Movimientos!D:D, A78, Movimientos!C:C, "Egreso", Movimientos!F:F, "G5000")+SUMIFS(Movimientos!E:E, Movimientos!D:D, A78, Movimientos!C:C, "Ajuste", Movimientos!F:F, "G5000")),"")</f>
        <v/>
      </c>
      <c r="I78" s="6" t="str">
        <f aca="false">IFERROR(IF(A78="","",SUMIFS(Movimientos!E:E, Movimientos!D:D, A78, Movimientos!C:C, "Ingreso", Movimientos!G:G, "G3")+SUMIFS(Movimientos!E:E, Movimientos!D:D, A78, Movimientos!C:C, "Traslado", Movimientos!G:G, "G3")-SUMIFS(Movimientos!E:E, Movimientos!D:D, A78, Movimientos!C:C, "Traslado", Movimientos!F:F, "G3")-SUMIFS(Movimientos!E:E, Movimientos!D:D, A78, Movimientos!C:C, "Egreso", Movimientos!F:F, "G3")+SUMIFS(Movimientos!E:E, Movimientos!D:D, A78, Movimientos!C:C, "Ajuste", Movimientos!F:F, "G3")),"")</f>
        <v/>
      </c>
      <c r="J78" s="6" t="str">
        <f aca="false">IFERROR(IF(A78="","",SUM(E78:I78)),"")</f>
        <v/>
      </c>
      <c r="K78" s="6" t="str">
        <f aca="false">IFERROR(IF(A78="","",SUMIFS(Movimientos!E:E, Movimientos!D:D, A78, Movimientos!C:C, "Reserva")-SUMIFS(Movimientos!E:E, Movimientos!D:D, A78, Movimientos!C:C, "Libera_Reserva")),"")</f>
        <v/>
      </c>
      <c r="L78" s="6" t="str">
        <f aca="false">IFERROR(IF(A78="","",J78-K78),"")</f>
        <v/>
      </c>
      <c r="M78" s="6" t="str">
        <f aca="false">IFERROR(IF(Productos!A78="","",Productos!G78),"")</f>
        <v/>
      </c>
      <c r="N78" s="6" t="str">
        <f aca="false">IFERROR(IF(A78="","",IF(L78&lt;M78,"BAJO STOCK","OK")),"")</f>
        <v/>
      </c>
    </row>
    <row r="79" customFormat="false" ht="15" hidden="false" customHeight="false" outlineLevel="0" collapsed="false">
      <c r="A79" s="0" t="str">
        <f aca="false">IFERROR(IF(Productos!A79="","",Productos!A79),"")</f>
        <v/>
      </c>
      <c r="B79" s="0" t="str">
        <f aca="false">IFERROR(IF(Productos!A79="","",Productos!B79),"")</f>
        <v/>
      </c>
      <c r="C79" s="0" t="str">
        <f aca="false">IFERROR(IF(Productos!A79="","",Productos!C79),"")</f>
        <v/>
      </c>
      <c r="D79" s="0" t="str">
        <f aca="false">IFERROR(IF(Productos!A79="","",Productos!E79),"")</f>
        <v/>
      </c>
      <c r="E79" s="6" t="str">
        <f aca="false">IFERROR(IF(A79="","",SUMIFS(Movimientos!E:E, Movimientos!D:D, A79, Movimientos!C:C, "Ingreso", Movimientos!G:G, "TIN")+SUMIFS(Movimientos!E:E, Movimientos!D:D, A79, Movimientos!C:C, "Traslado", Movimientos!G:G, "TIN")-SUMIFS(Movimientos!E:E, Movimientos!D:D, A79, Movimientos!C:C, "Traslado", Movimientos!F:F, "TIN")-SUMIFS(Movimientos!E:E, Movimientos!D:D, A79, Movimientos!C:C, "Egreso", Movimientos!F:F, "TIN")+SUMIFS(Movimientos!E:E, Movimientos!D:D, A79, Movimientos!C:C, "Ajuste", Movimientos!F:F, "TIN")),"")</f>
        <v/>
      </c>
      <c r="F79" s="6" t="str">
        <f aca="false">IFERROR(IF(A79="","",SUMIFS(Movimientos!E:E, Movimientos!D:D, A79, Movimientos!C:C, "Ingreso", Movimientos!G:G, "G1000")+SUMIFS(Movimientos!E:E, Movimientos!D:D, A79, Movimientos!C:C, "Traslado", Movimientos!G:G, "G1000")-SUMIFS(Movimientos!E:E, Movimientos!D:D, A79, Movimientos!C:C, "Traslado", Movimientos!F:F, "G1000")-SUMIFS(Movimientos!E:E, Movimientos!D:D, A79, Movimientos!C:C, "Egreso", Movimientos!F:F, "G1000")+SUMIFS(Movimientos!E:E, Movimientos!D:D, A79, Movimientos!C:C, "Ajuste", Movimientos!F:F, "G1000")),"")</f>
        <v/>
      </c>
      <c r="G79" s="6" t="str">
        <f aca="false">IFERROR(IF(A79="","",SUMIFS(Movimientos!E:E, Movimientos!D:D, A79, Movimientos!C:C, "Ingreso", Movimientos!G:G, "G710")+SUMIFS(Movimientos!E:E, Movimientos!D:D, A79, Movimientos!C:C, "Traslado", Movimientos!G:G, "G710")-SUMIFS(Movimientos!E:E, Movimientos!D:D, A79, Movimientos!C:C, "Traslado", Movimientos!F:F, "G710")-SUMIFS(Movimientos!E:E, Movimientos!D:D, A79, Movimientos!C:C, "Egreso", Movimientos!F:F, "G710")+SUMIFS(Movimientos!E:E, Movimientos!D:D, A79, Movimientos!C:C, "Ajuste", Movimientos!F:F, "G710")),"")</f>
        <v/>
      </c>
      <c r="H79" s="6" t="str">
        <f aca="false">IFERROR(IF(A79="","",SUMIFS(Movimientos!E:E, Movimientos!D:D, A79, Movimientos!C:C, "Ingreso", Movimientos!G:G, "G5000")+SUMIFS(Movimientos!E:E, Movimientos!D:D, A79, Movimientos!C:C, "Traslado", Movimientos!G:G, "G5000")-SUMIFS(Movimientos!E:E, Movimientos!D:D, A79, Movimientos!C:C, "Traslado", Movimientos!F:F, "G5000")-SUMIFS(Movimientos!E:E, Movimientos!D:D, A79, Movimientos!C:C, "Egreso", Movimientos!F:F, "G5000")+SUMIFS(Movimientos!E:E, Movimientos!D:D, A79, Movimientos!C:C, "Ajuste", Movimientos!F:F, "G5000")),"")</f>
        <v/>
      </c>
      <c r="I79" s="6" t="str">
        <f aca="false">IFERROR(IF(A79="","",SUMIFS(Movimientos!E:E, Movimientos!D:D, A79, Movimientos!C:C, "Ingreso", Movimientos!G:G, "G3")+SUMIFS(Movimientos!E:E, Movimientos!D:D, A79, Movimientos!C:C, "Traslado", Movimientos!G:G, "G3")-SUMIFS(Movimientos!E:E, Movimientos!D:D, A79, Movimientos!C:C, "Traslado", Movimientos!F:F, "G3")-SUMIFS(Movimientos!E:E, Movimientos!D:D, A79, Movimientos!C:C, "Egreso", Movimientos!F:F, "G3")+SUMIFS(Movimientos!E:E, Movimientos!D:D, A79, Movimientos!C:C, "Ajuste", Movimientos!F:F, "G3")),"")</f>
        <v/>
      </c>
      <c r="J79" s="6" t="str">
        <f aca="false">IFERROR(IF(A79="","",SUM(E79:I79)),"")</f>
        <v/>
      </c>
      <c r="K79" s="6" t="str">
        <f aca="false">IFERROR(IF(A79="","",SUMIFS(Movimientos!E:E, Movimientos!D:D, A79, Movimientos!C:C, "Reserva")-SUMIFS(Movimientos!E:E, Movimientos!D:D, A79, Movimientos!C:C, "Libera_Reserva")),"")</f>
        <v/>
      </c>
      <c r="L79" s="6" t="str">
        <f aca="false">IFERROR(IF(A79="","",J79-K79),"")</f>
        <v/>
      </c>
      <c r="M79" s="6" t="str">
        <f aca="false">IFERROR(IF(Productos!A79="","",Productos!G79),"")</f>
        <v/>
      </c>
      <c r="N79" s="6" t="str">
        <f aca="false">IFERROR(IF(A79="","",IF(L79&lt;M79,"BAJO STOCK","OK")),"")</f>
        <v/>
      </c>
    </row>
    <row r="80" customFormat="false" ht="15" hidden="false" customHeight="false" outlineLevel="0" collapsed="false">
      <c r="A80" s="0" t="str">
        <f aca="false">IFERROR(IF(Productos!A80="","",Productos!A80),"")</f>
        <v/>
      </c>
      <c r="B80" s="0" t="str">
        <f aca="false">IFERROR(IF(Productos!A80="","",Productos!B80),"")</f>
        <v/>
      </c>
      <c r="C80" s="0" t="str">
        <f aca="false">IFERROR(IF(Productos!A80="","",Productos!C80),"")</f>
        <v/>
      </c>
      <c r="D80" s="0" t="str">
        <f aca="false">IFERROR(IF(Productos!A80="","",Productos!E80),"")</f>
        <v/>
      </c>
      <c r="E80" s="6" t="str">
        <f aca="false">IFERROR(IF(A80="","",SUMIFS(Movimientos!E:E, Movimientos!D:D, A80, Movimientos!C:C, "Ingreso", Movimientos!G:G, "TIN")+SUMIFS(Movimientos!E:E, Movimientos!D:D, A80, Movimientos!C:C, "Traslado", Movimientos!G:G, "TIN")-SUMIFS(Movimientos!E:E, Movimientos!D:D, A80, Movimientos!C:C, "Traslado", Movimientos!F:F, "TIN")-SUMIFS(Movimientos!E:E, Movimientos!D:D, A80, Movimientos!C:C, "Egreso", Movimientos!F:F, "TIN")+SUMIFS(Movimientos!E:E, Movimientos!D:D, A80, Movimientos!C:C, "Ajuste", Movimientos!F:F, "TIN")),"")</f>
        <v/>
      </c>
      <c r="F80" s="6" t="str">
        <f aca="false">IFERROR(IF(A80="","",SUMIFS(Movimientos!E:E, Movimientos!D:D, A80, Movimientos!C:C, "Ingreso", Movimientos!G:G, "G1000")+SUMIFS(Movimientos!E:E, Movimientos!D:D, A80, Movimientos!C:C, "Traslado", Movimientos!G:G, "G1000")-SUMIFS(Movimientos!E:E, Movimientos!D:D, A80, Movimientos!C:C, "Traslado", Movimientos!F:F, "G1000")-SUMIFS(Movimientos!E:E, Movimientos!D:D, A80, Movimientos!C:C, "Egreso", Movimientos!F:F, "G1000")+SUMIFS(Movimientos!E:E, Movimientos!D:D, A80, Movimientos!C:C, "Ajuste", Movimientos!F:F, "G1000")),"")</f>
        <v/>
      </c>
      <c r="G80" s="6" t="str">
        <f aca="false">IFERROR(IF(A80="","",SUMIFS(Movimientos!E:E, Movimientos!D:D, A80, Movimientos!C:C, "Ingreso", Movimientos!G:G, "G710")+SUMIFS(Movimientos!E:E, Movimientos!D:D, A80, Movimientos!C:C, "Traslado", Movimientos!G:G, "G710")-SUMIFS(Movimientos!E:E, Movimientos!D:D, A80, Movimientos!C:C, "Traslado", Movimientos!F:F, "G710")-SUMIFS(Movimientos!E:E, Movimientos!D:D, A80, Movimientos!C:C, "Egreso", Movimientos!F:F, "G710")+SUMIFS(Movimientos!E:E, Movimientos!D:D, A80, Movimientos!C:C, "Ajuste", Movimientos!F:F, "G710")),"")</f>
        <v/>
      </c>
      <c r="H80" s="6" t="str">
        <f aca="false">IFERROR(IF(A80="","",SUMIFS(Movimientos!E:E, Movimientos!D:D, A80, Movimientos!C:C, "Ingreso", Movimientos!G:G, "G5000")+SUMIFS(Movimientos!E:E, Movimientos!D:D, A80, Movimientos!C:C, "Traslado", Movimientos!G:G, "G5000")-SUMIFS(Movimientos!E:E, Movimientos!D:D, A80, Movimientos!C:C, "Traslado", Movimientos!F:F, "G5000")-SUMIFS(Movimientos!E:E, Movimientos!D:D, A80, Movimientos!C:C, "Egreso", Movimientos!F:F, "G5000")+SUMIFS(Movimientos!E:E, Movimientos!D:D, A80, Movimientos!C:C, "Ajuste", Movimientos!F:F, "G5000")),"")</f>
        <v/>
      </c>
      <c r="I80" s="6" t="str">
        <f aca="false">IFERROR(IF(A80="","",SUMIFS(Movimientos!E:E, Movimientos!D:D, A80, Movimientos!C:C, "Ingreso", Movimientos!G:G, "G3")+SUMIFS(Movimientos!E:E, Movimientos!D:D, A80, Movimientos!C:C, "Traslado", Movimientos!G:G, "G3")-SUMIFS(Movimientos!E:E, Movimientos!D:D, A80, Movimientos!C:C, "Traslado", Movimientos!F:F, "G3")-SUMIFS(Movimientos!E:E, Movimientos!D:D, A80, Movimientos!C:C, "Egreso", Movimientos!F:F, "G3")+SUMIFS(Movimientos!E:E, Movimientos!D:D, A80, Movimientos!C:C, "Ajuste", Movimientos!F:F, "G3")),"")</f>
        <v/>
      </c>
      <c r="J80" s="6" t="str">
        <f aca="false">IFERROR(IF(A80="","",SUM(E80:I80)),"")</f>
        <v/>
      </c>
      <c r="K80" s="6" t="str">
        <f aca="false">IFERROR(IF(A80="","",SUMIFS(Movimientos!E:E, Movimientos!D:D, A80, Movimientos!C:C, "Reserva")-SUMIFS(Movimientos!E:E, Movimientos!D:D, A80, Movimientos!C:C, "Libera_Reserva")),"")</f>
        <v/>
      </c>
      <c r="L80" s="6" t="str">
        <f aca="false">IFERROR(IF(A80="","",J80-K80),"")</f>
        <v/>
      </c>
      <c r="M80" s="6" t="str">
        <f aca="false">IFERROR(IF(Productos!A80="","",Productos!G80),"")</f>
        <v/>
      </c>
      <c r="N80" s="6" t="str">
        <f aca="false">IFERROR(IF(A80="","",IF(L80&lt;M80,"BAJO STOCK","OK")),"")</f>
        <v/>
      </c>
    </row>
    <row r="81" customFormat="false" ht="15" hidden="false" customHeight="false" outlineLevel="0" collapsed="false">
      <c r="A81" s="0" t="str">
        <f aca="false">IFERROR(IF(Productos!A81="","",Productos!A81),"")</f>
        <v/>
      </c>
      <c r="B81" s="0" t="str">
        <f aca="false">IFERROR(IF(Productos!A81="","",Productos!B81),"")</f>
        <v/>
      </c>
      <c r="C81" s="0" t="str">
        <f aca="false">IFERROR(IF(Productos!A81="","",Productos!C81),"")</f>
        <v/>
      </c>
      <c r="D81" s="0" t="str">
        <f aca="false">IFERROR(IF(Productos!A81="","",Productos!E81),"")</f>
        <v/>
      </c>
      <c r="E81" s="6" t="str">
        <f aca="false">IFERROR(IF(A81="","",SUMIFS(Movimientos!E:E, Movimientos!D:D, A81, Movimientos!C:C, "Ingreso", Movimientos!G:G, "TIN")+SUMIFS(Movimientos!E:E, Movimientos!D:D, A81, Movimientos!C:C, "Traslado", Movimientos!G:G, "TIN")-SUMIFS(Movimientos!E:E, Movimientos!D:D, A81, Movimientos!C:C, "Traslado", Movimientos!F:F, "TIN")-SUMIFS(Movimientos!E:E, Movimientos!D:D, A81, Movimientos!C:C, "Egreso", Movimientos!F:F, "TIN")+SUMIFS(Movimientos!E:E, Movimientos!D:D, A81, Movimientos!C:C, "Ajuste", Movimientos!F:F, "TIN")),"")</f>
        <v/>
      </c>
      <c r="F81" s="6" t="str">
        <f aca="false">IFERROR(IF(A81="","",SUMIFS(Movimientos!E:E, Movimientos!D:D, A81, Movimientos!C:C, "Ingreso", Movimientos!G:G, "G1000")+SUMIFS(Movimientos!E:E, Movimientos!D:D, A81, Movimientos!C:C, "Traslado", Movimientos!G:G, "G1000")-SUMIFS(Movimientos!E:E, Movimientos!D:D, A81, Movimientos!C:C, "Traslado", Movimientos!F:F, "G1000")-SUMIFS(Movimientos!E:E, Movimientos!D:D, A81, Movimientos!C:C, "Egreso", Movimientos!F:F, "G1000")+SUMIFS(Movimientos!E:E, Movimientos!D:D, A81, Movimientos!C:C, "Ajuste", Movimientos!F:F, "G1000")),"")</f>
        <v/>
      </c>
      <c r="G81" s="6" t="str">
        <f aca="false">IFERROR(IF(A81="","",SUMIFS(Movimientos!E:E, Movimientos!D:D, A81, Movimientos!C:C, "Ingreso", Movimientos!G:G, "G710")+SUMIFS(Movimientos!E:E, Movimientos!D:D, A81, Movimientos!C:C, "Traslado", Movimientos!G:G, "G710")-SUMIFS(Movimientos!E:E, Movimientos!D:D, A81, Movimientos!C:C, "Traslado", Movimientos!F:F, "G710")-SUMIFS(Movimientos!E:E, Movimientos!D:D, A81, Movimientos!C:C, "Egreso", Movimientos!F:F, "G710")+SUMIFS(Movimientos!E:E, Movimientos!D:D, A81, Movimientos!C:C, "Ajuste", Movimientos!F:F, "G710")),"")</f>
        <v/>
      </c>
      <c r="H81" s="6" t="str">
        <f aca="false">IFERROR(IF(A81="","",SUMIFS(Movimientos!E:E, Movimientos!D:D, A81, Movimientos!C:C, "Ingreso", Movimientos!G:G, "G5000")+SUMIFS(Movimientos!E:E, Movimientos!D:D, A81, Movimientos!C:C, "Traslado", Movimientos!G:G, "G5000")-SUMIFS(Movimientos!E:E, Movimientos!D:D, A81, Movimientos!C:C, "Traslado", Movimientos!F:F, "G5000")-SUMIFS(Movimientos!E:E, Movimientos!D:D, A81, Movimientos!C:C, "Egreso", Movimientos!F:F, "G5000")+SUMIFS(Movimientos!E:E, Movimientos!D:D, A81, Movimientos!C:C, "Ajuste", Movimientos!F:F, "G5000")),"")</f>
        <v/>
      </c>
      <c r="I81" s="6" t="str">
        <f aca="false">IFERROR(IF(A81="","",SUMIFS(Movimientos!E:E, Movimientos!D:D, A81, Movimientos!C:C, "Ingreso", Movimientos!G:G, "G3")+SUMIFS(Movimientos!E:E, Movimientos!D:D, A81, Movimientos!C:C, "Traslado", Movimientos!G:G, "G3")-SUMIFS(Movimientos!E:E, Movimientos!D:D, A81, Movimientos!C:C, "Traslado", Movimientos!F:F, "G3")-SUMIFS(Movimientos!E:E, Movimientos!D:D, A81, Movimientos!C:C, "Egreso", Movimientos!F:F, "G3")+SUMIFS(Movimientos!E:E, Movimientos!D:D, A81, Movimientos!C:C, "Ajuste", Movimientos!F:F, "G3")),"")</f>
        <v/>
      </c>
      <c r="J81" s="6" t="str">
        <f aca="false">IFERROR(IF(A81="","",SUM(E81:I81)),"")</f>
        <v/>
      </c>
      <c r="K81" s="6" t="str">
        <f aca="false">IFERROR(IF(A81="","",SUMIFS(Movimientos!E:E, Movimientos!D:D, A81, Movimientos!C:C, "Reserva")-SUMIFS(Movimientos!E:E, Movimientos!D:D, A81, Movimientos!C:C, "Libera_Reserva")),"")</f>
        <v/>
      </c>
      <c r="L81" s="6" t="str">
        <f aca="false">IFERROR(IF(A81="","",J81-K81),"")</f>
        <v/>
      </c>
      <c r="M81" s="6" t="str">
        <f aca="false">IFERROR(IF(Productos!A81="","",Productos!G81),"")</f>
        <v/>
      </c>
      <c r="N81" s="6" t="str">
        <f aca="false">IFERROR(IF(A81="","",IF(L81&lt;M81,"BAJO STOCK","OK")),"")</f>
        <v/>
      </c>
    </row>
    <row r="82" customFormat="false" ht="15" hidden="false" customHeight="false" outlineLevel="0" collapsed="false">
      <c r="A82" s="0" t="str">
        <f aca="false">IFERROR(IF(Productos!A82="","",Productos!A82),"")</f>
        <v/>
      </c>
      <c r="B82" s="0" t="str">
        <f aca="false">IFERROR(IF(Productos!A82="","",Productos!B82),"")</f>
        <v/>
      </c>
      <c r="C82" s="0" t="str">
        <f aca="false">IFERROR(IF(Productos!A82="","",Productos!C82),"")</f>
        <v/>
      </c>
      <c r="D82" s="0" t="str">
        <f aca="false">IFERROR(IF(Productos!A82="","",Productos!E82),"")</f>
        <v/>
      </c>
      <c r="E82" s="6" t="str">
        <f aca="false">IFERROR(IF(A82="","",SUMIFS(Movimientos!E:E, Movimientos!D:D, A82, Movimientos!C:C, "Ingreso", Movimientos!G:G, "TIN")+SUMIFS(Movimientos!E:E, Movimientos!D:D, A82, Movimientos!C:C, "Traslado", Movimientos!G:G, "TIN")-SUMIFS(Movimientos!E:E, Movimientos!D:D, A82, Movimientos!C:C, "Traslado", Movimientos!F:F, "TIN")-SUMIFS(Movimientos!E:E, Movimientos!D:D, A82, Movimientos!C:C, "Egreso", Movimientos!F:F, "TIN")+SUMIFS(Movimientos!E:E, Movimientos!D:D, A82, Movimientos!C:C, "Ajuste", Movimientos!F:F, "TIN")),"")</f>
        <v/>
      </c>
      <c r="F82" s="6" t="str">
        <f aca="false">IFERROR(IF(A82="","",SUMIFS(Movimientos!E:E, Movimientos!D:D, A82, Movimientos!C:C, "Ingreso", Movimientos!G:G, "G1000")+SUMIFS(Movimientos!E:E, Movimientos!D:D, A82, Movimientos!C:C, "Traslado", Movimientos!G:G, "G1000")-SUMIFS(Movimientos!E:E, Movimientos!D:D, A82, Movimientos!C:C, "Traslado", Movimientos!F:F, "G1000")-SUMIFS(Movimientos!E:E, Movimientos!D:D, A82, Movimientos!C:C, "Egreso", Movimientos!F:F, "G1000")+SUMIFS(Movimientos!E:E, Movimientos!D:D, A82, Movimientos!C:C, "Ajuste", Movimientos!F:F, "G1000")),"")</f>
        <v/>
      </c>
      <c r="G82" s="6" t="str">
        <f aca="false">IFERROR(IF(A82="","",SUMIFS(Movimientos!E:E, Movimientos!D:D, A82, Movimientos!C:C, "Ingreso", Movimientos!G:G, "G710")+SUMIFS(Movimientos!E:E, Movimientos!D:D, A82, Movimientos!C:C, "Traslado", Movimientos!G:G, "G710")-SUMIFS(Movimientos!E:E, Movimientos!D:D, A82, Movimientos!C:C, "Traslado", Movimientos!F:F, "G710")-SUMIFS(Movimientos!E:E, Movimientos!D:D, A82, Movimientos!C:C, "Egreso", Movimientos!F:F, "G710")+SUMIFS(Movimientos!E:E, Movimientos!D:D, A82, Movimientos!C:C, "Ajuste", Movimientos!F:F, "G710")),"")</f>
        <v/>
      </c>
      <c r="H82" s="6" t="str">
        <f aca="false">IFERROR(IF(A82="","",SUMIFS(Movimientos!E:E, Movimientos!D:D, A82, Movimientos!C:C, "Ingreso", Movimientos!G:G, "G5000")+SUMIFS(Movimientos!E:E, Movimientos!D:D, A82, Movimientos!C:C, "Traslado", Movimientos!G:G, "G5000")-SUMIFS(Movimientos!E:E, Movimientos!D:D, A82, Movimientos!C:C, "Traslado", Movimientos!F:F, "G5000")-SUMIFS(Movimientos!E:E, Movimientos!D:D, A82, Movimientos!C:C, "Egreso", Movimientos!F:F, "G5000")+SUMIFS(Movimientos!E:E, Movimientos!D:D, A82, Movimientos!C:C, "Ajuste", Movimientos!F:F, "G5000")),"")</f>
        <v/>
      </c>
      <c r="I82" s="6" t="str">
        <f aca="false">IFERROR(IF(A82="","",SUMIFS(Movimientos!E:E, Movimientos!D:D, A82, Movimientos!C:C, "Ingreso", Movimientos!G:G, "G3")+SUMIFS(Movimientos!E:E, Movimientos!D:D, A82, Movimientos!C:C, "Traslado", Movimientos!G:G, "G3")-SUMIFS(Movimientos!E:E, Movimientos!D:D, A82, Movimientos!C:C, "Traslado", Movimientos!F:F, "G3")-SUMIFS(Movimientos!E:E, Movimientos!D:D, A82, Movimientos!C:C, "Egreso", Movimientos!F:F, "G3")+SUMIFS(Movimientos!E:E, Movimientos!D:D, A82, Movimientos!C:C, "Ajuste", Movimientos!F:F, "G3")),"")</f>
        <v/>
      </c>
      <c r="J82" s="6" t="str">
        <f aca="false">IFERROR(IF(A82="","",SUM(E82:I82)),"")</f>
        <v/>
      </c>
      <c r="K82" s="6" t="str">
        <f aca="false">IFERROR(IF(A82="","",SUMIFS(Movimientos!E:E, Movimientos!D:D, A82, Movimientos!C:C, "Reserva")-SUMIFS(Movimientos!E:E, Movimientos!D:D, A82, Movimientos!C:C, "Libera_Reserva")),"")</f>
        <v/>
      </c>
      <c r="L82" s="6" t="str">
        <f aca="false">IFERROR(IF(A82="","",J82-K82),"")</f>
        <v/>
      </c>
      <c r="M82" s="6" t="str">
        <f aca="false">IFERROR(IF(Productos!A82="","",Productos!G82),"")</f>
        <v/>
      </c>
      <c r="N82" s="6" t="str">
        <f aca="false">IFERROR(IF(A82="","",IF(L82&lt;M82,"BAJO STOCK","OK")),"")</f>
        <v/>
      </c>
    </row>
    <row r="83" customFormat="false" ht="15" hidden="false" customHeight="false" outlineLevel="0" collapsed="false">
      <c r="A83" s="0" t="str">
        <f aca="false">IFERROR(IF(Productos!A83="","",Productos!A83),"")</f>
        <v/>
      </c>
      <c r="B83" s="0" t="str">
        <f aca="false">IFERROR(IF(Productos!A83="","",Productos!B83),"")</f>
        <v/>
      </c>
      <c r="C83" s="0" t="str">
        <f aca="false">IFERROR(IF(Productos!A83="","",Productos!C83),"")</f>
        <v/>
      </c>
      <c r="D83" s="0" t="str">
        <f aca="false">IFERROR(IF(Productos!A83="","",Productos!E83),"")</f>
        <v/>
      </c>
      <c r="E83" s="6" t="str">
        <f aca="false">IFERROR(IF(A83="","",SUMIFS(Movimientos!E:E, Movimientos!D:D, A83, Movimientos!C:C, "Ingreso", Movimientos!G:G, "TIN")+SUMIFS(Movimientos!E:E, Movimientos!D:D, A83, Movimientos!C:C, "Traslado", Movimientos!G:G, "TIN")-SUMIFS(Movimientos!E:E, Movimientos!D:D, A83, Movimientos!C:C, "Traslado", Movimientos!F:F, "TIN")-SUMIFS(Movimientos!E:E, Movimientos!D:D, A83, Movimientos!C:C, "Egreso", Movimientos!F:F, "TIN")+SUMIFS(Movimientos!E:E, Movimientos!D:D, A83, Movimientos!C:C, "Ajuste", Movimientos!F:F, "TIN")),"")</f>
        <v/>
      </c>
      <c r="F83" s="6" t="str">
        <f aca="false">IFERROR(IF(A83="","",SUMIFS(Movimientos!E:E, Movimientos!D:D, A83, Movimientos!C:C, "Ingreso", Movimientos!G:G, "G1000")+SUMIFS(Movimientos!E:E, Movimientos!D:D, A83, Movimientos!C:C, "Traslado", Movimientos!G:G, "G1000")-SUMIFS(Movimientos!E:E, Movimientos!D:D, A83, Movimientos!C:C, "Traslado", Movimientos!F:F, "G1000")-SUMIFS(Movimientos!E:E, Movimientos!D:D, A83, Movimientos!C:C, "Egreso", Movimientos!F:F, "G1000")+SUMIFS(Movimientos!E:E, Movimientos!D:D, A83, Movimientos!C:C, "Ajuste", Movimientos!F:F, "G1000")),"")</f>
        <v/>
      </c>
      <c r="G83" s="6" t="str">
        <f aca="false">IFERROR(IF(A83="","",SUMIFS(Movimientos!E:E, Movimientos!D:D, A83, Movimientos!C:C, "Ingreso", Movimientos!G:G, "G710")+SUMIFS(Movimientos!E:E, Movimientos!D:D, A83, Movimientos!C:C, "Traslado", Movimientos!G:G, "G710")-SUMIFS(Movimientos!E:E, Movimientos!D:D, A83, Movimientos!C:C, "Traslado", Movimientos!F:F, "G710")-SUMIFS(Movimientos!E:E, Movimientos!D:D, A83, Movimientos!C:C, "Egreso", Movimientos!F:F, "G710")+SUMIFS(Movimientos!E:E, Movimientos!D:D, A83, Movimientos!C:C, "Ajuste", Movimientos!F:F, "G710")),"")</f>
        <v/>
      </c>
      <c r="H83" s="6" t="str">
        <f aca="false">IFERROR(IF(A83="","",SUMIFS(Movimientos!E:E, Movimientos!D:D, A83, Movimientos!C:C, "Ingreso", Movimientos!G:G, "G5000")+SUMIFS(Movimientos!E:E, Movimientos!D:D, A83, Movimientos!C:C, "Traslado", Movimientos!G:G, "G5000")-SUMIFS(Movimientos!E:E, Movimientos!D:D, A83, Movimientos!C:C, "Traslado", Movimientos!F:F, "G5000")-SUMIFS(Movimientos!E:E, Movimientos!D:D, A83, Movimientos!C:C, "Egreso", Movimientos!F:F, "G5000")+SUMIFS(Movimientos!E:E, Movimientos!D:D, A83, Movimientos!C:C, "Ajuste", Movimientos!F:F, "G5000")),"")</f>
        <v/>
      </c>
      <c r="I83" s="6" t="str">
        <f aca="false">IFERROR(IF(A83="","",SUMIFS(Movimientos!E:E, Movimientos!D:D, A83, Movimientos!C:C, "Ingreso", Movimientos!G:G, "G3")+SUMIFS(Movimientos!E:E, Movimientos!D:D, A83, Movimientos!C:C, "Traslado", Movimientos!G:G, "G3")-SUMIFS(Movimientos!E:E, Movimientos!D:D, A83, Movimientos!C:C, "Traslado", Movimientos!F:F, "G3")-SUMIFS(Movimientos!E:E, Movimientos!D:D, A83, Movimientos!C:C, "Egreso", Movimientos!F:F, "G3")+SUMIFS(Movimientos!E:E, Movimientos!D:D, A83, Movimientos!C:C, "Ajuste", Movimientos!F:F, "G3")),"")</f>
        <v/>
      </c>
      <c r="J83" s="6" t="str">
        <f aca="false">IFERROR(IF(A83="","",SUM(E83:I83)),"")</f>
        <v/>
      </c>
      <c r="K83" s="6" t="str">
        <f aca="false">IFERROR(IF(A83="","",SUMIFS(Movimientos!E:E, Movimientos!D:D, A83, Movimientos!C:C, "Reserva")-SUMIFS(Movimientos!E:E, Movimientos!D:D, A83, Movimientos!C:C, "Libera_Reserva")),"")</f>
        <v/>
      </c>
      <c r="L83" s="6" t="str">
        <f aca="false">IFERROR(IF(A83="","",J83-K83),"")</f>
        <v/>
      </c>
      <c r="M83" s="6" t="str">
        <f aca="false">IFERROR(IF(Productos!A83="","",Productos!G83),"")</f>
        <v/>
      </c>
      <c r="N83" s="6" t="str">
        <f aca="false">IFERROR(IF(A83="","",IF(L83&lt;M83,"BAJO STOCK","OK")),"")</f>
        <v/>
      </c>
    </row>
    <row r="84" customFormat="false" ht="15" hidden="false" customHeight="false" outlineLevel="0" collapsed="false">
      <c r="A84" s="0" t="str">
        <f aca="false">IFERROR(IF(Productos!A84="","",Productos!A84),"")</f>
        <v/>
      </c>
      <c r="B84" s="0" t="str">
        <f aca="false">IFERROR(IF(Productos!A84="","",Productos!B84),"")</f>
        <v/>
      </c>
      <c r="C84" s="0" t="str">
        <f aca="false">IFERROR(IF(Productos!A84="","",Productos!C84),"")</f>
        <v/>
      </c>
      <c r="D84" s="0" t="str">
        <f aca="false">IFERROR(IF(Productos!A84="","",Productos!E84),"")</f>
        <v/>
      </c>
      <c r="E84" s="6" t="str">
        <f aca="false">IFERROR(IF(A84="","",SUMIFS(Movimientos!E:E, Movimientos!D:D, A84, Movimientos!C:C, "Ingreso", Movimientos!G:G, "TIN")+SUMIFS(Movimientos!E:E, Movimientos!D:D, A84, Movimientos!C:C, "Traslado", Movimientos!G:G, "TIN")-SUMIFS(Movimientos!E:E, Movimientos!D:D, A84, Movimientos!C:C, "Traslado", Movimientos!F:F, "TIN")-SUMIFS(Movimientos!E:E, Movimientos!D:D, A84, Movimientos!C:C, "Egreso", Movimientos!F:F, "TIN")+SUMIFS(Movimientos!E:E, Movimientos!D:D, A84, Movimientos!C:C, "Ajuste", Movimientos!F:F, "TIN")),"")</f>
        <v/>
      </c>
      <c r="F84" s="6" t="str">
        <f aca="false">IFERROR(IF(A84="","",SUMIFS(Movimientos!E:E, Movimientos!D:D, A84, Movimientos!C:C, "Ingreso", Movimientos!G:G, "G1000")+SUMIFS(Movimientos!E:E, Movimientos!D:D, A84, Movimientos!C:C, "Traslado", Movimientos!G:G, "G1000")-SUMIFS(Movimientos!E:E, Movimientos!D:D, A84, Movimientos!C:C, "Traslado", Movimientos!F:F, "G1000")-SUMIFS(Movimientos!E:E, Movimientos!D:D, A84, Movimientos!C:C, "Egreso", Movimientos!F:F, "G1000")+SUMIFS(Movimientos!E:E, Movimientos!D:D, A84, Movimientos!C:C, "Ajuste", Movimientos!F:F, "G1000")),"")</f>
        <v/>
      </c>
      <c r="G84" s="6" t="str">
        <f aca="false">IFERROR(IF(A84="","",SUMIFS(Movimientos!E:E, Movimientos!D:D, A84, Movimientos!C:C, "Ingreso", Movimientos!G:G, "G710")+SUMIFS(Movimientos!E:E, Movimientos!D:D, A84, Movimientos!C:C, "Traslado", Movimientos!G:G, "G710")-SUMIFS(Movimientos!E:E, Movimientos!D:D, A84, Movimientos!C:C, "Traslado", Movimientos!F:F, "G710")-SUMIFS(Movimientos!E:E, Movimientos!D:D, A84, Movimientos!C:C, "Egreso", Movimientos!F:F, "G710")+SUMIFS(Movimientos!E:E, Movimientos!D:D, A84, Movimientos!C:C, "Ajuste", Movimientos!F:F, "G710")),"")</f>
        <v/>
      </c>
      <c r="H84" s="6" t="str">
        <f aca="false">IFERROR(IF(A84="","",SUMIFS(Movimientos!E:E, Movimientos!D:D, A84, Movimientos!C:C, "Ingreso", Movimientos!G:G, "G5000")+SUMIFS(Movimientos!E:E, Movimientos!D:D, A84, Movimientos!C:C, "Traslado", Movimientos!G:G, "G5000")-SUMIFS(Movimientos!E:E, Movimientos!D:D, A84, Movimientos!C:C, "Traslado", Movimientos!F:F, "G5000")-SUMIFS(Movimientos!E:E, Movimientos!D:D, A84, Movimientos!C:C, "Egreso", Movimientos!F:F, "G5000")+SUMIFS(Movimientos!E:E, Movimientos!D:D, A84, Movimientos!C:C, "Ajuste", Movimientos!F:F, "G5000")),"")</f>
        <v/>
      </c>
      <c r="I84" s="6" t="str">
        <f aca="false">IFERROR(IF(A84="","",SUMIFS(Movimientos!E:E, Movimientos!D:D, A84, Movimientos!C:C, "Ingreso", Movimientos!G:G, "G3")+SUMIFS(Movimientos!E:E, Movimientos!D:D, A84, Movimientos!C:C, "Traslado", Movimientos!G:G, "G3")-SUMIFS(Movimientos!E:E, Movimientos!D:D, A84, Movimientos!C:C, "Traslado", Movimientos!F:F, "G3")-SUMIFS(Movimientos!E:E, Movimientos!D:D, A84, Movimientos!C:C, "Egreso", Movimientos!F:F, "G3")+SUMIFS(Movimientos!E:E, Movimientos!D:D, A84, Movimientos!C:C, "Ajuste", Movimientos!F:F, "G3")),"")</f>
        <v/>
      </c>
      <c r="J84" s="6" t="str">
        <f aca="false">IFERROR(IF(A84="","",SUM(E84:I84)),"")</f>
        <v/>
      </c>
      <c r="K84" s="6" t="str">
        <f aca="false">IFERROR(IF(A84="","",SUMIFS(Movimientos!E:E, Movimientos!D:D, A84, Movimientos!C:C, "Reserva")-SUMIFS(Movimientos!E:E, Movimientos!D:D, A84, Movimientos!C:C, "Libera_Reserva")),"")</f>
        <v/>
      </c>
      <c r="L84" s="6" t="str">
        <f aca="false">IFERROR(IF(A84="","",J84-K84),"")</f>
        <v/>
      </c>
      <c r="M84" s="6" t="str">
        <f aca="false">IFERROR(IF(Productos!A84="","",Productos!G84),"")</f>
        <v/>
      </c>
      <c r="N84" s="6" t="str">
        <f aca="false">IFERROR(IF(A84="","",IF(L84&lt;M84,"BAJO STOCK","OK")),"")</f>
        <v/>
      </c>
    </row>
    <row r="85" customFormat="false" ht="15" hidden="false" customHeight="false" outlineLevel="0" collapsed="false">
      <c r="A85" s="0" t="str">
        <f aca="false">IFERROR(IF(Productos!A85="","",Productos!A85),"")</f>
        <v/>
      </c>
      <c r="B85" s="0" t="str">
        <f aca="false">IFERROR(IF(Productos!A85="","",Productos!B85),"")</f>
        <v/>
      </c>
      <c r="C85" s="0" t="str">
        <f aca="false">IFERROR(IF(Productos!A85="","",Productos!C85),"")</f>
        <v/>
      </c>
      <c r="D85" s="0" t="str">
        <f aca="false">IFERROR(IF(Productos!A85="","",Productos!E85),"")</f>
        <v/>
      </c>
      <c r="E85" s="6" t="str">
        <f aca="false">IFERROR(IF(A85="","",SUMIFS(Movimientos!E:E, Movimientos!D:D, A85, Movimientos!C:C, "Ingreso", Movimientos!G:G, "TIN")+SUMIFS(Movimientos!E:E, Movimientos!D:D, A85, Movimientos!C:C, "Traslado", Movimientos!G:G, "TIN")-SUMIFS(Movimientos!E:E, Movimientos!D:D, A85, Movimientos!C:C, "Traslado", Movimientos!F:F, "TIN")-SUMIFS(Movimientos!E:E, Movimientos!D:D, A85, Movimientos!C:C, "Egreso", Movimientos!F:F, "TIN")+SUMIFS(Movimientos!E:E, Movimientos!D:D, A85, Movimientos!C:C, "Ajuste", Movimientos!F:F, "TIN")),"")</f>
        <v/>
      </c>
      <c r="F85" s="6" t="str">
        <f aca="false">IFERROR(IF(A85="","",SUMIFS(Movimientos!E:E, Movimientos!D:D, A85, Movimientos!C:C, "Ingreso", Movimientos!G:G, "G1000")+SUMIFS(Movimientos!E:E, Movimientos!D:D, A85, Movimientos!C:C, "Traslado", Movimientos!G:G, "G1000")-SUMIFS(Movimientos!E:E, Movimientos!D:D, A85, Movimientos!C:C, "Traslado", Movimientos!F:F, "G1000")-SUMIFS(Movimientos!E:E, Movimientos!D:D, A85, Movimientos!C:C, "Egreso", Movimientos!F:F, "G1000")+SUMIFS(Movimientos!E:E, Movimientos!D:D, A85, Movimientos!C:C, "Ajuste", Movimientos!F:F, "G1000")),"")</f>
        <v/>
      </c>
      <c r="G85" s="6" t="str">
        <f aca="false">IFERROR(IF(A85="","",SUMIFS(Movimientos!E:E, Movimientos!D:D, A85, Movimientos!C:C, "Ingreso", Movimientos!G:G, "G710")+SUMIFS(Movimientos!E:E, Movimientos!D:D, A85, Movimientos!C:C, "Traslado", Movimientos!G:G, "G710")-SUMIFS(Movimientos!E:E, Movimientos!D:D, A85, Movimientos!C:C, "Traslado", Movimientos!F:F, "G710")-SUMIFS(Movimientos!E:E, Movimientos!D:D, A85, Movimientos!C:C, "Egreso", Movimientos!F:F, "G710")+SUMIFS(Movimientos!E:E, Movimientos!D:D, A85, Movimientos!C:C, "Ajuste", Movimientos!F:F, "G710")),"")</f>
        <v/>
      </c>
      <c r="H85" s="6" t="str">
        <f aca="false">IFERROR(IF(A85="","",SUMIFS(Movimientos!E:E, Movimientos!D:D, A85, Movimientos!C:C, "Ingreso", Movimientos!G:G, "G5000")+SUMIFS(Movimientos!E:E, Movimientos!D:D, A85, Movimientos!C:C, "Traslado", Movimientos!G:G, "G5000")-SUMIFS(Movimientos!E:E, Movimientos!D:D, A85, Movimientos!C:C, "Traslado", Movimientos!F:F, "G5000")-SUMIFS(Movimientos!E:E, Movimientos!D:D, A85, Movimientos!C:C, "Egreso", Movimientos!F:F, "G5000")+SUMIFS(Movimientos!E:E, Movimientos!D:D, A85, Movimientos!C:C, "Ajuste", Movimientos!F:F, "G5000")),"")</f>
        <v/>
      </c>
      <c r="I85" s="6" t="str">
        <f aca="false">IFERROR(IF(A85="","",SUMIFS(Movimientos!E:E, Movimientos!D:D, A85, Movimientos!C:C, "Ingreso", Movimientos!G:G, "G3")+SUMIFS(Movimientos!E:E, Movimientos!D:D, A85, Movimientos!C:C, "Traslado", Movimientos!G:G, "G3")-SUMIFS(Movimientos!E:E, Movimientos!D:D, A85, Movimientos!C:C, "Traslado", Movimientos!F:F, "G3")-SUMIFS(Movimientos!E:E, Movimientos!D:D, A85, Movimientos!C:C, "Egreso", Movimientos!F:F, "G3")+SUMIFS(Movimientos!E:E, Movimientos!D:D, A85, Movimientos!C:C, "Ajuste", Movimientos!F:F, "G3")),"")</f>
        <v/>
      </c>
      <c r="J85" s="6" t="str">
        <f aca="false">IFERROR(IF(A85="","",SUM(E85:I85)),"")</f>
        <v/>
      </c>
      <c r="K85" s="6" t="str">
        <f aca="false">IFERROR(IF(A85="","",SUMIFS(Movimientos!E:E, Movimientos!D:D, A85, Movimientos!C:C, "Reserva")-SUMIFS(Movimientos!E:E, Movimientos!D:D, A85, Movimientos!C:C, "Libera_Reserva")),"")</f>
        <v/>
      </c>
      <c r="L85" s="6" t="str">
        <f aca="false">IFERROR(IF(A85="","",J85-K85),"")</f>
        <v/>
      </c>
      <c r="M85" s="6" t="str">
        <f aca="false">IFERROR(IF(Productos!A85="","",Productos!G85),"")</f>
        <v/>
      </c>
      <c r="N85" s="6" t="str">
        <f aca="false">IFERROR(IF(A85="","",IF(L85&lt;M85,"BAJO STOCK","OK")),"")</f>
        <v/>
      </c>
    </row>
    <row r="86" customFormat="false" ht="15" hidden="false" customHeight="false" outlineLevel="0" collapsed="false">
      <c r="A86" s="0" t="str">
        <f aca="false">IFERROR(IF(Productos!A86="","",Productos!A86),"")</f>
        <v/>
      </c>
      <c r="B86" s="0" t="str">
        <f aca="false">IFERROR(IF(Productos!A86="","",Productos!B86),"")</f>
        <v/>
      </c>
      <c r="C86" s="0" t="str">
        <f aca="false">IFERROR(IF(Productos!A86="","",Productos!C86),"")</f>
        <v/>
      </c>
      <c r="D86" s="0" t="str">
        <f aca="false">IFERROR(IF(Productos!A86="","",Productos!E86),"")</f>
        <v/>
      </c>
      <c r="E86" s="6" t="str">
        <f aca="false">IFERROR(IF(A86="","",SUMIFS(Movimientos!E:E, Movimientos!D:D, A86, Movimientos!C:C, "Ingreso", Movimientos!G:G, "TIN")+SUMIFS(Movimientos!E:E, Movimientos!D:D, A86, Movimientos!C:C, "Traslado", Movimientos!G:G, "TIN")-SUMIFS(Movimientos!E:E, Movimientos!D:D, A86, Movimientos!C:C, "Traslado", Movimientos!F:F, "TIN")-SUMIFS(Movimientos!E:E, Movimientos!D:D, A86, Movimientos!C:C, "Egreso", Movimientos!F:F, "TIN")+SUMIFS(Movimientos!E:E, Movimientos!D:D, A86, Movimientos!C:C, "Ajuste", Movimientos!F:F, "TIN")),"")</f>
        <v/>
      </c>
      <c r="F86" s="6" t="str">
        <f aca="false">IFERROR(IF(A86="","",SUMIFS(Movimientos!E:E, Movimientos!D:D, A86, Movimientos!C:C, "Ingreso", Movimientos!G:G, "G1000")+SUMIFS(Movimientos!E:E, Movimientos!D:D, A86, Movimientos!C:C, "Traslado", Movimientos!G:G, "G1000")-SUMIFS(Movimientos!E:E, Movimientos!D:D, A86, Movimientos!C:C, "Traslado", Movimientos!F:F, "G1000")-SUMIFS(Movimientos!E:E, Movimientos!D:D, A86, Movimientos!C:C, "Egreso", Movimientos!F:F, "G1000")+SUMIFS(Movimientos!E:E, Movimientos!D:D, A86, Movimientos!C:C, "Ajuste", Movimientos!F:F, "G1000")),"")</f>
        <v/>
      </c>
      <c r="G86" s="6" t="str">
        <f aca="false">IFERROR(IF(A86="","",SUMIFS(Movimientos!E:E, Movimientos!D:D, A86, Movimientos!C:C, "Ingreso", Movimientos!G:G, "G710")+SUMIFS(Movimientos!E:E, Movimientos!D:D, A86, Movimientos!C:C, "Traslado", Movimientos!G:G, "G710")-SUMIFS(Movimientos!E:E, Movimientos!D:D, A86, Movimientos!C:C, "Traslado", Movimientos!F:F, "G710")-SUMIFS(Movimientos!E:E, Movimientos!D:D, A86, Movimientos!C:C, "Egreso", Movimientos!F:F, "G710")+SUMIFS(Movimientos!E:E, Movimientos!D:D, A86, Movimientos!C:C, "Ajuste", Movimientos!F:F, "G710")),"")</f>
        <v/>
      </c>
      <c r="H86" s="6" t="str">
        <f aca="false">IFERROR(IF(A86="","",SUMIFS(Movimientos!E:E, Movimientos!D:D, A86, Movimientos!C:C, "Ingreso", Movimientos!G:G, "G5000")+SUMIFS(Movimientos!E:E, Movimientos!D:D, A86, Movimientos!C:C, "Traslado", Movimientos!G:G, "G5000")-SUMIFS(Movimientos!E:E, Movimientos!D:D, A86, Movimientos!C:C, "Traslado", Movimientos!F:F, "G5000")-SUMIFS(Movimientos!E:E, Movimientos!D:D, A86, Movimientos!C:C, "Egreso", Movimientos!F:F, "G5000")+SUMIFS(Movimientos!E:E, Movimientos!D:D, A86, Movimientos!C:C, "Ajuste", Movimientos!F:F, "G5000")),"")</f>
        <v/>
      </c>
      <c r="I86" s="6" t="str">
        <f aca="false">IFERROR(IF(A86="","",SUMIFS(Movimientos!E:E, Movimientos!D:D, A86, Movimientos!C:C, "Ingreso", Movimientos!G:G, "G3")+SUMIFS(Movimientos!E:E, Movimientos!D:D, A86, Movimientos!C:C, "Traslado", Movimientos!G:G, "G3")-SUMIFS(Movimientos!E:E, Movimientos!D:D, A86, Movimientos!C:C, "Traslado", Movimientos!F:F, "G3")-SUMIFS(Movimientos!E:E, Movimientos!D:D, A86, Movimientos!C:C, "Egreso", Movimientos!F:F, "G3")+SUMIFS(Movimientos!E:E, Movimientos!D:D, A86, Movimientos!C:C, "Ajuste", Movimientos!F:F, "G3")),"")</f>
        <v/>
      </c>
      <c r="J86" s="6" t="str">
        <f aca="false">IFERROR(IF(A86="","",SUM(E86:I86)),"")</f>
        <v/>
      </c>
      <c r="K86" s="6" t="str">
        <f aca="false">IFERROR(IF(A86="","",SUMIFS(Movimientos!E:E, Movimientos!D:D, A86, Movimientos!C:C, "Reserva")-SUMIFS(Movimientos!E:E, Movimientos!D:D, A86, Movimientos!C:C, "Libera_Reserva")),"")</f>
        <v/>
      </c>
      <c r="L86" s="6" t="str">
        <f aca="false">IFERROR(IF(A86="","",J86-K86),"")</f>
        <v/>
      </c>
      <c r="M86" s="6" t="str">
        <f aca="false">IFERROR(IF(Productos!A86="","",Productos!G86),"")</f>
        <v/>
      </c>
      <c r="N86" s="6" t="str">
        <f aca="false">IFERROR(IF(A86="","",IF(L86&lt;M86,"BAJO STOCK","OK")),"")</f>
        <v/>
      </c>
    </row>
    <row r="87" customFormat="false" ht="15" hidden="false" customHeight="false" outlineLevel="0" collapsed="false">
      <c r="A87" s="0" t="str">
        <f aca="false">IFERROR(IF(Productos!A87="","",Productos!A87),"")</f>
        <v/>
      </c>
      <c r="B87" s="0" t="str">
        <f aca="false">IFERROR(IF(Productos!A87="","",Productos!B87),"")</f>
        <v/>
      </c>
      <c r="C87" s="0" t="str">
        <f aca="false">IFERROR(IF(Productos!A87="","",Productos!C87),"")</f>
        <v/>
      </c>
      <c r="D87" s="0" t="str">
        <f aca="false">IFERROR(IF(Productos!A87="","",Productos!E87),"")</f>
        <v/>
      </c>
      <c r="E87" s="6" t="str">
        <f aca="false">IFERROR(IF(A87="","",SUMIFS(Movimientos!E:E, Movimientos!D:D, A87, Movimientos!C:C, "Ingreso", Movimientos!G:G, "TIN")+SUMIFS(Movimientos!E:E, Movimientos!D:D, A87, Movimientos!C:C, "Traslado", Movimientos!G:G, "TIN")-SUMIFS(Movimientos!E:E, Movimientos!D:D, A87, Movimientos!C:C, "Traslado", Movimientos!F:F, "TIN")-SUMIFS(Movimientos!E:E, Movimientos!D:D, A87, Movimientos!C:C, "Egreso", Movimientos!F:F, "TIN")+SUMIFS(Movimientos!E:E, Movimientos!D:D, A87, Movimientos!C:C, "Ajuste", Movimientos!F:F, "TIN")),"")</f>
        <v/>
      </c>
      <c r="F87" s="6" t="str">
        <f aca="false">IFERROR(IF(A87="","",SUMIFS(Movimientos!E:E, Movimientos!D:D, A87, Movimientos!C:C, "Ingreso", Movimientos!G:G, "G1000")+SUMIFS(Movimientos!E:E, Movimientos!D:D, A87, Movimientos!C:C, "Traslado", Movimientos!G:G, "G1000")-SUMIFS(Movimientos!E:E, Movimientos!D:D, A87, Movimientos!C:C, "Traslado", Movimientos!F:F, "G1000")-SUMIFS(Movimientos!E:E, Movimientos!D:D, A87, Movimientos!C:C, "Egreso", Movimientos!F:F, "G1000")+SUMIFS(Movimientos!E:E, Movimientos!D:D, A87, Movimientos!C:C, "Ajuste", Movimientos!F:F, "G1000")),"")</f>
        <v/>
      </c>
      <c r="G87" s="6" t="str">
        <f aca="false">IFERROR(IF(A87="","",SUMIFS(Movimientos!E:E, Movimientos!D:D, A87, Movimientos!C:C, "Ingreso", Movimientos!G:G, "G710")+SUMIFS(Movimientos!E:E, Movimientos!D:D, A87, Movimientos!C:C, "Traslado", Movimientos!G:G, "G710")-SUMIFS(Movimientos!E:E, Movimientos!D:D, A87, Movimientos!C:C, "Traslado", Movimientos!F:F, "G710")-SUMIFS(Movimientos!E:E, Movimientos!D:D, A87, Movimientos!C:C, "Egreso", Movimientos!F:F, "G710")+SUMIFS(Movimientos!E:E, Movimientos!D:D, A87, Movimientos!C:C, "Ajuste", Movimientos!F:F, "G710")),"")</f>
        <v/>
      </c>
      <c r="H87" s="6" t="str">
        <f aca="false">IFERROR(IF(A87="","",SUMIFS(Movimientos!E:E, Movimientos!D:D, A87, Movimientos!C:C, "Ingreso", Movimientos!G:G, "G5000")+SUMIFS(Movimientos!E:E, Movimientos!D:D, A87, Movimientos!C:C, "Traslado", Movimientos!G:G, "G5000")-SUMIFS(Movimientos!E:E, Movimientos!D:D, A87, Movimientos!C:C, "Traslado", Movimientos!F:F, "G5000")-SUMIFS(Movimientos!E:E, Movimientos!D:D, A87, Movimientos!C:C, "Egreso", Movimientos!F:F, "G5000")+SUMIFS(Movimientos!E:E, Movimientos!D:D, A87, Movimientos!C:C, "Ajuste", Movimientos!F:F, "G5000")),"")</f>
        <v/>
      </c>
      <c r="I87" s="6" t="str">
        <f aca="false">IFERROR(IF(A87="","",SUMIFS(Movimientos!E:E, Movimientos!D:D, A87, Movimientos!C:C, "Ingreso", Movimientos!G:G, "G3")+SUMIFS(Movimientos!E:E, Movimientos!D:D, A87, Movimientos!C:C, "Traslado", Movimientos!G:G, "G3")-SUMIFS(Movimientos!E:E, Movimientos!D:D, A87, Movimientos!C:C, "Traslado", Movimientos!F:F, "G3")-SUMIFS(Movimientos!E:E, Movimientos!D:D, A87, Movimientos!C:C, "Egreso", Movimientos!F:F, "G3")+SUMIFS(Movimientos!E:E, Movimientos!D:D, A87, Movimientos!C:C, "Ajuste", Movimientos!F:F, "G3")),"")</f>
        <v/>
      </c>
      <c r="J87" s="6" t="str">
        <f aca="false">IFERROR(IF(A87="","",SUM(E87:I87)),"")</f>
        <v/>
      </c>
      <c r="K87" s="6" t="str">
        <f aca="false">IFERROR(IF(A87="","",SUMIFS(Movimientos!E:E, Movimientos!D:D, A87, Movimientos!C:C, "Reserva")-SUMIFS(Movimientos!E:E, Movimientos!D:D, A87, Movimientos!C:C, "Libera_Reserva")),"")</f>
        <v/>
      </c>
      <c r="L87" s="6" t="str">
        <f aca="false">IFERROR(IF(A87="","",J87-K87),"")</f>
        <v/>
      </c>
      <c r="M87" s="6" t="str">
        <f aca="false">IFERROR(IF(Productos!A87="","",Productos!G87),"")</f>
        <v/>
      </c>
      <c r="N87" s="6" t="str">
        <f aca="false">IFERROR(IF(A87="","",IF(L87&lt;M87,"BAJO STOCK","OK")),"")</f>
        <v/>
      </c>
    </row>
    <row r="88" customFormat="false" ht="15" hidden="false" customHeight="false" outlineLevel="0" collapsed="false">
      <c r="A88" s="0" t="str">
        <f aca="false">IFERROR(IF(Productos!A88="","",Productos!A88),"")</f>
        <v/>
      </c>
      <c r="B88" s="0" t="str">
        <f aca="false">IFERROR(IF(Productos!A88="","",Productos!B88),"")</f>
        <v/>
      </c>
      <c r="C88" s="0" t="str">
        <f aca="false">IFERROR(IF(Productos!A88="","",Productos!C88),"")</f>
        <v/>
      </c>
      <c r="D88" s="0" t="str">
        <f aca="false">IFERROR(IF(Productos!A88="","",Productos!E88),"")</f>
        <v/>
      </c>
      <c r="E88" s="6" t="str">
        <f aca="false">IFERROR(IF(A88="","",SUMIFS(Movimientos!E:E, Movimientos!D:D, A88, Movimientos!C:C, "Ingreso", Movimientos!G:G, "TIN")+SUMIFS(Movimientos!E:E, Movimientos!D:D, A88, Movimientos!C:C, "Traslado", Movimientos!G:G, "TIN")-SUMIFS(Movimientos!E:E, Movimientos!D:D, A88, Movimientos!C:C, "Traslado", Movimientos!F:F, "TIN")-SUMIFS(Movimientos!E:E, Movimientos!D:D, A88, Movimientos!C:C, "Egreso", Movimientos!F:F, "TIN")+SUMIFS(Movimientos!E:E, Movimientos!D:D, A88, Movimientos!C:C, "Ajuste", Movimientos!F:F, "TIN")),"")</f>
        <v/>
      </c>
      <c r="F88" s="6" t="str">
        <f aca="false">IFERROR(IF(A88="","",SUMIFS(Movimientos!E:E, Movimientos!D:D, A88, Movimientos!C:C, "Ingreso", Movimientos!G:G, "G1000")+SUMIFS(Movimientos!E:E, Movimientos!D:D, A88, Movimientos!C:C, "Traslado", Movimientos!G:G, "G1000")-SUMIFS(Movimientos!E:E, Movimientos!D:D, A88, Movimientos!C:C, "Traslado", Movimientos!F:F, "G1000")-SUMIFS(Movimientos!E:E, Movimientos!D:D, A88, Movimientos!C:C, "Egreso", Movimientos!F:F, "G1000")+SUMIFS(Movimientos!E:E, Movimientos!D:D, A88, Movimientos!C:C, "Ajuste", Movimientos!F:F, "G1000")),"")</f>
        <v/>
      </c>
      <c r="G88" s="6" t="str">
        <f aca="false">IFERROR(IF(A88="","",SUMIFS(Movimientos!E:E, Movimientos!D:D, A88, Movimientos!C:C, "Ingreso", Movimientos!G:G, "G710")+SUMIFS(Movimientos!E:E, Movimientos!D:D, A88, Movimientos!C:C, "Traslado", Movimientos!G:G, "G710")-SUMIFS(Movimientos!E:E, Movimientos!D:D, A88, Movimientos!C:C, "Traslado", Movimientos!F:F, "G710")-SUMIFS(Movimientos!E:E, Movimientos!D:D, A88, Movimientos!C:C, "Egreso", Movimientos!F:F, "G710")+SUMIFS(Movimientos!E:E, Movimientos!D:D, A88, Movimientos!C:C, "Ajuste", Movimientos!F:F, "G710")),"")</f>
        <v/>
      </c>
      <c r="H88" s="6" t="str">
        <f aca="false">IFERROR(IF(A88="","",SUMIFS(Movimientos!E:E, Movimientos!D:D, A88, Movimientos!C:C, "Ingreso", Movimientos!G:G, "G5000")+SUMIFS(Movimientos!E:E, Movimientos!D:D, A88, Movimientos!C:C, "Traslado", Movimientos!G:G, "G5000")-SUMIFS(Movimientos!E:E, Movimientos!D:D, A88, Movimientos!C:C, "Traslado", Movimientos!F:F, "G5000")-SUMIFS(Movimientos!E:E, Movimientos!D:D, A88, Movimientos!C:C, "Egreso", Movimientos!F:F, "G5000")+SUMIFS(Movimientos!E:E, Movimientos!D:D, A88, Movimientos!C:C, "Ajuste", Movimientos!F:F, "G5000")),"")</f>
        <v/>
      </c>
      <c r="I88" s="6" t="str">
        <f aca="false">IFERROR(IF(A88="","",SUMIFS(Movimientos!E:E, Movimientos!D:D, A88, Movimientos!C:C, "Ingreso", Movimientos!G:G, "G3")+SUMIFS(Movimientos!E:E, Movimientos!D:D, A88, Movimientos!C:C, "Traslado", Movimientos!G:G, "G3")-SUMIFS(Movimientos!E:E, Movimientos!D:D, A88, Movimientos!C:C, "Traslado", Movimientos!F:F, "G3")-SUMIFS(Movimientos!E:E, Movimientos!D:D, A88, Movimientos!C:C, "Egreso", Movimientos!F:F, "G3")+SUMIFS(Movimientos!E:E, Movimientos!D:D, A88, Movimientos!C:C, "Ajuste", Movimientos!F:F, "G3")),"")</f>
        <v/>
      </c>
      <c r="J88" s="6" t="str">
        <f aca="false">IFERROR(IF(A88="","",SUM(E88:I88)),"")</f>
        <v/>
      </c>
      <c r="K88" s="6" t="str">
        <f aca="false">IFERROR(IF(A88="","",SUMIFS(Movimientos!E:E, Movimientos!D:D, A88, Movimientos!C:C, "Reserva")-SUMIFS(Movimientos!E:E, Movimientos!D:D, A88, Movimientos!C:C, "Libera_Reserva")),"")</f>
        <v/>
      </c>
      <c r="L88" s="6" t="str">
        <f aca="false">IFERROR(IF(A88="","",J88-K88),"")</f>
        <v/>
      </c>
      <c r="M88" s="6" t="str">
        <f aca="false">IFERROR(IF(Productos!A88="","",Productos!G88),"")</f>
        <v/>
      </c>
      <c r="N88" s="6" t="str">
        <f aca="false">IFERROR(IF(A88="","",IF(L88&lt;M88,"BAJO STOCK","OK")),"")</f>
        <v/>
      </c>
    </row>
    <row r="89" customFormat="false" ht="15" hidden="false" customHeight="false" outlineLevel="0" collapsed="false">
      <c r="A89" s="0" t="str">
        <f aca="false">IFERROR(IF(Productos!A89="","",Productos!A89),"")</f>
        <v/>
      </c>
      <c r="B89" s="0" t="str">
        <f aca="false">IFERROR(IF(Productos!A89="","",Productos!B89),"")</f>
        <v/>
      </c>
      <c r="C89" s="0" t="str">
        <f aca="false">IFERROR(IF(Productos!A89="","",Productos!C89),"")</f>
        <v/>
      </c>
      <c r="D89" s="0" t="str">
        <f aca="false">IFERROR(IF(Productos!A89="","",Productos!E89),"")</f>
        <v/>
      </c>
      <c r="E89" s="6" t="str">
        <f aca="false">IFERROR(IF(A89="","",SUMIFS(Movimientos!E:E, Movimientos!D:D, A89, Movimientos!C:C, "Ingreso", Movimientos!G:G, "TIN")+SUMIFS(Movimientos!E:E, Movimientos!D:D, A89, Movimientos!C:C, "Traslado", Movimientos!G:G, "TIN")-SUMIFS(Movimientos!E:E, Movimientos!D:D, A89, Movimientos!C:C, "Traslado", Movimientos!F:F, "TIN")-SUMIFS(Movimientos!E:E, Movimientos!D:D, A89, Movimientos!C:C, "Egreso", Movimientos!F:F, "TIN")+SUMIFS(Movimientos!E:E, Movimientos!D:D, A89, Movimientos!C:C, "Ajuste", Movimientos!F:F, "TIN")),"")</f>
        <v/>
      </c>
      <c r="F89" s="6" t="str">
        <f aca="false">IFERROR(IF(A89="","",SUMIFS(Movimientos!E:E, Movimientos!D:D, A89, Movimientos!C:C, "Ingreso", Movimientos!G:G, "G1000")+SUMIFS(Movimientos!E:E, Movimientos!D:D, A89, Movimientos!C:C, "Traslado", Movimientos!G:G, "G1000")-SUMIFS(Movimientos!E:E, Movimientos!D:D, A89, Movimientos!C:C, "Traslado", Movimientos!F:F, "G1000")-SUMIFS(Movimientos!E:E, Movimientos!D:D, A89, Movimientos!C:C, "Egreso", Movimientos!F:F, "G1000")+SUMIFS(Movimientos!E:E, Movimientos!D:D, A89, Movimientos!C:C, "Ajuste", Movimientos!F:F, "G1000")),"")</f>
        <v/>
      </c>
      <c r="G89" s="6" t="str">
        <f aca="false">IFERROR(IF(A89="","",SUMIFS(Movimientos!E:E, Movimientos!D:D, A89, Movimientos!C:C, "Ingreso", Movimientos!G:G, "G710")+SUMIFS(Movimientos!E:E, Movimientos!D:D, A89, Movimientos!C:C, "Traslado", Movimientos!G:G, "G710")-SUMIFS(Movimientos!E:E, Movimientos!D:D, A89, Movimientos!C:C, "Traslado", Movimientos!F:F, "G710")-SUMIFS(Movimientos!E:E, Movimientos!D:D, A89, Movimientos!C:C, "Egreso", Movimientos!F:F, "G710")+SUMIFS(Movimientos!E:E, Movimientos!D:D, A89, Movimientos!C:C, "Ajuste", Movimientos!F:F, "G710")),"")</f>
        <v/>
      </c>
      <c r="H89" s="6" t="str">
        <f aca="false">IFERROR(IF(A89="","",SUMIFS(Movimientos!E:E, Movimientos!D:D, A89, Movimientos!C:C, "Ingreso", Movimientos!G:G, "G5000")+SUMIFS(Movimientos!E:E, Movimientos!D:D, A89, Movimientos!C:C, "Traslado", Movimientos!G:G, "G5000")-SUMIFS(Movimientos!E:E, Movimientos!D:D, A89, Movimientos!C:C, "Traslado", Movimientos!F:F, "G5000")-SUMIFS(Movimientos!E:E, Movimientos!D:D, A89, Movimientos!C:C, "Egreso", Movimientos!F:F, "G5000")+SUMIFS(Movimientos!E:E, Movimientos!D:D, A89, Movimientos!C:C, "Ajuste", Movimientos!F:F, "G5000")),"")</f>
        <v/>
      </c>
      <c r="I89" s="6" t="str">
        <f aca="false">IFERROR(IF(A89="","",SUMIFS(Movimientos!E:E, Movimientos!D:D, A89, Movimientos!C:C, "Ingreso", Movimientos!G:G, "G3")+SUMIFS(Movimientos!E:E, Movimientos!D:D, A89, Movimientos!C:C, "Traslado", Movimientos!G:G, "G3")-SUMIFS(Movimientos!E:E, Movimientos!D:D, A89, Movimientos!C:C, "Traslado", Movimientos!F:F, "G3")-SUMIFS(Movimientos!E:E, Movimientos!D:D, A89, Movimientos!C:C, "Egreso", Movimientos!F:F, "G3")+SUMIFS(Movimientos!E:E, Movimientos!D:D, A89, Movimientos!C:C, "Ajuste", Movimientos!F:F, "G3")),"")</f>
        <v/>
      </c>
      <c r="J89" s="6" t="str">
        <f aca="false">IFERROR(IF(A89="","",SUM(E89:I89)),"")</f>
        <v/>
      </c>
      <c r="K89" s="6" t="str">
        <f aca="false">IFERROR(IF(A89="","",SUMIFS(Movimientos!E:E, Movimientos!D:D, A89, Movimientos!C:C, "Reserva")-SUMIFS(Movimientos!E:E, Movimientos!D:D, A89, Movimientos!C:C, "Libera_Reserva")),"")</f>
        <v/>
      </c>
      <c r="L89" s="6" t="str">
        <f aca="false">IFERROR(IF(A89="","",J89-K89),"")</f>
        <v/>
      </c>
      <c r="M89" s="6" t="str">
        <f aca="false">IFERROR(IF(Productos!A89="","",Productos!G89),"")</f>
        <v/>
      </c>
      <c r="N89" s="6" t="str">
        <f aca="false">IFERROR(IF(A89="","",IF(L89&lt;M89,"BAJO STOCK","OK")),"")</f>
        <v/>
      </c>
    </row>
    <row r="90" customFormat="false" ht="15" hidden="false" customHeight="false" outlineLevel="0" collapsed="false">
      <c r="A90" s="0" t="str">
        <f aca="false">IFERROR(IF(Productos!A90="","",Productos!A90),"")</f>
        <v/>
      </c>
      <c r="B90" s="0" t="str">
        <f aca="false">IFERROR(IF(Productos!A90="","",Productos!B90),"")</f>
        <v/>
      </c>
      <c r="C90" s="0" t="str">
        <f aca="false">IFERROR(IF(Productos!A90="","",Productos!C90),"")</f>
        <v/>
      </c>
      <c r="D90" s="0" t="str">
        <f aca="false">IFERROR(IF(Productos!A90="","",Productos!E90),"")</f>
        <v/>
      </c>
      <c r="E90" s="6" t="str">
        <f aca="false">IFERROR(IF(A90="","",SUMIFS(Movimientos!E:E, Movimientos!D:D, A90, Movimientos!C:C, "Ingreso", Movimientos!G:G, "TIN")+SUMIFS(Movimientos!E:E, Movimientos!D:D, A90, Movimientos!C:C, "Traslado", Movimientos!G:G, "TIN")-SUMIFS(Movimientos!E:E, Movimientos!D:D, A90, Movimientos!C:C, "Traslado", Movimientos!F:F, "TIN")-SUMIFS(Movimientos!E:E, Movimientos!D:D, A90, Movimientos!C:C, "Egreso", Movimientos!F:F, "TIN")+SUMIFS(Movimientos!E:E, Movimientos!D:D, A90, Movimientos!C:C, "Ajuste", Movimientos!F:F, "TIN")),"")</f>
        <v/>
      </c>
      <c r="F90" s="6" t="str">
        <f aca="false">IFERROR(IF(A90="","",SUMIFS(Movimientos!E:E, Movimientos!D:D, A90, Movimientos!C:C, "Ingreso", Movimientos!G:G, "G1000")+SUMIFS(Movimientos!E:E, Movimientos!D:D, A90, Movimientos!C:C, "Traslado", Movimientos!G:G, "G1000")-SUMIFS(Movimientos!E:E, Movimientos!D:D, A90, Movimientos!C:C, "Traslado", Movimientos!F:F, "G1000")-SUMIFS(Movimientos!E:E, Movimientos!D:D, A90, Movimientos!C:C, "Egreso", Movimientos!F:F, "G1000")+SUMIFS(Movimientos!E:E, Movimientos!D:D, A90, Movimientos!C:C, "Ajuste", Movimientos!F:F, "G1000")),"")</f>
        <v/>
      </c>
      <c r="G90" s="6" t="str">
        <f aca="false">IFERROR(IF(A90="","",SUMIFS(Movimientos!E:E, Movimientos!D:D, A90, Movimientos!C:C, "Ingreso", Movimientos!G:G, "G710")+SUMIFS(Movimientos!E:E, Movimientos!D:D, A90, Movimientos!C:C, "Traslado", Movimientos!G:G, "G710")-SUMIFS(Movimientos!E:E, Movimientos!D:D, A90, Movimientos!C:C, "Traslado", Movimientos!F:F, "G710")-SUMIFS(Movimientos!E:E, Movimientos!D:D, A90, Movimientos!C:C, "Egreso", Movimientos!F:F, "G710")+SUMIFS(Movimientos!E:E, Movimientos!D:D, A90, Movimientos!C:C, "Ajuste", Movimientos!F:F, "G710")),"")</f>
        <v/>
      </c>
      <c r="H90" s="6" t="str">
        <f aca="false">IFERROR(IF(A90="","",SUMIFS(Movimientos!E:E, Movimientos!D:D, A90, Movimientos!C:C, "Ingreso", Movimientos!G:G, "G5000")+SUMIFS(Movimientos!E:E, Movimientos!D:D, A90, Movimientos!C:C, "Traslado", Movimientos!G:G, "G5000")-SUMIFS(Movimientos!E:E, Movimientos!D:D, A90, Movimientos!C:C, "Traslado", Movimientos!F:F, "G5000")-SUMIFS(Movimientos!E:E, Movimientos!D:D, A90, Movimientos!C:C, "Egreso", Movimientos!F:F, "G5000")+SUMIFS(Movimientos!E:E, Movimientos!D:D, A90, Movimientos!C:C, "Ajuste", Movimientos!F:F, "G5000")),"")</f>
        <v/>
      </c>
      <c r="I90" s="6" t="str">
        <f aca="false">IFERROR(IF(A90="","",SUMIFS(Movimientos!E:E, Movimientos!D:D, A90, Movimientos!C:C, "Ingreso", Movimientos!G:G, "G3")+SUMIFS(Movimientos!E:E, Movimientos!D:D, A90, Movimientos!C:C, "Traslado", Movimientos!G:G, "G3")-SUMIFS(Movimientos!E:E, Movimientos!D:D, A90, Movimientos!C:C, "Traslado", Movimientos!F:F, "G3")-SUMIFS(Movimientos!E:E, Movimientos!D:D, A90, Movimientos!C:C, "Egreso", Movimientos!F:F, "G3")+SUMIFS(Movimientos!E:E, Movimientos!D:D, A90, Movimientos!C:C, "Ajuste", Movimientos!F:F, "G3")),"")</f>
        <v/>
      </c>
      <c r="J90" s="6" t="str">
        <f aca="false">IFERROR(IF(A90="","",SUM(E90:I90)),"")</f>
        <v/>
      </c>
      <c r="K90" s="6" t="str">
        <f aca="false">IFERROR(IF(A90="","",SUMIFS(Movimientos!E:E, Movimientos!D:D, A90, Movimientos!C:C, "Reserva")-SUMIFS(Movimientos!E:E, Movimientos!D:D, A90, Movimientos!C:C, "Libera_Reserva")),"")</f>
        <v/>
      </c>
      <c r="L90" s="6" t="str">
        <f aca="false">IFERROR(IF(A90="","",J90-K90),"")</f>
        <v/>
      </c>
      <c r="M90" s="6" t="str">
        <f aca="false">IFERROR(IF(Productos!A90="","",Productos!G90),"")</f>
        <v/>
      </c>
      <c r="N90" s="6" t="str">
        <f aca="false">IFERROR(IF(A90="","",IF(L90&lt;M90,"BAJO STOCK","OK")),"")</f>
        <v/>
      </c>
    </row>
    <row r="91" customFormat="false" ht="15" hidden="false" customHeight="false" outlineLevel="0" collapsed="false">
      <c r="A91" s="0" t="str">
        <f aca="false">IFERROR(IF(Productos!A91="","",Productos!A91),"")</f>
        <v/>
      </c>
      <c r="B91" s="0" t="str">
        <f aca="false">IFERROR(IF(Productos!A91="","",Productos!B91),"")</f>
        <v/>
      </c>
      <c r="C91" s="0" t="str">
        <f aca="false">IFERROR(IF(Productos!A91="","",Productos!C91),"")</f>
        <v/>
      </c>
      <c r="D91" s="0" t="str">
        <f aca="false">IFERROR(IF(Productos!A91="","",Productos!E91),"")</f>
        <v/>
      </c>
      <c r="E91" s="6" t="str">
        <f aca="false">IFERROR(IF(A91="","",SUMIFS(Movimientos!E:E, Movimientos!D:D, A91, Movimientos!C:C, "Ingreso", Movimientos!G:G, "TIN")+SUMIFS(Movimientos!E:E, Movimientos!D:D, A91, Movimientos!C:C, "Traslado", Movimientos!G:G, "TIN")-SUMIFS(Movimientos!E:E, Movimientos!D:D, A91, Movimientos!C:C, "Traslado", Movimientos!F:F, "TIN")-SUMIFS(Movimientos!E:E, Movimientos!D:D, A91, Movimientos!C:C, "Egreso", Movimientos!F:F, "TIN")+SUMIFS(Movimientos!E:E, Movimientos!D:D, A91, Movimientos!C:C, "Ajuste", Movimientos!F:F, "TIN")),"")</f>
        <v/>
      </c>
      <c r="F91" s="6" t="str">
        <f aca="false">IFERROR(IF(A91="","",SUMIFS(Movimientos!E:E, Movimientos!D:D, A91, Movimientos!C:C, "Ingreso", Movimientos!G:G, "G1000")+SUMIFS(Movimientos!E:E, Movimientos!D:D, A91, Movimientos!C:C, "Traslado", Movimientos!G:G, "G1000")-SUMIFS(Movimientos!E:E, Movimientos!D:D, A91, Movimientos!C:C, "Traslado", Movimientos!F:F, "G1000")-SUMIFS(Movimientos!E:E, Movimientos!D:D, A91, Movimientos!C:C, "Egreso", Movimientos!F:F, "G1000")+SUMIFS(Movimientos!E:E, Movimientos!D:D, A91, Movimientos!C:C, "Ajuste", Movimientos!F:F, "G1000")),"")</f>
        <v/>
      </c>
      <c r="G91" s="6" t="str">
        <f aca="false">IFERROR(IF(A91="","",SUMIFS(Movimientos!E:E, Movimientos!D:D, A91, Movimientos!C:C, "Ingreso", Movimientos!G:G, "G710")+SUMIFS(Movimientos!E:E, Movimientos!D:D, A91, Movimientos!C:C, "Traslado", Movimientos!G:G, "G710")-SUMIFS(Movimientos!E:E, Movimientos!D:D, A91, Movimientos!C:C, "Traslado", Movimientos!F:F, "G710")-SUMIFS(Movimientos!E:E, Movimientos!D:D, A91, Movimientos!C:C, "Egreso", Movimientos!F:F, "G710")+SUMIFS(Movimientos!E:E, Movimientos!D:D, A91, Movimientos!C:C, "Ajuste", Movimientos!F:F, "G710")),"")</f>
        <v/>
      </c>
      <c r="H91" s="6" t="str">
        <f aca="false">IFERROR(IF(A91="","",SUMIFS(Movimientos!E:E, Movimientos!D:D, A91, Movimientos!C:C, "Ingreso", Movimientos!G:G, "G5000")+SUMIFS(Movimientos!E:E, Movimientos!D:D, A91, Movimientos!C:C, "Traslado", Movimientos!G:G, "G5000")-SUMIFS(Movimientos!E:E, Movimientos!D:D, A91, Movimientos!C:C, "Traslado", Movimientos!F:F, "G5000")-SUMIFS(Movimientos!E:E, Movimientos!D:D, A91, Movimientos!C:C, "Egreso", Movimientos!F:F, "G5000")+SUMIFS(Movimientos!E:E, Movimientos!D:D, A91, Movimientos!C:C, "Ajuste", Movimientos!F:F, "G5000")),"")</f>
        <v/>
      </c>
      <c r="I91" s="6" t="str">
        <f aca="false">IFERROR(IF(A91="","",SUMIFS(Movimientos!E:E, Movimientos!D:D, A91, Movimientos!C:C, "Ingreso", Movimientos!G:G, "G3")+SUMIFS(Movimientos!E:E, Movimientos!D:D, A91, Movimientos!C:C, "Traslado", Movimientos!G:G, "G3")-SUMIFS(Movimientos!E:E, Movimientos!D:D, A91, Movimientos!C:C, "Traslado", Movimientos!F:F, "G3")-SUMIFS(Movimientos!E:E, Movimientos!D:D, A91, Movimientos!C:C, "Egreso", Movimientos!F:F, "G3")+SUMIFS(Movimientos!E:E, Movimientos!D:D, A91, Movimientos!C:C, "Ajuste", Movimientos!F:F, "G3")),"")</f>
        <v/>
      </c>
      <c r="J91" s="6" t="str">
        <f aca="false">IFERROR(IF(A91="","",SUM(E91:I91)),"")</f>
        <v/>
      </c>
      <c r="K91" s="6" t="str">
        <f aca="false">IFERROR(IF(A91="","",SUMIFS(Movimientos!E:E, Movimientos!D:D, A91, Movimientos!C:C, "Reserva")-SUMIFS(Movimientos!E:E, Movimientos!D:D, A91, Movimientos!C:C, "Libera_Reserva")),"")</f>
        <v/>
      </c>
      <c r="L91" s="6" t="str">
        <f aca="false">IFERROR(IF(A91="","",J91-K91),"")</f>
        <v/>
      </c>
      <c r="M91" s="6" t="str">
        <f aca="false">IFERROR(IF(Productos!A91="","",Productos!G91),"")</f>
        <v/>
      </c>
      <c r="N91" s="6" t="str">
        <f aca="false">IFERROR(IF(A91="","",IF(L91&lt;M91,"BAJO STOCK","OK")),"")</f>
        <v/>
      </c>
    </row>
    <row r="92" customFormat="false" ht="15" hidden="false" customHeight="false" outlineLevel="0" collapsed="false">
      <c r="A92" s="0" t="str">
        <f aca="false">IFERROR(IF(Productos!A92="","",Productos!A92),"")</f>
        <v/>
      </c>
      <c r="B92" s="0" t="str">
        <f aca="false">IFERROR(IF(Productos!A92="","",Productos!B92),"")</f>
        <v/>
      </c>
      <c r="C92" s="0" t="str">
        <f aca="false">IFERROR(IF(Productos!A92="","",Productos!C92),"")</f>
        <v/>
      </c>
      <c r="D92" s="0" t="str">
        <f aca="false">IFERROR(IF(Productos!A92="","",Productos!E92),"")</f>
        <v/>
      </c>
      <c r="E92" s="6" t="str">
        <f aca="false">IFERROR(IF(A92="","",SUMIFS(Movimientos!E:E, Movimientos!D:D, A92, Movimientos!C:C, "Ingreso", Movimientos!G:G, "TIN")+SUMIFS(Movimientos!E:E, Movimientos!D:D, A92, Movimientos!C:C, "Traslado", Movimientos!G:G, "TIN")-SUMIFS(Movimientos!E:E, Movimientos!D:D, A92, Movimientos!C:C, "Traslado", Movimientos!F:F, "TIN")-SUMIFS(Movimientos!E:E, Movimientos!D:D, A92, Movimientos!C:C, "Egreso", Movimientos!F:F, "TIN")+SUMIFS(Movimientos!E:E, Movimientos!D:D, A92, Movimientos!C:C, "Ajuste", Movimientos!F:F, "TIN")),"")</f>
        <v/>
      </c>
      <c r="F92" s="6" t="str">
        <f aca="false">IFERROR(IF(A92="","",SUMIFS(Movimientos!E:E, Movimientos!D:D, A92, Movimientos!C:C, "Ingreso", Movimientos!G:G, "G1000")+SUMIFS(Movimientos!E:E, Movimientos!D:D, A92, Movimientos!C:C, "Traslado", Movimientos!G:G, "G1000")-SUMIFS(Movimientos!E:E, Movimientos!D:D, A92, Movimientos!C:C, "Traslado", Movimientos!F:F, "G1000")-SUMIFS(Movimientos!E:E, Movimientos!D:D, A92, Movimientos!C:C, "Egreso", Movimientos!F:F, "G1000")+SUMIFS(Movimientos!E:E, Movimientos!D:D, A92, Movimientos!C:C, "Ajuste", Movimientos!F:F, "G1000")),"")</f>
        <v/>
      </c>
      <c r="G92" s="6" t="str">
        <f aca="false">IFERROR(IF(A92="","",SUMIFS(Movimientos!E:E, Movimientos!D:D, A92, Movimientos!C:C, "Ingreso", Movimientos!G:G, "G710")+SUMIFS(Movimientos!E:E, Movimientos!D:D, A92, Movimientos!C:C, "Traslado", Movimientos!G:G, "G710")-SUMIFS(Movimientos!E:E, Movimientos!D:D, A92, Movimientos!C:C, "Traslado", Movimientos!F:F, "G710")-SUMIFS(Movimientos!E:E, Movimientos!D:D, A92, Movimientos!C:C, "Egreso", Movimientos!F:F, "G710")+SUMIFS(Movimientos!E:E, Movimientos!D:D, A92, Movimientos!C:C, "Ajuste", Movimientos!F:F, "G710")),"")</f>
        <v/>
      </c>
      <c r="H92" s="6" t="str">
        <f aca="false">IFERROR(IF(A92="","",SUMIFS(Movimientos!E:E, Movimientos!D:D, A92, Movimientos!C:C, "Ingreso", Movimientos!G:G, "G5000")+SUMIFS(Movimientos!E:E, Movimientos!D:D, A92, Movimientos!C:C, "Traslado", Movimientos!G:G, "G5000")-SUMIFS(Movimientos!E:E, Movimientos!D:D, A92, Movimientos!C:C, "Traslado", Movimientos!F:F, "G5000")-SUMIFS(Movimientos!E:E, Movimientos!D:D, A92, Movimientos!C:C, "Egreso", Movimientos!F:F, "G5000")+SUMIFS(Movimientos!E:E, Movimientos!D:D, A92, Movimientos!C:C, "Ajuste", Movimientos!F:F, "G5000")),"")</f>
        <v/>
      </c>
      <c r="I92" s="6" t="str">
        <f aca="false">IFERROR(IF(A92="","",SUMIFS(Movimientos!E:E, Movimientos!D:D, A92, Movimientos!C:C, "Ingreso", Movimientos!G:G, "G3")+SUMIFS(Movimientos!E:E, Movimientos!D:D, A92, Movimientos!C:C, "Traslado", Movimientos!G:G, "G3")-SUMIFS(Movimientos!E:E, Movimientos!D:D, A92, Movimientos!C:C, "Traslado", Movimientos!F:F, "G3")-SUMIFS(Movimientos!E:E, Movimientos!D:D, A92, Movimientos!C:C, "Egreso", Movimientos!F:F, "G3")+SUMIFS(Movimientos!E:E, Movimientos!D:D, A92, Movimientos!C:C, "Ajuste", Movimientos!F:F, "G3")),"")</f>
        <v/>
      </c>
      <c r="J92" s="6" t="str">
        <f aca="false">IFERROR(IF(A92="","",SUM(E92:I92)),"")</f>
        <v/>
      </c>
      <c r="K92" s="6" t="str">
        <f aca="false">IFERROR(IF(A92="","",SUMIFS(Movimientos!E:E, Movimientos!D:D, A92, Movimientos!C:C, "Reserva")-SUMIFS(Movimientos!E:E, Movimientos!D:D, A92, Movimientos!C:C, "Libera_Reserva")),"")</f>
        <v/>
      </c>
      <c r="L92" s="6" t="str">
        <f aca="false">IFERROR(IF(A92="","",J92-K92),"")</f>
        <v/>
      </c>
      <c r="M92" s="6" t="str">
        <f aca="false">IFERROR(IF(Productos!A92="","",Productos!G92),"")</f>
        <v/>
      </c>
      <c r="N92" s="6" t="str">
        <f aca="false">IFERROR(IF(A92="","",IF(L92&lt;M92,"BAJO STOCK","OK")),"")</f>
        <v/>
      </c>
    </row>
    <row r="93" customFormat="false" ht="15" hidden="false" customHeight="false" outlineLevel="0" collapsed="false">
      <c r="A93" s="0" t="str">
        <f aca="false">IFERROR(IF(Productos!A93="","",Productos!A93),"")</f>
        <v/>
      </c>
      <c r="B93" s="0" t="str">
        <f aca="false">IFERROR(IF(Productos!A93="","",Productos!B93),"")</f>
        <v/>
      </c>
      <c r="C93" s="0" t="str">
        <f aca="false">IFERROR(IF(Productos!A93="","",Productos!C93),"")</f>
        <v/>
      </c>
      <c r="D93" s="0" t="str">
        <f aca="false">IFERROR(IF(Productos!A93="","",Productos!E93),"")</f>
        <v/>
      </c>
      <c r="E93" s="6" t="str">
        <f aca="false">IFERROR(IF(A93="","",SUMIFS(Movimientos!E:E, Movimientos!D:D, A93, Movimientos!C:C, "Ingreso", Movimientos!G:G, "TIN")+SUMIFS(Movimientos!E:E, Movimientos!D:D, A93, Movimientos!C:C, "Traslado", Movimientos!G:G, "TIN")-SUMIFS(Movimientos!E:E, Movimientos!D:D, A93, Movimientos!C:C, "Traslado", Movimientos!F:F, "TIN")-SUMIFS(Movimientos!E:E, Movimientos!D:D, A93, Movimientos!C:C, "Egreso", Movimientos!F:F, "TIN")+SUMIFS(Movimientos!E:E, Movimientos!D:D, A93, Movimientos!C:C, "Ajuste", Movimientos!F:F, "TIN")),"")</f>
        <v/>
      </c>
      <c r="F93" s="6" t="str">
        <f aca="false">IFERROR(IF(A93="","",SUMIFS(Movimientos!E:E, Movimientos!D:D, A93, Movimientos!C:C, "Ingreso", Movimientos!G:G, "G1000")+SUMIFS(Movimientos!E:E, Movimientos!D:D, A93, Movimientos!C:C, "Traslado", Movimientos!G:G, "G1000")-SUMIFS(Movimientos!E:E, Movimientos!D:D, A93, Movimientos!C:C, "Traslado", Movimientos!F:F, "G1000")-SUMIFS(Movimientos!E:E, Movimientos!D:D, A93, Movimientos!C:C, "Egreso", Movimientos!F:F, "G1000")+SUMIFS(Movimientos!E:E, Movimientos!D:D, A93, Movimientos!C:C, "Ajuste", Movimientos!F:F, "G1000")),"")</f>
        <v/>
      </c>
      <c r="G93" s="6" t="str">
        <f aca="false">IFERROR(IF(A93="","",SUMIFS(Movimientos!E:E, Movimientos!D:D, A93, Movimientos!C:C, "Ingreso", Movimientos!G:G, "G710")+SUMIFS(Movimientos!E:E, Movimientos!D:D, A93, Movimientos!C:C, "Traslado", Movimientos!G:G, "G710")-SUMIFS(Movimientos!E:E, Movimientos!D:D, A93, Movimientos!C:C, "Traslado", Movimientos!F:F, "G710")-SUMIFS(Movimientos!E:E, Movimientos!D:D, A93, Movimientos!C:C, "Egreso", Movimientos!F:F, "G710")+SUMIFS(Movimientos!E:E, Movimientos!D:D, A93, Movimientos!C:C, "Ajuste", Movimientos!F:F, "G710")),"")</f>
        <v/>
      </c>
      <c r="H93" s="6" t="str">
        <f aca="false">IFERROR(IF(A93="","",SUMIFS(Movimientos!E:E, Movimientos!D:D, A93, Movimientos!C:C, "Ingreso", Movimientos!G:G, "G5000")+SUMIFS(Movimientos!E:E, Movimientos!D:D, A93, Movimientos!C:C, "Traslado", Movimientos!G:G, "G5000")-SUMIFS(Movimientos!E:E, Movimientos!D:D, A93, Movimientos!C:C, "Traslado", Movimientos!F:F, "G5000")-SUMIFS(Movimientos!E:E, Movimientos!D:D, A93, Movimientos!C:C, "Egreso", Movimientos!F:F, "G5000")+SUMIFS(Movimientos!E:E, Movimientos!D:D, A93, Movimientos!C:C, "Ajuste", Movimientos!F:F, "G5000")),"")</f>
        <v/>
      </c>
      <c r="I93" s="6" t="str">
        <f aca="false">IFERROR(IF(A93="","",SUMIFS(Movimientos!E:E, Movimientos!D:D, A93, Movimientos!C:C, "Ingreso", Movimientos!G:G, "G3")+SUMIFS(Movimientos!E:E, Movimientos!D:D, A93, Movimientos!C:C, "Traslado", Movimientos!G:G, "G3")-SUMIFS(Movimientos!E:E, Movimientos!D:D, A93, Movimientos!C:C, "Traslado", Movimientos!F:F, "G3")-SUMIFS(Movimientos!E:E, Movimientos!D:D, A93, Movimientos!C:C, "Egreso", Movimientos!F:F, "G3")+SUMIFS(Movimientos!E:E, Movimientos!D:D, A93, Movimientos!C:C, "Ajuste", Movimientos!F:F, "G3")),"")</f>
        <v/>
      </c>
      <c r="J93" s="6" t="str">
        <f aca="false">IFERROR(IF(A93="","",SUM(E93:I93)),"")</f>
        <v/>
      </c>
      <c r="K93" s="6" t="str">
        <f aca="false">IFERROR(IF(A93="","",SUMIFS(Movimientos!E:E, Movimientos!D:D, A93, Movimientos!C:C, "Reserva")-SUMIFS(Movimientos!E:E, Movimientos!D:D, A93, Movimientos!C:C, "Libera_Reserva")),"")</f>
        <v/>
      </c>
      <c r="L93" s="6" t="str">
        <f aca="false">IFERROR(IF(A93="","",J93-K93),"")</f>
        <v/>
      </c>
      <c r="M93" s="6" t="str">
        <f aca="false">IFERROR(IF(Productos!A93="","",Productos!G93),"")</f>
        <v/>
      </c>
      <c r="N93" s="6" t="str">
        <f aca="false">IFERROR(IF(A93="","",IF(L93&lt;M93,"BAJO STOCK","OK")),"")</f>
        <v/>
      </c>
    </row>
    <row r="94" customFormat="false" ht="15" hidden="false" customHeight="false" outlineLevel="0" collapsed="false">
      <c r="A94" s="0" t="str">
        <f aca="false">IFERROR(IF(Productos!A94="","",Productos!A94),"")</f>
        <v/>
      </c>
      <c r="B94" s="0" t="str">
        <f aca="false">IFERROR(IF(Productos!A94="","",Productos!B94),"")</f>
        <v/>
      </c>
      <c r="C94" s="0" t="str">
        <f aca="false">IFERROR(IF(Productos!A94="","",Productos!C94),"")</f>
        <v/>
      </c>
      <c r="D94" s="0" t="str">
        <f aca="false">IFERROR(IF(Productos!A94="","",Productos!E94),"")</f>
        <v/>
      </c>
      <c r="E94" s="6" t="str">
        <f aca="false">IFERROR(IF(A94="","",SUMIFS(Movimientos!E:E, Movimientos!D:D, A94, Movimientos!C:C, "Ingreso", Movimientos!G:G, "TIN")+SUMIFS(Movimientos!E:E, Movimientos!D:D, A94, Movimientos!C:C, "Traslado", Movimientos!G:G, "TIN")-SUMIFS(Movimientos!E:E, Movimientos!D:D, A94, Movimientos!C:C, "Traslado", Movimientos!F:F, "TIN")-SUMIFS(Movimientos!E:E, Movimientos!D:D, A94, Movimientos!C:C, "Egreso", Movimientos!F:F, "TIN")+SUMIFS(Movimientos!E:E, Movimientos!D:D, A94, Movimientos!C:C, "Ajuste", Movimientos!F:F, "TIN")),"")</f>
        <v/>
      </c>
      <c r="F94" s="6" t="str">
        <f aca="false">IFERROR(IF(A94="","",SUMIFS(Movimientos!E:E, Movimientos!D:D, A94, Movimientos!C:C, "Ingreso", Movimientos!G:G, "G1000")+SUMIFS(Movimientos!E:E, Movimientos!D:D, A94, Movimientos!C:C, "Traslado", Movimientos!G:G, "G1000")-SUMIFS(Movimientos!E:E, Movimientos!D:D, A94, Movimientos!C:C, "Traslado", Movimientos!F:F, "G1000")-SUMIFS(Movimientos!E:E, Movimientos!D:D, A94, Movimientos!C:C, "Egreso", Movimientos!F:F, "G1000")+SUMIFS(Movimientos!E:E, Movimientos!D:D, A94, Movimientos!C:C, "Ajuste", Movimientos!F:F, "G1000")),"")</f>
        <v/>
      </c>
      <c r="G94" s="6" t="str">
        <f aca="false">IFERROR(IF(A94="","",SUMIFS(Movimientos!E:E, Movimientos!D:D, A94, Movimientos!C:C, "Ingreso", Movimientos!G:G, "G710")+SUMIFS(Movimientos!E:E, Movimientos!D:D, A94, Movimientos!C:C, "Traslado", Movimientos!G:G, "G710")-SUMIFS(Movimientos!E:E, Movimientos!D:D, A94, Movimientos!C:C, "Traslado", Movimientos!F:F, "G710")-SUMIFS(Movimientos!E:E, Movimientos!D:D, A94, Movimientos!C:C, "Egreso", Movimientos!F:F, "G710")+SUMIFS(Movimientos!E:E, Movimientos!D:D, A94, Movimientos!C:C, "Ajuste", Movimientos!F:F, "G710")),"")</f>
        <v/>
      </c>
      <c r="H94" s="6" t="str">
        <f aca="false">IFERROR(IF(A94="","",SUMIFS(Movimientos!E:E, Movimientos!D:D, A94, Movimientos!C:C, "Ingreso", Movimientos!G:G, "G5000")+SUMIFS(Movimientos!E:E, Movimientos!D:D, A94, Movimientos!C:C, "Traslado", Movimientos!G:G, "G5000")-SUMIFS(Movimientos!E:E, Movimientos!D:D, A94, Movimientos!C:C, "Traslado", Movimientos!F:F, "G5000")-SUMIFS(Movimientos!E:E, Movimientos!D:D, A94, Movimientos!C:C, "Egreso", Movimientos!F:F, "G5000")+SUMIFS(Movimientos!E:E, Movimientos!D:D, A94, Movimientos!C:C, "Ajuste", Movimientos!F:F, "G5000")),"")</f>
        <v/>
      </c>
      <c r="I94" s="6" t="str">
        <f aca="false">IFERROR(IF(A94="","",SUMIFS(Movimientos!E:E, Movimientos!D:D, A94, Movimientos!C:C, "Ingreso", Movimientos!G:G, "G3")+SUMIFS(Movimientos!E:E, Movimientos!D:D, A94, Movimientos!C:C, "Traslado", Movimientos!G:G, "G3")-SUMIFS(Movimientos!E:E, Movimientos!D:D, A94, Movimientos!C:C, "Traslado", Movimientos!F:F, "G3")-SUMIFS(Movimientos!E:E, Movimientos!D:D, A94, Movimientos!C:C, "Egreso", Movimientos!F:F, "G3")+SUMIFS(Movimientos!E:E, Movimientos!D:D, A94, Movimientos!C:C, "Ajuste", Movimientos!F:F, "G3")),"")</f>
        <v/>
      </c>
      <c r="J94" s="6" t="str">
        <f aca="false">IFERROR(IF(A94="","",SUM(E94:I94)),"")</f>
        <v/>
      </c>
      <c r="K94" s="6" t="str">
        <f aca="false">IFERROR(IF(A94="","",SUMIFS(Movimientos!E:E, Movimientos!D:D, A94, Movimientos!C:C, "Reserva")-SUMIFS(Movimientos!E:E, Movimientos!D:D, A94, Movimientos!C:C, "Libera_Reserva")),"")</f>
        <v/>
      </c>
      <c r="L94" s="6" t="str">
        <f aca="false">IFERROR(IF(A94="","",J94-K94),"")</f>
        <v/>
      </c>
      <c r="M94" s="6" t="str">
        <f aca="false">IFERROR(IF(Productos!A94="","",Productos!G94),"")</f>
        <v/>
      </c>
      <c r="N94" s="6" t="str">
        <f aca="false">IFERROR(IF(A94="","",IF(L94&lt;M94,"BAJO STOCK","OK")),"")</f>
        <v/>
      </c>
    </row>
    <row r="95" customFormat="false" ht="15" hidden="false" customHeight="false" outlineLevel="0" collapsed="false">
      <c r="A95" s="0" t="str">
        <f aca="false">IFERROR(IF(Productos!A95="","",Productos!A95),"")</f>
        <v/>
      </c>
      <c r="B95" s="0" t="str">
        <f aca="false">IFERROR(IF(Productos!A95="","",Productos!B95),"")</f>
        <v/>
      </c>
      <c r="C95" s="0" t="str">
        <f aca="false">IFERROR(IF(Productos!A95="","",Productos!C95),"")</f>
        <v/>
      </c>
      <c r="D95" s="0" t="str">
        <f aca="false">IFERROR(IF(Productos!A95="","",Productos!E95),"")</f>
        <v/>
      </c>
      <c r="E95" s="6" t="str">
        <f aca="false">IFERROR(IF(A95="","",SUMIFS(Movimientos!E:E, Movimientos!D:D, A95, Movimientos!C:C, "Ingreso", Movimientos!G:G, "TIN")+SUMIFS(Movimientos!E:E, Movimientos!D:D, A95, Movimientos!C:C, "Traslado", Movimientos!G:G, "TIN")-SUMIFS(Movimientos!E:E, Movimientos!D:D, A95, Movimientos!C:C, "Traslado", Movimientos!F:F, "TIN")-SUMIFS(Movimientos!E:E, Movimientos!D:D, A95, Movimientos!C:C, "Egreso", Movimientos!F:F, "TIN")+SUMIFS(Movimientos!E:E, Movimientos!D:D, A95, Movimientos!C:C, "Ajuste", Movimientos!F:F, "TIN")),"")</f>
        <v/>
      </c>
      <c r="F95" s="6" t="str">
        <f aca="false">IFERROR(IF(A95="","",SUMIFS(Movimientos!E:E, Movimientos!D:D, A95, Movimientos!C:C, "Ingreso", Movimientos!G:G, "G1000")+SUMIFS(Movimientos!E:E, Movimientos!D:D, A95, Movimientos!C:C, "Traslado", Movimientos!G:G, "G1000")-SUMIFS(Movimientos!E:E, Movimientos!D:D, A95, Movimientos!C:C, "Traslado", Movimientos!F:F, "G1000")-SUMIFS(Movimientos!E:E, Movimientos!D:D, A95, Movimientos!C:C, "Egreso", Movimientos!F:F, "G1000")+SUMIFS(Movimientos!E:E, Movimientos!D:D, A95, Movimientos!C:C, "Ajuste", Movimientos!F:F, "G1000")),"")</f>
        <v/>
      </c>
      <c r="G95" s="6" t="str">
        <f aca="false">IFERROR(IF(A95="","",SUMIFS(Movimientos!E:E, Movimientos!D:D, A95, Movimientos!C:C, "Ingreso", Movimientos!G:G, "G710")+SUMIFS(Movimientos!E:E, Movimientos!D:D, A95, Movimientos!C:C, "Traslado", Movimientos!G:G, "G710")-SUMIFS(Movimientos!E:E, Movimientos!D:D, A95, Movimientos!C:C, "Traslado", Movimientos!F:F, "G710")-SUMIFS(Movimientos!E:E, Movimientos!D:D, A95, Movimientos!C:C, "Egreso", Movimientos!F:F, "G710")+SUMIFS(Movimientos!E:E, Movimientos!D:D, A95, Movimientos!C:C, "Ajuste", Movimientos!F:F, "G710")),"")</f>
        <v/>
      </c>
      <c r="H95" s="6" t="str">
        <f aca="false">IFERROR(IF(A95="","",SUMIFS(Movimientos!E:E, Movimientos!D:D, A95, Movimientos!C:C, "Ingreso", Movimientos!G:G, "G5000")+SUMIFS(Movimientos!E:E, Movimientos!D:D, A95, Movimientos!C:C, "Traslado", Movimientos!G:G, "G5000")-SUMIFS(Movimientos!E:E, Movimientos!D:D, A95, Movimientos!C:C, "Traslado", Movimientos!F:F, "G5000")-SUMIFS(Movimientos!E:E, Movimientos!D:D, A95, Movimientos!C:C, "Egreso", Movimientos!F:F, "G5000")+SUMIFS(Movimientos!E:E, Movimientos!D:D, A95, Movimientos!C:C, "Ajuste", Movimientos!F:F, "G5000")),"")</f>
        <v/>
      </c>
      <c r="I95" s="6" t="str">
        <f aca="false">IFERROR(IF(A95="","",SUMIFS(Movimientos!E:E, Movimientos!D:D, A95, Movimientos!C:C, "Ingreso", Movimientos!G:G, "G3")+SUMIFS(Movimientos!E:E, Movimientos!D:D, A95, Movimientos!C:C, "Traslado", Movimientos!G:G, "G3")-SUMIFS(Movimientos!E:E, Movimientos!D:D, A95, Movimientos!C:C, "Traslado", Movimientos!F:F, "G3")-SUMIFS(Movimientos!E:E, Movimientos!D:D, A95, Movimientos!C:C, "Egreso", Movimientos!F:F, "G3")+SUMIFS(Movimientos!E:E, Movimientos!D:D, A95, Movimientos!C:C, "Ajuste", Movimientos!F:F, "G3")),"")</f>
        <v/>
      </c>
      <c r="J95" s="6" t="str">
        <f aca="false">IFERROR(IF(A95="","",SUM(E95:I95)),"")</f>
        <v/>
      </c>
      <c r="K95" s="6" t="str">
        <f aca="false">IFERROR(IF(A95="","",SUMIFS(Movimientos!E:E, Movimientos!D:D, A95, Movimientos!C:C, "Reserva")-SUMIFS(Movimientos!E:E, Movimientos!D:D, A95, Movimientos!C:C, "Libera_Reserva")),"")</f>
        <v/>
      </c>
      <c r="L95" s="6" t="str">
        <f aca="false">IFERROR(IF(A95="","",J95-K95),"")</f>
        <v/>
      </c>
      <c r="M95" s="6" t="str">
        <f aca="false">IFERROR(IF(Productos!A95="","",Productos!G95),"")</f>
        <v/>
      </c>
      <c r="N95" s="6" t="str">
        <f aca="false">IFERROR(IF(A95="","",IF(L95&lt;M95,"BAJO STOCK","OK")),"")</f>
        <v/>
      </c>
    </row>
    <row r="96" customFormat="false" ht="15" hidden="false" customHeight="false" outlineLevel="0" collapsed="false">
      <c r="A96" s="0" t="str">
        <f aca="false">IFERROR(IF(Productos!A96="","",Productos!A96),"")</f>
        <v/>
      </c>
      <c r="B96" s="0" t="str">
        <f aca="false">IFERROR(IF(Productos!A96="","",Productos!B96),"")</f>
        <v/>
      </c>
      <c r="C96" s="0" t="str">
        <f aca="false">IFERROR(IF(Productos!A96="","",Productos!C96),"")</f>
        <v/>
      </c>
      <c r="D96" s="0" t="str">
        <f aca="false">IFERROR(IF(Productos!A96="","",Productos!E96),"")</f>
        <v/>
      </c>
      <c r="E96" s="6" t="str">
        <f aca="false">IFERROR(IF(A96="","",SUMIFS(Movimientos!E:E, Movimientos!D:D, A96, Movimientos!C:C, "Ingreso", Movimientos!G:G, "TIN")+SUMIFS(Movimientos!E:E, Movimientos!D:D, A96, Movimientos!C:C, "Traslado", Movimientos!G:G, "TIN")-SUMIFS(Movimientos!E:E, Movimientos!D:D, A96, Movimientos!C:C, "Traslado", Movimientos!F:F, "TIN")-SUMIFS(Movimientos!E:E, Movimientos!D:D, A96, Movimientos!C:C, "Egreso", Movimientos!F:F, "TIN")+SUMIFS(Movimientos!E:E, Movimientos!D:D, A96, Movimientos!C:C, "Ajuste", Movimientos!F:F, "TIN")),"")</f>
        <v/>
      </c>
      <c r="F96" s="6" t="str">
        <f aca="false">IFERROR(IF(A96="","",SUMIFS(Movimientos!E:E, Movimientos!D:D, A96, Movimientos!C:C, "Ingreso", Movimientos!G:G, "G1000")+SUMIFS(Movimientos!E:E, Movimientos!D:D, A96, Movimientos!C:C, "Traslado", Movimientos!G:G, "G1000")-SUMIFS(Movimientos!E:E, Movimientos!D:D, A96, Movimientos!C:C, "Traslado", Movimientos!F:F, "G1000")-SUMIFS(Movimientos!E:E, Movimientos!D:D, A96, Movimientos!C:C, "Egreso", Movimientos!F:F, "G1000")+SUMIFS(Movimientos!E:E, Movimientos!D:D, A96, Movimientos!C:C, "Ajuste", Movimientos!F:F, "G1000")),"")</f>
        <v/>
      </c>
      <c r="G96" s="6" t="str">
        <f aca="false">IFERROR(IF(A96="","",SUMIFS(Movimientos!E:E, Movimientos!D:D, A96, Movimientos!C:C, "Ingreso", Movimientos!G:G, "G710")+SUMIFS(Movimientos!E:E, Movimientos!D:D, A96, Movimientos!C:C, "Traslado", Movimientos!G:G, "G710")-SUMIFS(Movimientos!E:E, Movimientos!D:D, A96, Movimientos!C:C, "Traslado", Movimientos!F:F, "G710")-SUMIFS(Movimientos!E:E, Movimientos!D:D, A96, Movimientos!C:C, "Egreso", Movimientos!F:F, "G710")+SUMIFS(Movimientos!E:E, Movimientos!D:D, A96, Movimientos!C:C, "Ajuste", Movimientos!F:F, "G710")),"")</f>
        <v/>
      </c>
      <c r="H96" s="6" t="str">
        <f aca="false">IFERROR(IF(A96="","",SUMIFS(Movimientos!E:E, Movimientos!D:D, A96, Movimientos!C:C, "Ingreso", Movimientos!G:G, "G5000")+SUMIFS(Movimientos!E:E, Movimientos!D:D, A96, Movimientos!C:C, "Traslado", Movimientos!G:G, "G5000")-SUMIFS(Movimientos!E:E, Movimientos!D:D, A96, Movimientos!C:C, "Traslado", Movimientos!F:F, "G5000")-SUMIFS(Movimientos!E:E, Movimientos!D:D, A96, Movimientos!C:C, "Egreso", Movimientos!F:F, "G5000")+SUMIFS(Movimientos!E:E, Movimientos!D:D, A96, Movimientos!C:C, "Ajuste", Movimientos!F:F, "G5000")),"")</f>
        <v/>
      </c>
      <c r="I96" s="6" t="str">
        <f aca="false">IFERROR(IF(A96="","",SUMIFS(Movimientos!E:E, Movimientos!D:D, A96, Movimientos!C:C, "Ingreso", Movimientos!G:G, "G3")+SUMIFS(Movimientos!E:E, Movimientos!D:D, A96, Movimientos!C:C, "Traslado", Movimientos!G:G, "G3")-SUMIFS(Movimientos!E:E, Movimientos!D:D, A96, Movimientos!C:C, "Traslado", Movimientos!F:F, "G3")-SUMIFS(Movimientos!E:E, Movimientos!D:D, A96, Movimientos!C:C, "Egreso", Movimientos!F:F, "G3")+SUMIFS(Movimientos!E:E, Movimientos!D:D, A96, Movimientos!C:C, "Ajuste", Movimientos!F:F, "G3")),"")</f>
        <v/>
      </c>
      <c r="J96" s="6" t="str">
        <f aca="false">IFERROR(IF(A96="","",SUM(E96:I96)),"")</f>
        <v/>
      </c>
      <c r="K96" s="6" t="str">
        <f aca="false">IFERROR(IF(A96="","",SUMIFS(Movimientos!E:E, Movimientos!D:D, A96, Movimientos!C:C, "Reserva")-SUMIFS(Movimientos!E:E, Movimientos!D:D, A96, Movimientos!C:C, "Libera_Reserva")),"")</f>
        <v/>
      </c>
      <c r="L96" s="6" t="str">
        <f aca="false">IFERROR(IF(A96="","",J96-K96),"")</f>
        <v/>
      </c>
      <c r="M96" s="6" t="str">
        <f aca="false">IFERROR(IF(Productos!A96="","",Productos!G96),"")</f>
        <v/>
      </c>
      <c r="N96" s="6" t="str">
        <f aca="false">IFERROR(IF(A96="","",IF(L96&lt;M96,"BAJO STOCK","OK")),"")</f>
        <v/>
      </c>
    </row>
    <row r="97" customFormat="false" ht="15" hidden="false" customHeight="false" outlineLevel="0" collapsed="false">
      <c r="A97" s="0" t="str">
        <f aca="false">IFERROR(IF(Productos!A97="","",Productos!A97),"")</f>
        <v/>
      </c>
      <c r="B97" s="0" t="str">
        <f aca="false">IFERROR(IF(Productos!A97="","",Productos!B97),"")</f>
        <v/>
      </c>
      <c r="C97" s="0" t="str">
        <f aca="false">IFERROR(IF(Productos!A97="","",Productos!C97),"")</f>
        <v/>
      </c>
      <c r="D97" s="0" t="str">
        <f aca="false">IFERROR(IF(Productos!A97="","",Productos!E97),"")</f>
        <v/>
      </c>
      <c r="E97" s="6" t="str">
        <f aca="false">IFERROR(IF(A97="","",SUMIFS(Movimientos!E:E, Movimientos!D:D, A97, Movimientos!C:C, "Ingreso", Movimientos!G:G, "TIN")+SUMIFS(Movimientos!E:E, Movimientos!D:D, A97, Movimientos!C:C, "Traslado", Movimientos!G:G, "TIN")-SUMIFS(Movimientos!E:E, Movimientos!D:D, A97, Movimientos!C:C, "Traslado", Movimientos!F:F, "TIN")-SUMIFS(Movimientos!E:E, Movimientos!D:D, A97, Movimientos!C:C, "Egreso", Movimientos!F:F, "TIN")+SUMIFS(Movimientos!E:E, Movimientos!D:D, A97, Movimientos!C:C, "Ajuste", Movimientos!F:F, "TIN")),"")</f>
        <v/>
      </c>
      <c r="F97" s="6" t="str">
        <f aca="false">IFERROR(IF(A97="","",SUMIFS(Movimientos!E:E, Movimientos!D:D, A97, Movimientos!C:C, "Ingreso", Movimientos!G:G, "G1000")+SUMIFS(Movimientos!E:E, Movimientos!D:D, A97, Movimientos!C:C, "Traslado", Movimientos!G:G, "G1000")-SUMIFS(Movimientos!E:E, Movimientos!D:D, A97, Movimientos!C:C, "Traslado", Movimientos!F:F, "G1000")-SUMIFS(Movimientos!E:E, Movimientos!D:D, A97, Movimientos!C:C, "Egreso", Movimientos!F:F, "G1000")+SUMIFS(Movimientos!E:E, Movimientos!D:D, A97, Movimientos!C:C, "Ajuste", Movimientos!F:F, "G1000")),"")</f>
        <v/>
      </c>
      <c r="G97" s="6" t="str">
        <f aca="false">IFERROR(IF(A97="","",SUMIFS(Movimientos!E:E, Movimientos!D:D, A97, Movimientos!C:C, "Ingreso", Movimientos!G:G, "G710")+SUMIFS(Movimientos!E:E, Movimientos!D:D, A97, Movimientos!C:C, "Traslado", Movimientos!G:G, "G710")-SUMIFS(Movimientos!E:E, Movimientos!D:D, A97, Movimientos!C:C, "Traslado", Movimientos!F:F, "G710")-SUMIFS(Movimientos!E:E, Movimientos!D:D, A97, Movimientos!C:C, "Egreso", Movimientos!F:F, "G710")+SUMIFS(Movimientos!E:E, Movimientos!D:D, A97, Movimientos!C:C, "Ajuste", Movimientos!F:F, "G710")),"")</f>
        <v/>
      </c>
      <c r="H97" s="6" t="str">
        <f aca="false">IFERROR(IF(A97="","",SUMIFS(Movimientos!E:E, Movimientos!D:D, A97, Movimientos!C:C, "Ingreso", Movimientos!G:G, "G5000")+SUMIFS(Movimientos!E:E, Movimientos!D:D, A97, Movimientos!C:C, "Traslado", Movimientos!G:G, "G5000")-SUMIFS(Movimientos!E:E, Movimientos!D:D, A97, Movimientos!C:C, "Traslado", Movimientos!F:F, "G5000")-SUMIFS(Movimientos!E:E, Movimientos!D:D, A97, Movimientos!C:C, "Egreso", Movimientos!F:F, "G5000")+SUMIFS(Movimientos!E:E, Movimientos!D:D, A97, Movimientos!C:C, "Ajuste", Movimientos!F:F, "G5000")),"")</f>
        <v/>
      </c>
      <c r="I97" s="6" t="str">
        <f aca="false">IFERROR(IF(A97="","",SUMIFS(Movimientos!E:E, Movimientos!D:D, A97, Movimientos!C:C, "Ingreso", Movimientos!G:G, "G3")+SUMIFS(Movimientos!E:E, Movimientos!D:D, A97, Movimientos!C:C, "Traslado", Movimientos!G:G, "G3")-SUMIFS(Movimientos!E:E, Movimientos!D:D, A97, Movimientos!C:C, "Traslado", Movimientos!F:F, "G3")-SUMIFS(Movimientos!E:E, Movimientos!D:D, A97, Movimientos!C:C, "Egreso", Movimientos!F:F, "G3")+SUMIFS(Movimientos!E:E, Movimientos!D:D, A97, Movimientos!C:C, "Ajuste", Movimientos!F:F, "G3")),"")</f>
        <v/>
      </c>
      <c r="J97" s="6" t="str">
        <f aca="false">IFERROR(IF(A97="","",SUM(E97:I97)),"")</f>
        <v/>
      </c>
      <c r="K97" s="6" t="str">
        <f aca="false">IFERROR(IF(A97="","",SUMIFS(Movimientos!E:E, Movimientos!D:D, A97, Movimientos!C:C, "Reserva")-SUMIFS(Movimientos!E:E, Movimientos!D:D, A97, Movimientos!C:C, "Libera_Reserva")),"")</f>
        <v/>
      </c>
      <c r="L97" s="6" t="str">
        <f aca="false">IFERROR(IF(A97="","",J97-K97),"")</f>
        <v/>
      </c>
      <c r="M97" s="6" t="str">
        <f aca="false">IFERROR(IF(Productos!A97="","",Productos!G97),"")</f>
        <v/>
      </c>
      <c r="N97" s="6" t="str">
        <f aca="false">IFERROR(IF(A97="","",IF(L97&lt;M97,"BAJO STOCK","OK")),"")</f>
        <v/>
      </c>
    </row>
    <row r="98" customFormat="false" ht="15" hidden="false" customHeight="false" outlineLevel="0" collapsed="false">
      <c r="A98" s="0" t="str">
        <f aca="false">IFERROR(IF(Productos!A98="","",Productos!A98),"")</f>
        <v/>
      </c>
      <c r="B98" s="0" t="str">
        <f aca="false">IFERROR(IF(Productos!A98="","",Productos!B98),"")</f>
        <v/>
      </c>
      <c r="C98" s="0" t="str">
        <f aca="false">IFERROR(IF(Productos!A98="","",Productos!C98),"")</f>
        <v/>
      </c>
      <c r="D98" s="0" t="str">
        <f aca="false">IFERROR(IF(Productos!A98="","",Productos!E98),"")</f>
        <v/>
      </c>
      <c r="E98" s="6" t="str">
        <f aca="false">IFERROR(IF(A98="","",SUMIFS(Movimientos!E:E, Movimientos!D:D, A98, Movimientos!C:C, "Ingreso", Movimientos!G:G, "TIN")+SUMIFS(Movimientos!E:E, Movimientos!D:D, A98, Movimientos!C:C, "Traslado", Movimientos!G:G, "TIN")-SUMIFS(Movimientos!E:E, Movimientos!D:D, A98, Movimientos!C:C, "Traslado", Movimientos!F:F, "TIN")-SUMIFS(Movimientos!E:E, Movimientos!D:D, A98, Movimientos!C:C, "Egreso", Movimientos!F:F, "TIN")+SUMIFS(Movimientos!E:E, Movimientos!D:D, A98, Movimientos!C:C, "Ajuste", Movimientos!F:F, "TIN")),"")</f>
        <v/>
      </c>
      <c r="F98" s="6" t="str">
        <f aca="false">IFERROR(IF(A98="","",SUMIFS(Movimientos!E:E, Movimientos!D:D, A98, Movimientos!C:C, "Ingreso", Movimientos!G:G, "G1000")+SUMIFS(Movimientos!E:E, Movimientos!D:D, A98, Movimientos!C:C, "Traslado", Movimientos!G:G, "G1000")-SUMIFS(Movimientos!E:E, Movimientos!D:D, A98, Movimientos!C:C, "Traslado", Movimientos!F:F, "G1000")-SUMIFS(Movimientos!E:E, Movimientos!D:D, A98, Movimientos!C:C, "Egreso", Movimientos!F:F, "G1000")+SUMIFS(Movimientos!E:E, Movimientos!D:D, A98, Movimientos!C:C, "Ajuste", Movimientos!F:F, "G1000")),"")</f>
        <v/>
      </c>
      <c r="G98" s="6" t="str">
        <f aca="false">IFERROR(IF(A98="","",SUMIFS(Movimientos!E:E, Movimientos!D:D, A98, Movimientos!C:C, "Ingreso", Movimientos!G:G, "G710")+SUMIFS(Movimientos!E:E, Movimientos!D:D, A98, Movimientos!C:C, "Traslado", Movimientos!G:G, "G710")-SUMIFS(Movimientos!E:E, Movimientos!D:D, A98, Movimientos!C:C, "Traslado", Movimientos!F:F, "G710")-SUMIFS(Movimientos!E:E, Movimientos!D:D, A98, Movimientos!C:C, "Egreso", Movimientos!F:F, "G710")+SUMIFS(Movimientos!E:E, Movimientos!D:D, A98, Movimientos!C:C, "Ajuste", Movimientos!F:F, "G710")),"")</f>
        <v/>
      </c>
      <c r="H98" s="6" t="str">
        <f aca="false">IFERROR(IF(A98="","",SUMIFS(Movimientos!E:E, Movimientos!D:D, A98, Movimientos!C:C, "Ingreso", Movimientos!G:G, "G5000")+SUMIFS(Movimientos!E:E, Movimientos!D:D, A98, Movimientos!C:C, "Traslado", Movimientos!G:G, "G5000")-SUMIFS(Movimientos!E:E, Movimientos!D:D, A98, Movimientos!C:C, "Traslado", Movimientos!F:F, "G5000")-SUMIFS(Movimientos!E:E, Movimientos!D:D, A98, Movimientos!C:C, "Egreso", Movimientos!F:F, "G5000")+SUMIFS(Movimientos!E:E, Movimientos!D:D, A98, Movimientos!C:C, "Ajuste", Movimientos!F:F, "G5000")),"")</f>
        <v/>
      </c>
      <c r="I98" s="6" t="str">
        <f aca="false">IFERROR(IF(A98="","",SUMIFS(Movimientos!E:E, Movimientos!D:D, A98, Movimientos!C:C, "Ingreso", Movimientos!G:G, "G3")+SUMIFS(Movimientos!E:E, Movimientos!D:D, A98, Movimientos!C:C, "Traslado", Movimientos!G:G, "G3")-SUMIFS(Movimientos!E:E, Movimientos!D:D, A98, Movimientos!C:C, "Traslado", Movimientos!F:F, "G3")-SUMIFS(Movimientos!E:E, Movimientos!D:D, A98, Movimientos!C:C, "Egreso", Movimientos!F:F, "G3")+SUMIFS(Movimientos!E:E, Movimientos!D:D, A98, Movimientos!C:C, "Ajuste", Movimientos!F:F, "G3")),"")</f>
        <v/>
      </c>
      <c r="J98" s="6" t="str">
        <f aca="false">IFERROR(IF(A98="","",SUM(E98:I98)),"")</f>
        <v/>
      </c>
      <c r="K98" s="6" t="str">
        <f aca="false">IFERROR(IF(A98="","",SUMIFS(Movimientos!E:E, Movimientos!D:D, A98, Movimientos!C:C, "Reserva")-SUMIFS(Movimientos!E:E, Movimientos!D:D, A98, Movimientos!C:C, "Libera_Reserva")),"")</f>
        <v/>
      </c>
      <c r="L98" s="6" t="str">
        <f aca="false">IFERROR(IF(A98="","",J98-K98),"")</f>
        <v/>
      </c>
      <c r="M98" s="6" t="str">
        <f aca="false">IFERROR(IF(Productos!A98="","",Productos!G98),"")</f>
        <v/>
      </c>
      <c r="N98" s="6" t="str">
        <f aca="false">IFERROR(IF(A98="","",IF(L98&lt;M98,"BAJO STOCK","OK")),"")</f>
        <v/>
      </c>
    </row>
    <row r="99" customFormat="false" ht="15" hidden="false" customHeight="false" outlineLevel="0" collapsed="false">
      <c r="A99" s="0" t="str">
        <f aca="false">IFERROR(IF(Productos!A99="","",Productos!A99),"")</f>
        <v/>
      </c>
      <c r="B99" s="0" t="str">
        <f aca="false">IFERROR(IF(Productos!A99="","",Productos!B99),"")</f>
        <v/>
      </c>
      <c r="C99" s="0" t="str">
        <f aca="false">IFERROR(IF(Productos!A99="","",Productos!C99),"")</f>
        <v/>
      </c>
      <c r="D99" s="0" t="str">
        <f aca="false">IFERROR(IF(Productos!A99="","",Productos!E99),"")</f>
        <v/>
      </c>
      <c r="E99" s="6" t="str">
        <f aca="false">IFERROR(IF(A99="","",SUMIFS(Movimientos!E:E, Movimientos!D:D, A99, Movimientos!C:C, "Ingreso", Movimientos!G:G, "TIN")+SUMIFS(Movimientos!E:E, Movimientos!D:D, A99, Movimientos!C:C, "Traslado", Movimientos!G:G, "TIN")-SUMIFS(Movimientos!E:E, Movimientos!D:D, A99, Movimientos!C:C, "Traslado", Movimientos!F:F, "TIN")-SUMIFS(Movimientos!E:E, Movimientos!D:D, A99, Movimientos!C:C, "Egreso", Movimientos!F:F, "TIN")+SUMIFS(Movimientos!E:E, Movimientos!D:D, A99, Movimientos!C:C, "Ajuste", Movimientos!F:F, "TIN")),"")</f>
        <v/>
      </c>
      <c r="F99" s="6" t="str">
        <f aca="false">IFERROR(IF(A99="","",SUMIFS(Movimientos!E:E, Movimientos!D:D, A99, Movimientos!C:C, "Ingreso", Movimientos!G:G, "G1000")+SUMIFS(Movimientos!E:E, Movimientos!D:D, A99, Movimientos!C:C, "Traslado", Movimientos!G:G, "G1000")-SUMIFS(Movimientos!E:E, Movimientos!D:D, A99, Movimientos!C:C, "Traslado", Movimientos!F:F, "G1000")-SUMIFS(Movimientos!E:E, Movimientos!D:D, A99, Movimientos!C:C, "Egreso", Movimientos!F:F, "G1000")+SUMIFS(Movimientos!E:E, Movimientos!D:D, A99, Movimientos!C:C, "Ajuste", Movimientos!F:F, "G1000")),"")</f>
        <v/>
      </c>
      <c r="G99" s="6" t="str">
        <f aca="false">IFERROR(IF(A99="","",SUMIFS(Movimientos!E:E, Movimientos!D:D, A99, Movimientos!C:C, "Ingreso", Movimientos!G:G, "G710")+SUMIFS(Movimientos!E:E, Movimientos!D:D, A99, Movimientos!C:C, "Traslado", Movimientos!G:G, "G710")-SUMIFS(Movimientos!E:E, Movimientos!D:D, A99, Movimientos!C:C, "Traslado", Movimientos!F:F, "G710")-SUMIFS(Movimientos!E:E, Movimientos!D:D, A99, Movimientos!C:C, "Egreso", Movimientos!F:F, "G710")+SUMIFS(Movimientos!E:E, Movimientos!D:D, A99, Movimientos!C:C, "Ajuste", Movimientos!F:F, "G710")),"")</f>
        <v/>
      </c>
      <c r="H99" s="6" t="str">
        <f aca="false">IFERROR(IF(A99="","",SUMIFS(Movimientos!E:E, Movimientos!D:D, A99, Movimientos!C:C, "Ingreso", Movimientos!G:G, "G5000")+SUMIFS(Movimientos!E:E, Movimientos!D:D, A99, Movimientos!C:C, "Traslado", Movimientos!G:G, "G5000")-SUMIFS(Movimientos!E:E, Movimientos!D:D, A99, Movimientos!C:C, "Traslado", Movimientos!F:F, "G5000")-SUMIFS(Movimientos!E:E, Movimientos!D:D, A99, Movimientos!C:C, "Egreso", Movimientos!F:F, "G5000")+SUMIFS(Movimientos!E:E, Movimientos!D:D, A99, Movimientos!C:C, "Ajuste", Movimientos!F:F, "G5000")),"")</f>
        <v/>
      </c>
      <c r="I99" s="6" t="str">
        <f aca="false">IFERROR(IF(A99="","",SUMIFS(Movimientos!E:E, Movimientos!D:D, A99, Movimientos!C:C, "Ingreso", Movimientos!G:G, "G3")+SUMIFS(Movimientos!E:E, Movimientos!D:D, A99, Movimientos!C:C, "Traslado", Movimientos!G:G, "G3")-SUMIFS(Movimientos!E:E, Movimientos!D:D, A99, Movimientos!C:C, "Traslado", Movimientos!F:F, "G3")-SUMIFS(Movimientos!E:E, Movimientos!D:D, A99, Movimientos!C:C, "Egreso", Movimientos!F:F, "G3")+SUMIFS(Movimientos!E:E, Movimientos!D:D, A99, Movimientos!C:C, "Ajuste", Movimientos!F:F, "G3")),"")</f>
        <v/>
      </c>
      <c r="J99" s="6" t="str">
        <f aca="false">IFERROR(IF(A99="","",SUM(E99:I99)),"")</f>
        <v/>
      </c>
      <c r="K99" s="6" t="str">
        <f aca="false">IFERROR(IF(A99="","",SUMIFS(Movimientos!E:E, Movimientos!D:D, A99, Movimientos!C:C, "Reserva")-SUMIFS(Movimientos!E:E, Movimientos!D:D, A99, Movimientos!C:C, "Libera_Reserva")),"")</f>
        <v/>
      </c>
      <c r="L99" s="6" t="str">
        <f aca="false">IFERROR(IF(A99="","",J99-K99),"")</f>
        <v/>
      </c>
      <c r="M99" s="6" t="str">
        <f aca="false">IFERROR(IF(Productos!A99="","",Productos!G99),"")</f>
        <v/>
      </c>
      <c r="N99" s="6" t="str">
        <f aca="false">IFERROR(IF(A99="","",IF(L99&lt;M99,"BAJO STOCK","OK")),"")</f>
        <v/>
      </c>
    </row>
    <row r="100" customFormat="false" ht="15" hidden="false" customHeight="false" outlineLevel="0" collapsed="false">
      <c r="A100" s="0" t="str">
        <f aca="false">IFERROR(IF(Productos!A100="","",Productos!A100),"")</f>
        <v/>
      </c>
      <c r="B100" s="0" t="str">
        <f aca="false">IFERROR(IF(Productos!A100="","",Productos!B100),"")</f>
        <v/>
      </c>
      <c r="C100" s="0" t="str">
        <f aca="false">IFERROR(IF(Productos!A100="","",Productos!C100),"")</f>
        <v/>
      </c>
      <c r="D100" s="0" t="str">
        <f aca="false">IFERROR(IF(Productos!A100="","",Productos!E100),"")</f>
        <v/>
      </c>
      <c r="E100" s="6" t="str">
        <f aca="false">IFERROR(IF(A100="","",SUMIFS(Movimientos!E:E, Movimientos!D:D, A100, Movimientos!C:C, "Ingreso", Movimientos!G:G, "TIN")+SUMIFS(Movimientos!E:E, Movimientos!D:D, A100, Movimientos!C:C, "Traslado", Movimientos!G:G, "TIN")-SUMIFS(Movimientos!E:E, Movimientos!D:D, A100, Movimientos!C:C, "Traslado", Movimientos!F:F, "TIN")-SUMIFS(Movimientos!E:E, Movimientos!D:D, A100, Movimientos!C:C, "Egreso", Movimientos!F:F, "TIN")+SUMIFS(Movimientos!E:E, Movimientos!D:D, A100, Movimientos!C:C, "Ajuste", Movimientos!F:F, "TIN")),"")</f>
        <v/>
      </c>
      <c r="F100" s="6" t="str">
        <f aca="false">IFERROR(IF(A100="","",SUMIFS(Movimientos!E:E, Movimientos!D:D, A100, Movimientos!C:C, "Ingreso", Movimientos!G:G, "G1000")+SUMIFS(Movimientos!E:E, Movimientos!D:D, A100, Movimientos!C:C, "Traslado", Movimientos!G:G, "G1000")-SUMIFS(Movimientos!E:E, Movimientos!D:D, A100, Movimientos!C:C, "Traslado", Movimientos!F:F, "G1000")-SUMIFS(Movimientos!E:E, Movimientos!D:D, A100, Movimientos!C:C, "Egreso", Movimientos!F:F, "G1000")+SUMIFS(Movimientos!E:E, Movimientos!D:D, A100, Movimientos!C:C, "Ajuste", Movimientos!F:F, "G1000")),"")</f>
        <v/>
      </c>
      <c r="G100" s="6" t="str">
        <f aca="false">IFERROR(IF(A100="","",SUMIFS(Movimientos!E:E, Movimientos!D:D, A100, Movimientos!C:C, "Ingreso", Movimientos!G:G, "G710")+SUMIFS(Movimientos!E:E, Movimientos!D:D, A100, Movimientos!C:C, "Traslado", Movimientos!G:G, "G710")-SUMIFS(Movimientos!E:E, Movimientos!D:D, A100, Movimientos!C:C, "Traslado", Movimientos!F:F, "G710")-SUMIFS(Movimientos!E:E, Movimientos!D:D, A100, Movimientos!C:C, "Egreso", Movimientos!F:F, "G710")+SUMIFS(Movimientos!E:E, Movimientos!D:D, A100, Movimientos!C:C, "Ajuste", Movimientos!F:F, "G710")),"")</f>
        <v/>
      </c>
      <c r="H100" s="6" t="str">
        <f aca="false">IFERROR(IF(A100="","",SUMIFS(Movimientos!E:E, Movimientos!D:D, A100, Movimientos!C:C, "Ingreso", Movimientos!G:G, "G5000")+SUMIFS(Movimientos!E:E, Movimientos!D:D, A100, Movimientos!C:C, "Traslado", Movimientos!G:G, "G5000")-SUMIFS(Movimientos!E:E, Movimientos!D:D, A100, Movimientos!C:C, "Traslado", Movimientos!F:F, "G5000")-SUMIFS(Movimientos!E:E, Movimientos!D:D, A100, Movimientos!C:C, "Egreso", Movimientos!F:F, "G5000")+SUMIFS(Movimientos!E:E, Movimientos!D:D, A100, Movimientos!C:C, "Ajuste", Movimientos!F:F, "G5000")),"")</f>
        <v/>
      </c>
      <c r="I100" s="6" t="str">
        <f aca="false">IFERROR(IF(A100="","",SUMIFS(Movimientos!E:E, Movimientos!D:D, A100, Movimientos!C:C, "Ingreso", Movimientos!G:G, "G3")+SUMIFS(Movimientos!E:E, Movimientos!D:D, A100, Movimientos!C:C, "Traslado", Movimientos!G:G, "G3")-SUMIFS(Movimientos!E:E, Movimientos!D:D, A100, Movimientos!C:C, "Traslado", Movimientos!F:F, "G3")-SUMIFS(Movimientos!E:E, Movimientos!D:D, A100, Movimientos!C:C, "Egreso", Movimientos!F:F, "G3")+SUMIFS(Movimientos!E:E, Movimientos!D:D, A100, Movimientos!C:C, "Ajuste", Movimientos!F:F, "G3")),"")</f>
        <v/>
      </c>
      <c r="J100" s="6" t="str">
        <f aca="false">IFERROR(IF(A100="","",SUM(E100:I100)),"")</f>
        <v/>
      </c>
      <c r="K100" s="6" t="str">
        <f aca="false">IFERROR(IF(A100="","",SUMIFS(Movimientos!E:E, Movimientos!D:D, A100, Movimientos!C:C, "Reserva")-SUMIFS(Movimientos!E:E, Movimientos!D:D, A100, Movimientos!C:C, "Libera_Reserva")),"")</f>
        <v/>
      </c>
      <c r="L100" s="6" t="str">
        <f aca="false">IFERROR(IF(A100="","",J100-K100),"")</f>
        <v/>
      </c>
      <c r="M100" s="6" t="str">
        <f aca="false">IFERROR(IF(Productos!A100="","",Productos!G100),"")</f>
        <v/>
      </c>
      <c r="N100" s="6" t="str">
        <f aca="false">IFERROR(IF(A100="","",IF(L100&lt;M100,"BAJO STOCK","OK")),"")</f>
        <v/>
      </c>
    </row>
    <row r="101" customFormat="false" ht="15" hidden="false" customHeight="false" outlineLevel="0" collapsed="false">
      <c r="A101" s="0" t="str">
        <f aca="false">IFERROR(IF(Productos!A101="","",Productos!A101),"")</f>
        <v/>
      </c>
      <c r="B101" s="0" t="str">
        <f aca="false">IFERROR(IF(Productos!A101="","",Productos!B101),"")</f>
        <v/>
      </c>
      <c r="C101" s="0" t="str">
        <f aca="false">IFERROR(IF(Productos!A101="","",Productos!C101),"")</f>
        <v/>
      </c>
      <c r="D101" s="0" t="str">
        <f aca="false">IFERROR(IF(Productos!A101="","",Productos!E101),"")</f>
        <v/>
      </c>
      <c r="E101" s="6" t="str">
        <f aca="false">IFERROR(IF(A101="","",SUMIFS(Movimientos!E:E, Movimientos!D:D, A101, Movimientos!C:C, "Ingreso", Movimientos!G:G, "TIN")+SUMIFS(Movimientos!E:E, Movimientos!D:D, A101, Movimientos!C:C, "Traslado", Movimientos!G:G, "TIN")-SUMIFS(Movimientos!E:E, Movimientos!D:D, A101, Movimientos!C:C, "Traslado", Movimientos!F:F, "TIN")-SUMIFS(Movimientos!E:E, Movimientos!D:D, A101, Movimientos!C:C, "Egreso", Movimientos!F:F, "TIN")+SUMIFS(Movimientos!E:E, Movimientos!D:D, A101, Movimientos!C:C, "Ajuste", Movimientos!F:F, "TIN")),"")</f>
        <v/>
      </c>
      <c r="F101" s="6" t="str">
        <f aca="false">IFERROR(IF(A101="","",SUMIFS(Movimientos!E:E, Movimientos!D:D, A101, Movimientos!C:C, "Ingreso", Movimientos!G:G, "G1000")+SUMIFS(Movimientos!E:E, Movimientos!D:D, A101, Movimientos!C:C, "Traslado", Movimientos!G:G, "G1000")-SUMIFS(Movimientos!E:E, Movimientos!D:D, A101, Movimientos!C:C, "Traslado", Movimientos!F:F, "G1000")-SUMIFS(Movimientos!E:E, Movimientos!D:D, A101, Movimientos!C:C, "Egreso", Movimientos!F:F, "G1000")+SUMIFS(Movimientos!E:E, Movimientos!D:D, A101, Movimientos!C:C, "Ajuste", Movimientos!F:F, "G1000")),"")</f>
        <v/>
      </c>
      <c r="G101" s="6" t="str">
        <f aca="false">IFERROR(IF(A101="","",SUMIFS(Movimientos!E:E, Movimientos!D:D, A101, Movimientos!C:C, "Ingreso", Movimientos!G:G, "G710")+SUMIFS(Movimientos!E:E, Movimientos!D:D, A101, Movimientos!C:C, "Traslado", Movimientos!G:G, "G710")-SUMIFS(Movimientos!E:E, Movimientos!D:D, A101, Movimientos!C:C, "Traslado", Movimientos!F:F, "G710")-SUMIFS(Movimientos!E:E, Movimientos!D:D, A101, Movimientos!C:C, "Egreso", Movimientos!F:F, "G710")+SUMIFS(Movimientos!E:E, Movimientos!D:D, A101, Movimientos!C:C, "Ajuste", Movimientos!F:F, "G710")),"")</f>
        <v/>
      </c>
      <c r="H101" s="6" t="str">
        <f aca="false">IFERROR(IF(A101="","",SUMIFS(Movimientos!E:E, Movimientos!D:D, A101, Movimientos!C:C, "Ingreso", Movimientos!G:G, "G5000")+SUMIFS(Movimientos!E:E, Movimientos!D:D, A101, Movimientos!C:C, "Traslado", Movimientos!G:G, "G5000")-SUMIFS(Movimientos!E:E, Movimientos!D:D, A101, Movimientos!C:C, "Traslado", Movimientos!F:F, "G5000")-SUMIFS(Movimientos!E:E, Movimientos!D:D, A101, Movimientos!C:C, "Egreso", Movimientos!F:F, "G5000")+SUMIFS(Movimientos!E:E, Movimientos!D:D, A101, Movimientos!C:C, "Ajuste", Movimientos!F:F, "G5000")),"")</f>
        <v/>
      </c>
      <c r="I101" s="6" t="str">
        <f aca="false">IFERROR(IF(A101="","",SUMIFS(Movimientos!E:E, Movimientos!D:D, A101, Movimientos!C:C, "Ingreso", Movimientos!G:G, "G3")+SUMIFS(Movimientos!E:E, Movimientos!D:D, A101, Movimientos!C:C, "Traslado", Movimientos!G:G, "G3")-SUMIFS(Movimientos!E:E, Movimientos!D:D, A101, Movimientos!C:C, "Traslado", Movimientos!F:F, "G3")-SUMIFS(Movimientos!E:E, Movimientos!D:D, A101, Movimientos!C:C, "Egreso", Movimientos!F:F, "G3")+SUMIFS(Movimientos!E:E, Movimientos!D:D, A101, Movimientos!C:C, "Ajuste", Movimientos!F:F, "G3")),"")</f>
        <v/>
      </c>
      <c r="J101" s="6" t="str">
        <f aca="false">IFERROR(IF(A101="","",SUM(E101:I101)),"")</f>
        <v/>
      </c>
      <c r="K101" s="6" t="str">
        <f aca="false">IFERROR(IF(A101="","",SUMIFS(Movimientos!E:E, Movimientos!D:D, A101, Movimientos!C:C, "Reserva")-SUMIFS(Movimientos!E:E, Movimientos!D:D, A101, Movimientos!C:C, "Libera_Reserva")),"")</f>
        <v/>
      </c>
      <c r="L101" s="6" t="str">
        <f aca="false">IFERROR(IF(A101="","",J101-K101),"")</f>
        <v/>
      </c>
      <c r="M101" s="6" t="str">
        <f aca="false">IFERROR(IF(Productos!A101="","",Productos!G101),"")</f>
        <v/>
      </c>
      <c r="N101" s="6" t="str">
        <f aca="false">IFERROR(IF(A101="","",IF(L101&lt;M101,"BAJO STOCK","OK")),"")</f>
        <v/>
      </c>
    </row>
    <row r="102" customFormat="false" ht="15" hidden="false" customHeight="false" outlineLevel="0" collapsed="false">
      <c r="A102" s="0" t="str">
        <f aca="false">IFERROR(IF(Productos!A102="","",Productos!A102),"")</f>
        <v/>
      </c>
      <c r="B102" s="0" t="str">
        <f aca="false">IFERROR(IF(Productos!A102="","",Productos!B102),"")</f>
        <v/>
      </c>
      <c r="C102" s="0" t="str">
        <f aca="false">IFERROR(IF(Productos!A102="","",Productos!C102),"")</f>
        <v/>
      </c>
      <c r="D102" s="0" t="str">
        <f aca="false">IFERROR(IF(Productos!A102="","",Productos!E102),"")</f>
        <v/>
      </c>
      <c r="E102" s="6" t="str">
        <f aca="false">IFERROR(IF(A102="","",SUMIFS(Movimientos!E:E, Movimientos!D:D, A102, Movimientos!C:C, "Ingreso", Movimientos!G:G, "TIN")+SUMIFS(Movimientos!E:E, Movimientos!D:D, A102, Movimientos!C:C, "Traslado", Movimientos!G:G, "TIN")-SUMIFS(Movimientos!E:E, Movimientos!D:D, A102, Movimientos!C:C, "Traslado", Movimientos!F:F, "TIN")-SUMIFS(Movimientos!E:E, Movimientos!D:D, A102, Movimientos!C:C, "Egreso", Movimientos!F:F, "TIN")+SUMIFS(Movimientos!E:E, Movimientos!D:D, A102, Movimientos!C:C, "Ajuste", Movimientos!F:F, "TIN")),"")</f>
        <v/>
      </c>
      <c r="F102" s="6" t="str">
        <f aca="false">IFERROR(IF(A102="","",SUMIFS(Movimientos!E:E, Movimientos!D:D, A102, Movimientos!C:C, "Ingreso", Movimientos!G:G, "G1000")+SUMIFS(Movimientos!E:E, Movimientos!D:D, A102, Movimientos!C:C, "Traslado", Movimientos!G:G, "G1000")-SUMIFS(Movimientos!E:E, Movimientos!D:D, A102, Movimientos!C:C, "Traslado", Movimientos!F:F, "G1000")-SUMIFS(Movimientos!E:E, Movimientos!D:D, A102, Movimientos!C:C, "Egreso", Movimientos!F:F, "G1000")+SUMIFS(Movimientos!E:E, Movimientos!D:D, A102, Movimientos!C:C, "Ajuste", Movimientos!F:F, "G1000")),"")</f>
        <v/>
      </c>
      <c r="G102" s="6" t="str">
        <f aca="false">IFERROR(IF(A102="","",SUMIFS(Movimientos!E:E, Movimientos!D:D, A102, Movimientos!C:C, "Ingreso", Movimientos!G:G, "G710")+SUMIFS(Movimientos!E:E, Movimientos!D:D, A102, Movimientos!C:C, "Traslado", Movimientos!G:G, "G710")-SUMIFS(Movimientos!E:E, Movimientos!D:D, A102, Movimientos!C:C, "Traslado", Movimientos!F:F, "G710")-SUMIFS(Movimientos!E:E, Movimientos!D:D, A102, Movimientos!C:C, "Egreso", Movimientos!F:F, "G710")+SUMIFS(Movimientos!E:E, Movimientos!D:D, A102, Movimientos!C:C, "Ajuste", Movimientos!F:F, "G710")),"")</f>
        <v/>
      </c>
      <c r="H102" s="6" t="str">
        <f aca="false">IFERROR(IF(A102="","",SUMIFS(Movimientos!E:E, Movimientos!D:D, A102, Movimientos!C:C, "Ingreso", Movimientos!G:G, "G5000")+SUMIFS(Movimientos!E:E, Movimientos!D:D, A102, Movimientos!C:C, "Traslado", Movimientos!G:G, "G5000")-SUMIFS(Movimientos!E:E, Movimientos!D:D, A102, Movimientos!C:C, "Traslado", Movimientos!F:F, "G5000")-SUMIFS(Movimientos!E:E, Movimientos!D:D, A102, Movimientos!C:C, "Egreso", Movimientos!F:F, "G5000")+SUMIFS(Movimientos!E:E, Movimientos!D:D, A102, Movimientos!C:C, "Ajuste", Movimientos!F:F, "G5000")),"")</f>
        <v/>
      </c>
      <c r="I102" s="6" t="str">
        <f aca="false">IFERROR(IF(A102="","",SUMIFS(Movimientos!E:E, Movimientos!D:D, A102, Movimientos!C:C, "Ingreso", Movimientos!G:G, "G3")+SUMIFS(Movimientos!E:E, Movimientos!D:D, A102, Movimientos!C:C, "Traslado", Movimientos!G:G, "G3")-SUMIFS(Movimientos!E:E, Movimientos!D:D, A102, Movimientos!C:C, "Traslado", Movimientos!F:F, "G3")-SUMIFS(Movimientos!E:E, Movimientos!D:D, A102, Movimientos!C:C, "Egreso", Movimientos!F:F, "G3")+SUMIFS(Movimientos!E:E, Movimientos!D:D, A102, Movimientos!C:C, "Ajuste", Movimientos!F:F, "G3")),"")</f>
        <v/>
      </c>
      <c r="J102" s="6" t="str">
        <f aca="false">IFERROR(IF(A102="","",SUM(E102:I102)),"")</f>
        <v/>
      </c>
      <c r="K102" s="6" t="str">
        <f aca="false">IFERROR(IF(A102="","",SUMIFS(Movimientos!E:E, Movimientos!D:D, A102, Movimientos!C:C, "Reserva")-SUMIFS(Movimientos!E:E, Movimientos!D:D, A102, Movimientos!C:C, "Libera_Reserva")),"")</f>
        <v/>
      </c>
      <c r="L102" s="6" t="str">
        <f aca="false">IFERROR(IF(A102="","",J102-K102),"")</f>
        <v/>
      </c>
      <c r="M102" s="6" t="str">
        <f aca="false">IFERROR(IF(Productos!A102="","",Productos!G102),"")</f>
        <v/>
      </c>
      <c r="N102" s="6" t="str">
        <f aca="false">IFERROR(IF(A102="","",IF(L102&lt;M102,"BAJO STOCK","OK")),"")</f>
        <v/>
      </c>
    </row>
    <row r="103" customFormat="false" ht="15" hidden="false" customHeight="false" outlineLevel="0" collapsed="false">
      <c r="A103" s="0" t="str">
        <f aca="false">IFERROR(IF(Productos!A103="","",Productos!A103),"")</f>
        <v/>
      </c>
      <c r="B103" s="0" t="str">
        <f aca="false">IFERROR(IF(Productos!A103="","",Productos!B103),"")</f>
        <v/>
      </c>
      <c r="C103" s="0" t="str">
        <f aca="false">IFERROR(IF(Productos!A103="","",Productos!C103),"")</f>
        <v/>
      </c>
      <c r="D103" s="0" t="str">
        <f aca="false">IFERROR(IF(Productos!A103="","",Productos!E103),"")</f>
        <v/>
      </c>
      <c r="E103" s="6" t="str">
        <f aca="false">IFERROR(IF(A103="","",SUMIFS(Movimientos!E:E, Movimientos!D:D, A103, Movimientos!C:C, "Ingreso", Movimientos!G:G, "TIN")+SUMIFS(Movimientos!E:E, Movimientos!D:D, A103, Movimientos!C:C, "Traslado", Movimientos!G:G, "TIN")-SUMIFS(Movimientos!E:E, Movimientos!D:D, A103, Movimientos!C:C, "Traslado", Movimientos!F:F, "TIN")-SUMIFS(Movimientos!E:E, Movimientos!D:D, A103, Movimientos!C:C, "Egreso", Movimientos!F:F, "TIN")+SUMIFS(Movimientos!E:E, Movimientos!D:D, A103, Movimientos!C:C, "Ajuste", Movimientos!F:F, "TIN")),"")</f>
        <v/>
      </c>
      <c r="F103" s="6" t="str">
        <f aca="false">IFERROR(IF(A103="","",SUMIFS(Movimientos!E:E, Movimientos!D:D, A103, Movimientos!C:C, "Ingreso", Movimientos!G:G, "G1000")+SUMIFS(Movimientos!E:E, Movimientos!D:D, A103, Movimientos!C:C, "Traslado", Movimientos!G:G, "G1000")-SUMIFS(Movimientos!E:E, Movimientos!D:D, A103, Movimientos!C:C, "Traslado", Movimientos!F:F, "G1000")-SUMIFS(Movimientos!E:E, Movimientos!D:D, A103, Movimientos!C:C, "Egreso", Movimientos!F:F, "G1000")+SUMIFS(Movimientos!E:E, Movimientos!D:D, A103, Movimientos!C:C, "Ajuste", Movimientos!F:F, "G1000")),"")</f>
        <v/>
      </c>
      <c r="G103" s="6" t="str">
        <f aca="false">IFERROR(IF(A103="","",SUMIFS(Movimientos!E:E, Movimientos!D:D, A103, Movimientos!C:C, "Ingreso", Movimientos!G:G, "G710")+SUMIFS(Movimientos!E:E, Movimientos!D:D, A103, Movimientos!C:C, "Traslado", Movimientos!G:G, "G710")-SUMIFS(Movimientos!E:E, Movimientos!D:D, A103, Movimientos!C:C, "Traslado", Movimientos!F:F, "G710")-SUMIFS(Movimientos!E:E, Movimientos!D:D, A103, Movimientos!C:C, "Egreso", Movimientos!F:F, "G710")+SUMIFS(Movimientos!E:E, Movimientos!D:D, A103, Movimientos!C:C, "Ajuste", Movimientos!F:F, "G710")),"")</f>
        <v/>
      </c>
      <c r="H103" s="6" t="str">
        <f aca="false">IFERROR(IF(A103="","",SUMIFS(Movimientos!E:E, Movimientos!D:D, A103, Movimientos!C:C, "Ingreso", Movimientos!G:G, "G5000")+SUMIFS(Movimientos!E:E, Movimientos!D:D, A103, Movimientos!C:C, "Traslado", Movimientos!G:G, "G5000")-SUMIFS(Movimientos!E:E, Movimientos!D:D, A103, Movimientos!C:C, "Traslado", Movimientos!F:F, "G5000")-SUMIFS(Movimientos!E:E, Movimientos!D:D, A103, Movimientos!C:C, "Egreso", Movimientos!F:F, "G5000")+SUMIFS(Movimientos!E:E, Movimientos!D:D, A103, Movimientos!C:C, "Ajuste", Movimientos!F:F, "G5000")),"")</f>
        <v/>
      </c>
      <c r="I103" s="6" t="str">
        <f aca="false">IFERROR(IF(A103="","",SUMIFS(Movimientos!E:E, Movimientos!D:D, A103, Movimientos!C:C, "Ingreso", Movimientos!G:G, "G3")+SUMIFS(Movimientos!E:E, Movimientos!D:D, A103, Movimientos!C:C, "Traslado", Movimientos!G:G, "G3")-SUMIFS(Movimientos!E:E, Movimientos!D:D, A103, Movimientos!C:C, "Traslado", Movimientos!F:F, "G3")-SUMIFS(Movimientos!E:E, Movimientos!D:D, A103, Movimientos!C:C, "Egreso", Movimientos!F:F, "G3")+SUMIFS(Movimientos!E:E, Movimientos!D:D, A103, Movimientos!C:C, "Ajuste", Movimientos!F:F, "G3")),"")</f>
        <v/>
      </c>
      <c r="J103" s="6" t="str">
        <f aca="false">IFERROR(IF(A103="","",SUM(E103:I103)),"")</f>
        <v/>
      </c>
      <c r="K103" s="6" t="str">
        <f aca="false">IFERROR(IF(A103="","",SUMIFS(Movimientos!E:E, Movimientos!D:D, A103, Movimientos!C:C, "Reserva")-SUMIFS(Movimientos!E:E, Movimientos!D:D, A103, Movimientos!C:C, "Libera_Reserva")),"")</f>
        <v/>
      </c>
      <c r="L103" s="6" t="str">
        <f aca="false">IFERROR(IF(A103="","",J103-K103),"")</f>
        <v/>
      </c>
      <c r="M103" s="6" t="str">
        <f aca="false">IFERROR(IF(Productos!A103="","",Productos!G103),"")</f>
        <v/>
      </c>
      <c r="N103" s="6" t="str">
        <f aca="false">IFERROR(IF(A103="","",IF(L103&lt;M103,"BAJO STOCK","OK")),"")</f>
        <v/>
      </c>
    </row>
    <row r="104" customFormat="false" ht="15" hidden="false" customHeight="false" outlineLevel="0" collapsed="false">
      <c r="A104" s="0" t="str">
        <f aca="false">IFERROR(IF(Productos!A104="","",Productos!A104),"")</f>
        <v/>
      </c>
      <c r="B104" s="0" t="str">
        <f aca="false">IFERROR(IF(Productos!A104="","",Productos!B104),"")</f>
        <v/>
      </c>
      <c r="C104" s="0" t="str">
        <f aca="false">IFERROR(IF(Productos!A104="","",Productos!C104),"")</f>
        <v/>
      </c>
      <c r="D104" s="0" t="str">
        <f aca="false">IFERROR(IF(Productos!A104="","",Productos!E104),"")</f>
        <v/>
      </c>
      <c r="E104" s="6" t="str">
        <f aca="false">IFERROR(IF(A104="","",SUMIFS(Movimientos!E:E, Movimientos!D:D, A104, Movimientos!C:C, "Ingreso", Movimientos!G:G, "TIN")+SUMIFS(Movimientos!E:E, Movimientos!D:D, A104, Movimientos!C:C, "Traslado", Movimientos!G:G, "TIN")-SUMIFS(Movimientos!E:E, Movimientos!D:D, A104, Movimientos!C:C, "Traslado", Movimientos!F:F, "TIN")-SUMIFS(Movimientos!E:E, Movimientos!D:D, A104, Movimientos!C:C, "Egreso", Movimientos!F:F, "TIN")+SUMIFS(Movimientos!E:E, Movimientos!D:D, A104, Movimientos!C:C, "Ajuste", Movimientos!F:F, "TIN")),"")</f>
        <v/>
      </c>
      <c r="F104" s="6" t="str">
        <f aca="false">IFERROR(IF(A104="","",SUMIFS(Movimientos!E:E, Movimientos!D:D, A104, Movimientos!C:C, "Ingreso", Movimientos!G:G, "G1000")+SUMIFS(Movimientos!E:E, Movimientos!D:D, A104, Movimientos!C:C, "Traslado", Movimientos!G:G, "G1000")-SUMIFS(Movimientos!E:E, Movimientos!D:D, A104, Movimientos!C:C, "Traslado", Movimientos!F:F, "G1000")-SUMIFS(Movimientos!E:E, Movimientos!D:D, A104, Movimientos!C:C, "Egreso", Movimientos!F:F, "G1000")+SUMIFS(Movimientos!E:E, Movimientos!D:D, A104, Movimientos!C:C, "Ajuste", Movimientos!F:F, "G1000")),"")</f>
        <v/>
      </c>
      <c r="G104" s="6" t="str">
        <f aca="false">IFERROR(IF(A104="","",SUMIFS(Movimientos!E:E, Movimientos!D:D, A104, Movimientos!C:C, "Ingreso", Movimientos!G:G, "G710")+SUMIFS(Movimientos!E:E, Movimientos!D:D, A104, Movimientos!C:C, "Traslado", Movimientos!G:G, "G710")-SUMIFS(Movimientos!E:E, Movimientos!D:D, A104, Movimientos!C:C, "Traslado", Movimientos!F:F, "G710")-SUMIFS(Movimientos!E:E, Movimientos!D:D, A104, Movimientos!C:C, "Egreso", Movimientos!F:F, "G710")+SUMIFS(Movimientos!E:E, Movimientos!D:D, A104, Movimientos!C:C, "Ajuste", Movimientos!F:F, "G710")),"")</f>
        <v/>
      </c>
      <c r="H104" s="6" t="str">
        <f aca="false">IFERROR(IF(A104="","",SUMIFS(Movimientos!E:E, Movimientos!D:D, A104, Movimientos!C:C, "Ingreso", Movimientos!G:G, "G5000")+SUMIFS(Movimientos!E:E, Movimientos!D:D, A104, Movimientos!C:C, "Traslado", Movimientos!G:G, "G5000")-SUMIFS(Movimientos!E:E, Movimientos!D:D, A104, Movimientos!C:C, "Traslado", Movimientos!F:F, "G5000")-SUMIFS(Movimientos!E:E, Movimientos!D:D, A104, Movimientos!C:C, "Egreso", Movimientos!F:F, "G5000")+SUMIFS(Movimientos!E:E, Movimientos!D:D, A104, Movimientos!C:C, "Ajuste", Movimientos!F:F, "G5000")),"")</f>
        <v/>
      </c>
      <c r="I104" s="6" t="str">
        <f aca="false">IFERROR(IF(A104="","",SUMIFS(Movimientos!E:E, Movimientos!D:D, A104, Movimientos!C:C, "Ingreso", Movimientos!G:G, "G3")+SUMIFS(Movimientos!E:E, Movimientos!D:D, A104, Movimientos!C:C, "Traslado", Movimientos!G:G, "G3")-SUMIFS(Movimientos!E:E, Movimientos!D:D, A104, Movimientos!C:C, "Traslado", Movimientos!F:F, "G3")-SUMIFS(Movimientos!E:E, Movimientos!D:D, A104, Movimientos!C:C, "Egreso", Movimientos!F:F, "G3")+SUMIFS(Movimientos!E:E, Movimientos!D:D, A104, Movimientos!C:C, "Ajuste", Movimientos!F:F, "G3")),"")</f>
        <v/>
      </c>
      <c r="J104" s="6" t="str">
        <f aca="false">IFERROR(IF(A104="","",SUM(E104:I104)),"")</f>
        <v/>
      </c>
      <c r="K104" s="6" t="str">
        <f aca="false">IFERROR(IF(A104="","",SUMIFS(Movimientos!E:E, Movimientos!D:D, A104, Movimientos!C:C, "Reserva")-SUMIFS(Movimientos!E:E, Movimientos!D:D, A104, Movimientos!C:C, "Libera_Reserva")),"")</f>
        <v/>
      </c>
      <c r="L104" s="6" t="str">
        <f aca="false">IFERROR(IF(A104="","",J104-K104),"")</f>
        <v/>
      </c>
      <c r="M104" s="6" t="str">
        <f aca="false">IFERROR(IF(Productos!A104="","",Productos!G104),"")</f>
        <v/>
      </c>
      <c r="N104" s="6" t="str">
        <f aca="false">IFERROR(IF(A104="","",IF(L104&lt;M104,"BAJO STOCK","OK")),"")</f>
        <v/>
      </c>
    </row>
    <row r="105" customFormat="false" ht="15" hidden="false" customHeight="false" outlineLevel="0" collapsed="false">
      <c r="A105" s="0" t="str">
        <f aca="false">IFERROR(IF(Productos!A105="","",Productos!A105),"")</f>
        <v/>
      </c>
      <c r="B105" s="0" t="str">
        <f aca="false">IFERROR(IF(Productos!A105="","",Productos!B105),"")</f>
        <v/>
      </c>
      <c r="C105" s="0" t="str">
        <f aca="false">IFERROR(IF(Productos!A105="","",Productos!C105),"")</f>
        <v/>
      </c>
      <c r="D105" s="0" t="str">
        <f aca="false">IFERROR(IF(Productos!A105="","",Productos!E105),"")</f>
        <v/>
      </c>
      <c r="E105" s="6" t="str">
        <f aca="false">IFERROR(IF(A105="","",SUMIFS(Movimientos!E:E, Movimientos!D:D, A105, Movimientos!C:C, "Ingreso", Movimientos!G:G, "TIN")+SUMIFS(Movimientos!E:E, Movimientos!D:D, A105, Movimientos!C:C, "Traslado", Movimientos!G:G, "TIN")-SUMIFS(Movimientos!E:E, Movimientos!D:D, A105, Movimientos!C:C, "Traslado", Movimientos!F:F, "TIN")-SUMIFS(Movimientos!E:E, Movimientos!D:D, A105, Movimientos!C:C, "Egreso", Movimientos!F:F, "TIN")+SUMIFS(Movimientos!E:E, Movimientos!D:D, A105, Movimientos!C:C, "Ajuste", Movimientos!F:F, "TIN")),"")</f>
        <v/>
      </c>
      <c r="F105" s="6" t="str">
        <f aca="false">IFERROR(IF(A105="","",SUMIFS(Movimientos!E:E, Movimientos!D:D, A105, Movimientos!C:C, "Ingreso", Movimientos!G:G, "G1000")+SUMIFS(Movimientos!E:E, Movimientos!D:D, A105, Movimientos!C:C, "Traslado", Movimientos!G:G, "G1000")-SUMIFS(Movimientos!E:E, Movimientos!D:D, A105, Movimientos!C:C, "Traslado", Movimientos!F:F, "G1000")-SUMIFS(Movimientos!E:E, Movimientos!D:D, A105, Movimientos!C:C, "Egreso", Movimientos!F:F, "G1000")+SUMIFS(Movimientos!E:E, Movimientos!D:D, A105, Movimientos!C:C, "Ajuste", Movimientos!F:F, "G1000")),"")</f>
        <v/>
      </c>
      <c r="G105" s="6" t="str">
        <f aca="false">IFERROR(IF(A105="","",SUMIFS(Movimientos!E:E, Movimientos!D:D, A105, Movimientos!C:C, "Ingreso", Movimientos!G:G, "G710")+SUMIFS(Movimientos!E:E, Movimientos!D:D, A105, Movimientos!C:C, "Traslado", Movimientos!G:G, "G710")-SUMIFS(Movimientos!E:E, Movimientos!D:D, A105, Movimientos!C:C, "Traslado", Movimientos!F:F, "G710")-SUMIFS(Movimientos!E:E, Movimientos!D:D, A105, Movimientos!C:C, "Egreso", Movimientos!F:F, "G710")+SUMIFS(Movimientos!E:E, Movimientos!D:D, A105, Movimientos!C:C, "Ajuste", Movimientos!F:F, "G710")),"")</f>
        <v/>
      </c>
      <c r="H105" s="6" t="str">
        <f aca="false">IFERROR(IF(A105="","",SUMIFS(Movimientos!E:E, Movimientos!D:D, A105, Movimientos!C:C, "Ingreso", Movimientos!G:G, "G5000")+SUMIFS(Movimientos!E:E, Movimientos!D:D, A105, Movimientos!C:C, "Traslado", Movimientos!G:G, "G5000")-SUMIFS(Movimientos!E:E, Movimientos!D:D, A105, Movimientos!C:C, "Traslado", Movimientos!F:F, "G5000")-SUMIFS(Movimientos!E:E, Movimientos!D:D, A105, Movimientos!C:C, "Egreso", Movimientos!F:F, "G5000")+SUMIFS(Movimientos!E:E, Movimientos!D:D, A105, Movimientos!C:C, "Ajuste", Movimientos!F:F, "G5000")),"")</f>
        <v/>
      </c>
      <c r="I105" s="6" t="str">
        <f aca="false">IFERROR(IF(A105="","",SUMIFS(Movimientos!E:E, Movimientos!D:D, A105, Movimientos!C:C, "Ingreso", Movimientos!G:G, "G3")+SUMIFS(Movimientos!E:E, Movimientos!D:D, A105, Movimientos!C:C, "Traslado", Movimientos!G:G, "G3")-SUMIFS(Movimientos!E:E, Movimientos!D:D, A105, Movimientos!C:C, "Traslado", Movimientos!F:F, "G3")-SUMIFS(Movimientos!E:E, Movimientos!D:D, A105, Movimientos!C:C, "Egreso", Movimientos!F:F, "G3")+SUMIFS(Movimientos!E:E, Movimientos!D:D, A105, Movimientos!C:C, "Ajuste", Movimientos!F:F, "G3")),"")</f>
        <v/>
      </c>
      <c r="J105" s="6" t="str">
        <f aca="false">IFERROR(IF(A105="","",SUM(E105:I105)),"")</f>
        <v/>
      </c>
      <c r="K105" s="6" t="str">
        <f aca="false">IFERROR(IF(A105="","",SUMIFS(Movimientos!E:E, Movimientos!D:D, A105, Movimientos!C:C, "Reserva")-SUMIFS(Movimientos!E:E, Movimientos!D:D, A105, Movimientos!C:C, "Libera_Reserva")),"")</f>
        <v/>
      </c>
      <c r="L105" s="6" t="str">
        <f aca="false">IFERROR(IF(A105="","",J105-K105),"")</f>
        <v/>
      </c>
      <c r="M105" s="6" t="str">
        <f aca="false">IFERROR(IF(Productos!A105="","",Productos!G105),"")</f>
        <v/>
      </c>
      <c r="N105" s="6" t="str">
        <f aca="false">IFERROR(IF(A105="","",IF(L105&lt;M105,"BAJO STOCK","OK")),"")</f>
        <v/>
      </c>
    </row>
    <row r="106" customFormat="false" ht="15" hidden="false" customHeight="false" outlineLevel="0" collapsed="false">
      <c r="A106" s="0" t="str">
        <f aca="false">IFERROR(IF(Productos!A106="","",Productos!A106),"")</f>
        <v/>
      </c>
      <c r="B106" s="0" t="str">
        <f aca="false">IFERROR(IF(Productos!A106="","",Productos!B106),"")</f>
        <v/>
      </c>
      <c r="C106" s="0" t="str">
        <f aca="false">IFERROR(IF(Productos!A106="","",Productos!C106),"")</f>
        <v/>
      </c>
      <c r="D106" s="0" t="str">
        <f aca="false">IFERROR(IF(Productos!A106="","",Productos!E106),"")</f>
        <v/>
      </c>
      <c r="E106" s="6" t="str">
        <f aca="false">IFERROR(IF(A106="","",SUMIFS(Movimientos!E:E, Movimientos!D:D, A106, Movimientos!C:C, "Ingreso", Movimientos!G:G, "TIN")+SUMIFS(Movimientos!E:E, Movimientos!D:D, A106, Movimientos!C:C, "Traslado", Movimientos!G:G, "TIN")-SUMIFS(Movimientos!E:E, Movimientos!D:D, A106, Movimientos!C:C, "Traslado", Movimientos!F:F, "TIN")-SUMIFS(Movimientos!E:E, Movimientos!D:D, A106, Movimientos!C:C, "Egreso", Movimientos!F:F, "TIN")+SUMIFS(Movimientos!E:E, Movimientos!D:D, A106, Movimientos!C:C, "Ajuste", Movimientos!F:F, "TIN")),"")</f>
        <v/>
      </c>
      <c r="F106" s="6" t="str">
        <f aca="false">IFERROR(IF(A106="","",SUMIFS(Movimientos!E:E, Movimientos!D:D, A106, Movimientos!C:C, "Ingreso", Movimientos!G:G, "G1000")+SUMIFS(Movimientos!E:E, Movimientos!D:D, A106, Movimientos!C:C, "Traslado", Movimientos!G:G, "G1000")-SUMIFS(Movimientos!E:E, Movimientos!D:D, A106, Movimientos!C:C, "Traslado", Movimientos!F:F, "G1000")-SUMIFS(Movimientos!E:E, Movimientos!D:D, A106, Movimientos!C:C, "Egreso", Movimientos!F:F, "G1000")+SUMIFS(Movimientos!E:E, Movimientos!D:D, A106, Movimientos!C:C, "Ajuste", Movimientos!F:F, "G1000")),"")</f>
        <v/>
      </c>
      <c r="G106" s="6" t="str">
        <f aca="false">IFERROR(IF(A106="","",SUMIFS(Movimientos!E:E, Movimientos!D:D, A106, Movimientos!C:C, "Ingreso", Movimientos!G:G, "G710")+SUMIFS(Movimientos!E:E, Movimientos!D:D, A106, Movimientos!C:C, "Traslado", Movimientos!G:G, "G710")-SUMIFS(Movimientos!E:E, Movimientos!D:D, A106, Movimientos!C:C, "Traslado", Movimientos!F:F, "G710")-SUMIFS(Movimientos!E:E, Movimientos!D:D, A106, Movimientos!C:C, "Egreso", Movimientos!F:F, "G710")+SUMIFS(Movimientos!E:E, Movimientos!D:D, A106, Movimientos!C:C, "Ajuste", Movimientos!F:F, "G710")),"")</f>
        <v/>
      </c>
      <c r="H106" s="6" t="str">
        <f aca="false">IFERROR(IF(A106="","",SUMIFS(Movimientos!E:E, Movimientos!D:D, A106, Movimientos!C:C, "Ingreso", Movimientos!G:G, "G5000")+SUMIFS(Movimientos!E:E, Movimientos!D:D, A106, Movimientos!C:C, "Traslado", Movimientos!G:G, "G5000")-SUMIFS(Movimientos!E:E, Movimientos!D:D, A106, Movimientos!C:C, "Traslado", Movimientos!F:F, "G5000")-SUMIFS(Movimientos!E:E, Movimientos!D:D, A106, Movimientos!C:C, "Egreso", Movimientos!F:F, "G5000")+SUMIFS(Movimientos!E:E, Movimientos!D:D, A106, Movimientos!C:C, "Ajuste", Movimientos!F:F, "G5000")),"")</f>
        <v/>
      </c>
      <c r="I106" s="6" t="str">
        <f aca="false">IFERROR(IF(A106="","",SUMIFS(Movimientos!E:E, Movimientos!D:D, A106, Movimientos!C:C, "Ingreso", Movimientos!G:G, "G3")+SUMIFS(Movimientos!E:E, Movimientos!D:D, A106, Movimientos!C:C, "Traslado", Movimientos!G:G, "G3")-SUMIFS(Movimientos!E:E, Movimientos!D:D, A106, Movimientos!C:C, "Traslado", Movimientos!F:F, "G3")-SUMIFS(Movimientos!E:E, Movimientos!D:D, A106, Movimientos!C:C, "Egreso", Movimientos!F:F, "G3")+SUMIFS(Movimientos!E:E, Movimientos!D:D, A106, Movimientos!C:C, "Ajuste", Movimientos!F:F, "G3")),"")</f>
        <v/>
      </c>
      <c r="J106" s="6" t="str">
        <f aca="false">IFERROR(IF(A106="","",SUM(E106:I106)),"")</f>
        <v/>
      </c>
      <c r="K106" s="6" t="str">
        <f aca="false">IFERROR(IF(A106="","",SUMIFS(Movimientos!E:E, Movimientos!D:D, A106, Movimientos!C:C, "Reserva")-SUMIFS(Movimientos!E:E, Movimientos!D:D, A106, Movimientos!C:C, "Libera_Reserva")),"")</f>
        <v/>
      </c>
      <c r="L106" s="6" t="str">
        <f aca="false">IFERROR(IF(A106="","",J106-K106),"")</f>
        <v/>
      </c>
      <c r="M106" s="6" t="str">
        <f aca="false">IFERROR(IF(Productos!A106="","",Productos!G106),"")</f>
        <v/>
      </c>
      <c r="N106" s="6" t="str">
        <f aca="false">IFERROR(IF(A106="","",IF(L106&lt;M106,"BAJO STOCK","OK")),"")</f>
        <v/>
      </c>
    </row>
    <row r="107" customFormat="false" ht="15" hidden="false" customHeight="false" outlineLevel="0" collapsed="false">
      <c r="A107" s="0" t="str">
        <f aca="false">IFERROR(IF(Productos!A107="","",Productos!A107),"")</f>
        <v/>
      </c>
      <c r="B107" s="0" t="str">
        <f aca="false">IFERROR(IF(Productos!A107="","",Productos!B107),"")</f>
        <v/>
      </c>
      <c r="C107" s="0" t="str">
        <f aca="false">IFERROR(IF(Productos!A107="","",Productos!C107),"")</f>
        <v/>
      </c>
      <c r="D107" s="0" t="str">
        <f aca="false">IFERROR(IF(Productos!A107="","",Productos!E107),"")</f>
        <v/>
      </c>
      <c r="E107" s="6" t="str">
        <f aca="false">IFERROR(IF(A107="","",SUMIFS(Movimientos!E:E, Movimientos!D:D, A107, Movimientos!C:C, "Ingreso", Movimientos!G:G, "TIN")+SUMIFS(Movimientos!E:E, Movimientos!D:D, A107, Movimientos!C:C, "Traslado", Movimientos!G:G, "TIN")-SUMIFS(Movimientos!E:E, Movimientos!D:D, A107, Movimientos!C:C, "Traslado", Movimientos!F:F, "TIN")-SUMIFS(Movimientos!E:E, Movimientos!D:D, A107, Movimientos!C:C, "Egreso", Movimientos!F:F, "TIN")+SUMIFS(Movimientos!E:E, Movimientos!D:D, A107, Movimientos!C:C, "Ajuste", Movimientos!F:F, "TIN")),"")</f>
        <v/>
      </c>
      <c r="F107" s="6" t="str">
        <f aca="false">IFERROR(IF(A107="","",SUMIFS(Movimientos!E:E, Movimientos!D:D, A107, Movimientos!C:C, "Ingreso", Movimientos!G:G, "G1000")+SUMIFS(Movimientos!E:E, Movimientos!D:D, A107, Movimientos!C:C, "Traslado", Movimientos!G:G, "G1000")-SUMIFS(Movimientos!E:E, Movimientos!D:D, A107, Movimientos!C:C, "Traslado", Movimientos!F:F, "G1000")-SUMIFS(Movimientos!E:E, Movimientos!D:D, A107, Movimientos!C:C, "Egreso", Movimientos!F:F, "G1000")+SUMIFS(Movimientos!E:E, Movimientos!D:D, A107, Movimientos!C:C, "Ajuste", Movimientos!F:F, "G1000")),"")</f>
        <v/>
      </c>
      <c r="G107" s="6" t="str">
        <f aca="false">IFERROR(IF(A107="","",SUMIFS(Movimientos!E:E, Movimientos!D:D, A107, Movimientos!C:C, "Ingreso", Movimientos!G:G, "G710")+SUMIFS(Movimientos!E:E, Movimientos!D:D, A107, Movimientos!C:C, "Traslado", Movimientos!G:G, "G710")-SUMIFS(Movimientos!E:E, Movimientos!D:D, A107, Movimientos!C:C, "Traslado", Movimientos!F:F, "G710")-SUMIFS(Movimientos!E:E, Movimientos!D:D, A107, Movimientos!C:C, "Egreso", Movimientos!F:F, "G710")+SUMIFS(Movimientos!E:E, Movimientos!D:D, A107, Movimientos!C:C, "Ajuste", Movimientos!F:F, "G710")),"")</f>
        <v/>
      </c>
      <c r="H107" s="6" t="str">
        <f aca="false">IFERROR(IF(A107="","",SUMIFS(Movimientos!E:E, Movimientos!D:D, A107, Movimientos!C:C, "Ingreso", Movimientos!G:G, "G5000")+SUMIFS(Movimientos!E:E, Movimientos!D:D, A107, Movimientos!C:C, "Traslado", Movimientos!G:G, "G5000")-SUMIFS(Movimientos!E:E, Movimientos!D:D, A107, Movimientos!C:C, "Traslado", Movimientos!F:F, "G5000")-SUMIFS(Movimientos!E:E, Movimientos!D:D, A107, Movimientos!C:C, "Egreso", Movimientos!F:F, "G5000")+SUMIFS(Movimientos!E:E, Movimientos!D:D, A107, Movimientos!C:C, "Ajuste", Movimientos!F:F, "G5000")),"")</f>
        <v/>
      </c>
      <c r="I107" s="6" t="str">
        <f aca="false">IFERROR(IF(A107="","",SUMIFS(Movimientos!E:E, Movimientos!D:D, A107, Movimientos!C:C, "Ingreso", Movimientos!G:G, "G3")+SUMIFS(Movimientos!E:E, Movimientos!D:D, A107, Movimientos!C:C, "Traslado", Movimientos!G:G, "G3")-SUMIFS(Movimientos!E:E, Movimientos!D:D, A107, Movimientos!C:C, "Traslado", Movimientos!F:F, "G3")-SUMIFS(Movimientos!E:E, Movimientos!D:D, A107, Movimientos!C:C, "Egreso", Movimientos!F:F, "G3")+SUMIFS(Movimientos!E:E, Movimientos!D:D, A107, Movimientos!C:C, "Ajuste", Movimientos!F:F, "G3")),"")</f>
        <v/>
      </c>
      <c r="J107" s="6" t="str">
        <f aca="false">IFERROR(IF(A107="","",SUM(E107:I107)),"")</f>
        <v/>
      </c>
      <c r="K107" s="6" t="str">
        <f aca="false">IFERROR(IF(A107="","",SUMIFS(Movimientos!E:E, Movimientos!D:D, A107, Movimientos!C:C, "Reserva")-SUMIFS(Movimientos!E:E, Movimientos!D:D, A107, Movimientos!C:C, "Libera_Reserva")),"")</f>
        <v/>
      </c>
      <c r="L107" s="6" t="str">
        <f aca="false">IFERROR(IF(A107="","",J107-K107),"")</f>
        <v/>
      </c>
      <c r="M107" s="6" t="str">
        <f aca="false">IFERROR(IF(Productos!A107="","",Productos!G107),"")</f>
        <v/>
      </c>
      <c r="N107" s="6" t="str">
        <f aca="false">IFERROR(IF(A107="","",IF(L107&lt;M107,"BAJO STOCK","OK")),"")</f>
        <v/>
      </c>
    </row>
    <row r="108" customFormat="false" ht="15" hidden="false" customHeight="false" outlineLevel="0" collapsed="false">
      <c r="A108" s="0" t="str">
        <f aca="false">IFERROR(IF(Productos!A108="","",Productos!A108),"")</f>
        <v/>
      </c>
      <c r="B108" s="0" t="str">
        <f aca="false">IFERROR(IF(Productos!A108="","",Productos!B108),"")</f>
        <v/>
      </c>
      <c r="C108" s="0" t="str">
        <f aca="false">IFERROR(IF(Productos!A108="","",Productos!C108),"")</f>
        <v/>
      </c>
      <c r="D108" s="0" t="str">
        <f aca="false">IFERROR(IF(Productos!A108="","",Productos!E108),"")</f>
        <v/>
      </c>
      <c r="E108" s="6" t="str">
        <f aca="false">IFERROR(IF(A108="","",SUMIFS(Movimientos!E:E, Movimientos!D:D, A108, Movimientos!C:C, "Ingreso", Movimientos!G:G, "TIN")+SUMIFS(Movimientos!E:E, Movimientos!D:D, A108, Movimientos!C:C, "Traslado", Movimientos!G:G, "TIN")-SUMIFS(Movimientos!E:E, Movimientos!D:D, A108, Movimientos!C:C, "Traslado", Movimientos!F:F, "TIN")-SUMIFS(Movimientos!E:E, Movimientos!D:D, A108, Movimientos!C:C, "Egreso", Movimientos!F:F, "TIN")+SUMIFS(Movimientos!E:E, Movimientos!D:D, A108, Movimientos!C:C, "Ajuste", Movimientos!F:F, "TIN")),"")</f>
        <v/>
      </c>
      <c r="F108" s="6" t="str">
        <f aca="false">IFERROR(IF(A108="","",SUMIFS(Movimientos!E:E, Movimientos!D:D, A108, Movimientos!C:C, "Ingreso", Movimientos!G:G, "G1000")+SUMIFS(Movimientos!E:E, Movimientos!D:D, A108, Movimientos!C:C, "Traslado", Movimientos!G:G, "G1000")-SUMIFS(Movimientos!E:E, Movimientos!D:D, A108, Movimientos!C:C, "Traslado", Movimientos!F:F, "G1000")-SUMIFS(Movimientos!E:E, Movimientos!D:D, A108, Movimientos!C:C, "Egreso", Movimientos!F:F, "G1000")+SUMIFS(Movimientos!E:E, Movimientos!D:D, A108, Movimientos!C:C, "Ajuste", Movimientos!F:F, "G1000")),"")</f>
        <v/>
      </c>
      <c r="G108" s="6" t="str">
        <f aca="false">IFERROR(IF(A108="","",SUMIFS(Movimientos!E:E, Movimientos!D:D, A108, Movimientos!C:C, "Ingreso", Movimientos!G:G, "G710")+SUMIFS(Movimientos!E:E, Movimientos!D:D, A108, Movimientos!C:C, "Traslado", Movimientos!G:G, "G710")-SUMIFS(Movimientos!E:E, Movimientos!D:D, A108, Movimientos!C:C, "Traslado", Movimientos!F:F, "G710")-SUMIFS(Movimientos!E:E, Movimientos!D:D, A108, Movimientos!C:C, "Egreso", Movimientos!F:F, "G710")+SUMIFS(Movimientos!E:E, Movimientos!D:D, A108, Movimientos!C:C, "Ajuste", Movimientos!F:F, "G710")),"")</f>
        <v/>
      </c>
      <c r="H108" s="6" t="str">
        <f aca="false">IFERROR(IF(A108="","",SUMIFS(Movimientos!E:E, Movimientos!D:D, A108, Movimientos!C:C, "Ingreso", Movimientos!G:G, "G5000")+SUMIFS(Movimientos!E:E, Movimientos!D:D, A108, Movimientos!C:C, "Traslado", Movimientos!G:G, "G5000")-SUMIFS(Movimientos!E:E, Movimientos!D:D, A108, Movimientos!C:C, "Traslado", Movimientos!F:F, "G5000")-SUMIFS(Movimientos!E:E, Movimientos!D:D, A108, Movimientos!C:C, "Egreso", Movimientos!F:F, "G5000")+SUMIFS(Movimientos!E:E, Movimientos!D:D, A108, Movimientos!C:C, "Ajuste", Movimientos!F:F, "G5000")),"")</f>
        <v/>
      </c>
      <c r="I108" s="6" t="str">
        <f aca="false">IFERROR(IF(A108="","",SUMIFS(Movimientos!E:E, Movimientos!D:D, A108, Movimientos!C:C, "Ingreso", Movimientos!G:G, "G3")+SUMIFS(Movimientos!E:E, Movimientos!D:D, A108, Movimientos!C:C, "Traslado", Movimientos!G:G, "G3")-SUMIFS(Movimientos!E:E, Movimientos!D:D, A108, Movimientos!C:C, "Traslado", Movimientos!F:F, "G3")-SUMIFS(Movimientos!E:E, Movimientos!D:D, A108, Movimientos!C:C, "Egreso", Movimientos!F:F, "G3")+SUMIFS(Movimientos!E:E, Movimientos!D:D, A108, Movimientos!C:C, "Ajuste", Movimientos!F:F, "G3")),"")</f>
        <v/>
      </c>
      <c r="J108" s="6" t="str">
        <f aca="false">IFERROR(IF(A108="","",SUM(E108:I108)),"")</f>
        <v/>
      </c>
      <c r="K108" s="6" t="str">
        <f aca="false">IFERROR(IF(A108="","",SUMIFS(Movimientos!E:E, Movimientos!D:D, A108, Movimientos!C:C, "Reserva")-SUMIFS(Movimientos!E:E, Movimientos!D:D, A108, Movimientos!C:C, "Libera_Reserva")),"")</f>
        <v/>
      </c>
      <c r="L108" s="6" t="str">
        <f aca="false">IFERROR(IF(A108="","",J108-K108),"")</f>
        <v/>
      </c>
      <c r="M108" s="6" t="str">
        <f aca="false">IFERROR(IF(Productos!A108="","",Productos!G108),"")</f>
        <v/>
      </c>
      <c r="N108" s="6" t="str">
        <f aca="false">IFERROR(IF(A108="","",IF(L108&lt;M108,"BAJO STOCK","OK")),"")</f>
        <v/>
      </c>
    </row>
    <row r="109" customFormat="false" ht="15" hidden="false" customHeight="false" outlineLevel="0" collapsed="false">
      <c r="A109" s="0" t="str">
        <f aca="false">IFERROR(IF(Productos!A109="","",Productos!A109),"")</f>
        <v/>
      </c>
      <c r="B109" s="0" t="str">
        <f aca="false">IFERROR(IF(Productos!A109="","",Productos!B109),"")</f>
        <v/>
      </c>
      <c r="C109" s="0" t="str">
        <f aca="false">IFERROR(IF(Productos!A109="","",Productos!C109),"")</f>
        <v/>
      </c>
      <c r="D109" s="0" t="str">
        <f aca="false">IFERROR(IF(Productos!A109="","",Productos!E109),"")</f>
        <v/>
      </c>
      <c r="E109" s="6" t="str">
        <f aca="false">IFERROR(IF(A109="","",SUMIFS(Movimientos!E:E, Movimientos!D:D, A109, Movimientos!C:C, "Ingreso", Movimientos!G:G, "TIN")+SUMIFS(Movimientos!E:E, Movimientos!D:D, A109, Movimientos!C:C, "Traslado", Movimientos!G:G, "TIN")-SUMIFS(Movimientos!E:E, Movimientos!D:D, A109, Movimientos!C:C, "Traslado", Movimientos!F:F, "TIN")-SUMIFS(Movimientos!E:E, Movimientos!D:D, A109, Movimientos!C:C, "Egreso", Movimientos!F:F, "TIN")+SUMIFS(Movimientos!E:E, Movimientos!D:D, A109, Movimientos!C:C, "Ajuste", Movimientos!F:F, "TIN")),"")</f>
        <v/>
      </c>
      <c r="F109" s="6" t="str">
        <f aca="false">IFERROR(IF(A109="","",SUMIFS(Movimientos!E:E, Movimientos!D:D, A109, Movimientos!C:C, "Ingreso", Movimientos!G:G, "G1000")+SUMIFS(Movimientos!E:E, Movimientos!D:D, A109, Movimientos!C:C, "Traslado", Movimientos!G:G, "G1000")-SUMIFS(Movimientos!E:E, Movimientos!D:D, A109, Movimientos!C:C, "Traslado", Movimientos!F:F, "G1000")-SUMIFS(Movimientos!E:E, Movimientos!D:D, A109, Movimientos!C:C, "Egreso", Movimientos!F:F, "G1000")+SUMIFS(Movimientos!E:E, Movimientos!D:D, A109, Movimientos!C:C, "Ajuste", Movimientos!F:F, "G1000")),"")</f>
        <v/>
      </c>
      <c r="G109" s="6" t="str">
        <f aca="false">IFERROR(IF(A109="","",SUMIFS(Movimientos!E:E, Movimientos!D:D, A109, Movimientos!C:C, "Ingreso", Movimientos!G:G, "G710")+SUMIFS(Movimientos!E:E, Movimientos!D:D, A109, Movimientos!C:C, "Traslado", Movimientos!G:G, "G710")-SUMIFS(Movimientos!E:E, Movimientos!D:D, A109, Movimientos!C:C, "Traslado", Movimientos!F:F, "G710")-SUMIFS(Movimientos!E:E, Movimientos!D:D, A109, Movimientos!C:C, "Egreso", Movimientos!F:F, "G710")+SUMIFS(Movimientos!E:E, Movimientos!D:D, A109, Movimientos!C:C, "Ajuste", Movimientos!F:F, "G710")),"")</f>
        <v/>
      </c>
      <c r="H109" s="6" t="str">
        <f aca="false">IFERROR(IF(A109="","",SUMIFS(Movimientos!E:E, Movimientos!D:D, A109, Movimientos!C:C, "Ingreso", Movimientos!G:G, "G5000")+SUMIFS(Movimientos!E:E, Movimientos!D:D, A109, Movimientos!C:C, "Traslado", Movimientos!G:G, "G5000")-SUMIFS(Movimientos!E:E, Movimientos!D:D, A109, Movimientos!C:C, "Traslado", Movimientos!F:F, "G5000")-SUMIFS(Movimientos!E:E, Movimientos!D:D, A109, Movimientos!C:C, "Egreso", Movimientos!F:F, "G5000")+SUMIFS(Movimientos!E:E, Movimientos!D:D, A109, Movimientos!C:C, "Ajuste", Movimientos!F:F, "G5000")),"")</f>
        <v/>
      </c>
      <c r="I109" s="6" t="str">
        <f aca="false">IFERROR(IF(A109="","",SUMIFS(Movimientos!E:E, Movimientos!D:D, A109, Movimientos!C:C, "Ingreso", Movimientos!G:G, "G3")+SUMIFS(Movimientos!E:E, Movimientos!D:D, A109, Movimientos!C:C, "Traslado", Movimientos!G:G, "G3")-SUMIFS(Movimientos!E:E, Movimientos!D:D, A109, Movimientos!C:C, "Traslado", Movimientos!F:F, "G3")-SUMIFS(Movimientos!E:E, Movimientos!D:D, A109, Movimientos!C:C, "Egreso", Movimientos!F:F, "G3")+SUMIFS(Movimientos!E:E, Movimientos!D:D, A109, Movimientos!C:C, "Ajuste", Movimientos!F:F, "G3")),"")</f>
        <v/>
      </c>
      <c r="J109" s="6" t="str">
        <f aca="false">IFERROR(IF(A109="","",SUM(E109:I109)),"")</f>
        <v/>
      </c>
      <c r="K109" s="6" t="str">
        <f aca="false">IFERROR(IF(A109="","",SUMIFS(Movimientos!E:E, Movimientos!D:D, A109, Movimientos!C:C, "Reserva")-SUMIFS(Movimientos!E:E, Movimientos!D:D, A109, Movimientos!C:C, "Libera_Reserva")),"")</f>
        <v/>
      </c>
      <c r="L109" s="6" t="str">
        <f aca="false">IFERROR(IF(A109="","",J109-K109),"")</f>
        <v/>
      </c>
      <c r="M109" s="6" t="str">
        <f aca="false">IFERROR(IF(Productos!A109="","",Productos!G109),"")</f>
        <v/>
      </c>
      <c r="N109" s="6" t="str">
        <f aca="false">IFERROR(IF(A109="","",IF(L109&lt;M109,"BAJO STOCK","OK")),"")</f>
        <v/>
      </c>
    </row>
    <row r="110" customFormat="false" ht="15" hidden="false" customHeight="false" outlineLevel="0" collapsed="false">
      <c r="A110" s="0" t="str">
        <f aca="false">IFERROR(IF(Productos!A110="","",Productos!A110),"")</f>
        <v/>
      </c>
      <c r="B110" s="0" t="str">
        <f aca="false">IFERROR(IF(Productos!A110="","",Productos!B110),"")</f>
        <v/>
      </c>
      <c r="C110" s="0" t="str">
        <f aca="false">IFERROR(IF(Productos!A110="","",Productos!C110),"")</f>
        <v/>
      </c>
      <c r="D110" s="0" t="str">
        <f aca="false">IFERROR(IF(Productos!A110="","",Productos!E110),"")</f>
        <v/>
      </c>
      <c r="E110" s="6" t="str">
        <f aca="false">IFERROR(IF(A110="","",SUMIFS(Movimientos!E:E, Movimientos!D:D, A110, Movimientos!C:C, "Ingreso", Movimientos!G:G, "TIN")+SUMIFS(Movimientos!E:E, Movimientos!D:D, A110, Movimientos!C:C, "Traslado", Movimientos!G:G, "TIN")-SUMIFS(Movimientos!E:E, Movimientos!D:D, A110, Movimientos!C:C, "Traslado", Movimientos!F:F, "TIN")-SUMIFS(Movimientos!E:E, Movimientos!D:D, A110, Movimientos!C:C, "Egreso", Movimientos!F:F, "TIN")+SUMIFS(Movimientos!E:E, Movimientos!D:D, A110, Movimientos!C:C, "Ajuste", Movimientos!F:F, "TIN")),"")</f>
        <v/>
      </c>
      <c r="F110" s="6" t="str">
        <f aca="false">IFERROR(IF(A110="","",SUMIFS(Movimientos!E:E, Movimientos!D:D, A110, Movimientos!C:C, "Ingreso", Movimientos!G:G, "G1000")+SUMIFS(Movimientos!E:E, Movimientos!D:D, A110, Movimientos!C:C, "Traslado", Movimientos!G:G, "G1000")-SUMIFS(Movimientos!E:E, Movimientos!D:D, A110, Movimientos!C:C, "Traslado", Movimientos!F:F, "G1000")-SUMIFS(Movimientos!E:E, Movimientos!D:D, A110, Movimientos!C:C, "Egreso", Movimientos!F:F, "G1000")+SUMIFS(Movimientos!E:E, Movimientos!D:D, A110, Movimientos!C:C, "Ajuste", Movimientos!F:F, "G1000")),"")</f>
        <v/>
      </c>
      <c r="G110" s="6" t="str">
        <f aca="false">IFERROR(IF(A110="","",SUMIFS(Movimientos!E:E, Movimientos!D:D, A110, Movimientos!C:C, "Ingreso", Movimientos!G:G, "G710")+SUMIFS(Movimientos!E:E, Movimientos!D:D, A110, Movimientos!C:C, "Traslado", Movimientos!G:G, "G710")-SUMIFS(Movimientos!E:E, Movimientos!D:D, A110, Movimientos!C:C, "Traslado", Movimientos!F:F, "G710")-SUMIFS(Movimientos!E:E, Movimientos!D:D, A110, Movimientos!C:C, "Egreso", Movimientos!F:F, "G710")+SUMIFS(Movimientos!E:E, Movimientos!D:D, A110, Movimientos!C:C, "Ajuste", Movimientos!F:F, "G710")),"")</f>
        <v/>
      </c>
      <c r="H110" s="6" t="str">
        <f aca="false">IFERROR(IF(A110="","",SUMIFS(Movimientos!E:E, Movimientos!D:D, A110, Movimientos!C:C, "Ingreso", Movimientos!G:G, "G5000")+SUMIFS(Movimientos!E:E, Movimientos!D:D, A110, Movimientos!C:C, "Traslado", Movimientos!G:G, "G5000")-SUMIFS(Movimientos!E:E, Movimientos!D:D, A110, Movimientos!C:C, "Traslado", Movimientos!F:F, "G5000")-SUMIFS(Movimientos!E:E, Movimientos!D:D, A110, Movimientos!C:C, "Egreso", Movimientos!F:F, "G5000")+SUMIFS(Movimientos!E:E, Movimientos!D:D, A110, Movimientos!C:C, "Ajuste", Movimientos!F:F, "G5000")),"")</f>
        <v/>
      </c>
      <c r="I110" s="6" t="str">
        <f aca="false">IFERROR(IF(A110="","",SUMIFS(Movimientos!E:E, Movimientos!D:D, A110, Movimientos!C:C, "Ingreso", Movimientos!G:G, "G3")+SUMIFS(Movimientos!E:E, Movimientos!D:D, A110, Movimientos!C:C, "Traslado", Movimientos!G:G, "G3")-SUMIFS(Movimientos!E:E, Movimientos!D:D, A110, Movimientos!C:C, "Traslado", Movimientos!F:F, "G3")-SUMIFS(Movimientos!E:E, Movimientos!D:D, A110, Movimientos!C:C, "Egreso", Movimientos!F:F, "G3")+SUMIFS(Movimientos!E:E, Movimientos!D:D, A110, Movimientos!C:C, "Ajuste", Movimientos!F:F, "G3")),"")</f>
        <v/>
      </c>
      <c r="J110" s="6" t="str">
        <f aca="false">IFERROR(IF(A110="","",SUM(E110:I110)),"")</f>
        <v/>
      </c>
      <c r="K110" s="6" t="str">
        <f aca="false">IFERROR(IF(A110="","",SUMIFS(Movimientos!E:E, Movimientos!D:D, A110, Movimientos!C:C, "Reserva")-SUMIFS(Movimientos!E:E, Movimientos!D:D, A110, Movimientos!C:C, "Libera_Reserva")),"")</f>
        <v/>
      </c>
      <c r="L110" s="6" t="str">
        <f aca="false">IFERROR(IF(A110="","",J110-K110),"")</f>
        <v/>
      </c>
      <c r="M110" s="6" t="str">
        <f aca="false">IFERROR(IF(Productos!A110="","",Productos!G110),"")</f>
        <v/>
      </c>
      <c r="N110" s="6" t="str">
        <f aca="false">IFERROR(IF(A110="","",IF(L110&lt;M110,"BAJO STOCK","OK")),"")</f>
        <v/>
      </c>
    </row>
    <row r="111" customFormat="false" ht="15" hidden="false" customHeight="false" outlineLevel="0" collapsed="false">
      <c r="A111" s="0" t="str">
        <f aca="false">IFERROR(IF(Productos!A111="","",Productos!A111),"")</f>
        <v/>
      </c>
      <c r="B111" s="0" t="str">
        <f aca="false">IFERROR(IF(Productos!A111="","",Productos!B111),"")</f>
        <v/>
      </c>
      <c r="C111" s="0" t="str">
        <f aca="false">IFERROR(IF(Productos!A111="","",Productos!C111),"")</f>
        <v/>
      </c>
      <c r="D111" s="0" t="str">
        <f aca="false">IFERROR(IF(Productos!A111="","",Productos!E111),"")</f>
        <v/>
      </c>
      <c r="E111" s="6" t="str">
        <f aca="false">IFERROR(IF(A111="","",SUMIFS(Movimientos!E:E, Movimientos!D:D, A111, Movimientos!C:C, "Ingreso", Movimientos!G:G, "TIN")+SUMIFS(Movimientos!E:E, Movimientos!D:D, A111, Movimientos!C:C, "Traslado", Movimientos!G:G, "TIN")-SUMIFS(Movimientos!E:E, Movimientos!D:D, A111, Movimientos!C:C, "Traslado", Movimientos!F:F, "TIN")-SUMIFS(Movimientos!E:E, Movimientos!D:D, A111, Movimientos!C:C, "Egreso", Movimientos!F:F, "TIN")+SUMIFS(Movimientos!E:E, Movimientos!D:D, A111, Movimientos!C:C, "Ajuste", Movimientos!F:F, "TIN")),"")</f>
        <v/>
      </c>
      <c r="F111" s="6" t="str">
        <f aca="false">IFERROR(IF(A111="","",SUMIFS(Movimientos!E:E, Movimientos!D:D, A111, Movimientos!C:C, "Ingreso", Movimientos!G:G, "G1000")+SUMIFS(Movimientos!E:E, Movimientos!D:D, A111, Movimientos!C:C, "Traslado", Movimientos!G:G, "G1000")-SUMIFS(Movimientos!E:E, Movimientos!D:D, A111, Movimientos!C:C, "Traslado", Movimientos!F:F, "G1000")-SUMIFS(Movimientos!E:E, Movimientos!D:D, A111, Movimientos!C:C, "Egreso", Movimientos!F:F, "G1000")+SUMIFS(Movimientos!E:E, Movimientos!D:D, A111, Movimientos!C:C, "Ajuste", Movimientos!F:F, "G1000")),"")</f>
        <v/>
      </c>
      <c r="G111" s="6" t="str">
        <f aca="false">IFERROR(IF(A111="","",SUMIFS(Movimientos!E:E, Movimientos!D:D, A111, Movimientos!C:C, "Ingreso", Movimientos!G:G, "G710")+SUMIFS(Movimientos!E:E, Movimientos!D:D, A111, Movimientos!C:C, "Traslado", Movimientos!G:G, "G710")-SUMIFS(Movimientos!E:E, Movimientos!D:D, A111, Movimientos!C:C, "Traslado", Movimientos!F:F, "G710")-SUMIFS(Movimientos!E:E, Movimientos!D:D, A111, Movimientos!C:C, "Egreso", Movimientos!F:F, "G710")+SUMIFS(Movimientos!E:E, Movimientos!D:D, A111, Movimientos!C:C, "Ajuste", Movimientos!F:F, "G710")),"")</f>
        <v/>
      </c>
      <c r="H111" s="6" t="str">
        <f aca="false">IFERROR(IF(A111="","",SUMIFS(Movimientos!E:E, Movimientos!D:D, A111, Movimientos!C:C, "Ingreso", Movimientos!G:G, "G5000")+SUMIFS(Movimientos!E:E, Movimientos!D:D, A111, Movimientos!C:C, "Traslado", Movimientos!G:G, "G5000")-SUMIFS(Movimientos!E:E, Movimientos!D:D, A111, Movimientos!C:C, "Traslado", Movimientos!F:F, "G5000")-SUMIFS(Movimientos!E:E, Movimientos!D:D, A111, Movimientos!C:C, "Egreso", Movimientos!F:F, "G5000")+SUMIFS(Movimientos!E:E, Movimientos!D:D, A111, Movimientos!C:C, "Ajuste", Movimientos!F:F, "G5000")),"")</f>
        <v/>
      </c>
      <c r="I111" s="6" t="str">
        <f aca="false">IFERROR(IF(A111="","",SUMIFS(Movimientos!E:E, Movimientos!D:D, A111, Movimientos!C:C, "Ingreso", Movimientos!G:G, "G3")+SUMIFS(Movimientos!E:E, Movimientos!D:D, A111, Movimientos!C:C, "Traslado", Movimientos!G:G, "G3")-SUMIFS(Movimientos!E:E, Movimientos!D:D, A111, Movimientos!C:C, "Traslado", Movimientos!F:F, "G3")-SUMIFS(Movimientos!E:E, Movimientos!D:D, A111, Movimientos!C:C, "Egreso", Movimientos!F:F, "G3")+SUMIFS(Movimientos!E:E, Movimientos!D:D, A111, Movimientos!C:C, "Ajuste", Movimientos!F:F, "G3")),"")</f>
        <v/>
      </c>
      <c r="J111" s="6" t="str">
        <f aca="false">IFERROR(IF(A111="","",SUM(E111:I111)),"")</f>
        <v/>
      </c>
      <c r="K111" s="6" t="str">
        <f aca="false">IFERROR(IF(A111="","",SUMIFS(Movimientos!E:E, Movimientos!D:D, A111, Movimientos!C:C, "Reserva")-SUMIFS(Movimientos!E:E, Movimientos!D:D, A111, Movimientos!C:C, "Libera_Reserva")),"")</f>
        <v/>
      </c>
      <c r="L111" s="6" t="str">
        <f aca="false">IFERROR(IF(A111="","",J111-K111),"")</f>
        <v/>
      </c>
      <c r="M111" s="6" t="str">
        <f aca="false">IFERROR(IF(Productos!A111="","",Productos!G111),"")</f>
        <v/>
      </c>
      <c r="N111" s="6" t="str">
        <f aca="false">IFERROR(IF(A111="","",IF(L111&lt;M111,"BAJO STOCK","OK")),"")</f>
        <v/>
      </c>
    </row>
    <row r="112" customFormat="false" ht="15" hidden="false" customHeight="false" outlineLevel="0" collapsed="false">
      <c r="A112" s="0" t="str">
        <f aca="false">IFERROR(IF(Productos!A112="","",Productos!A112),"")</f>
        <v/>
      </c>
      <c r="B112" s="0" t="str">
        <f aca="false">IFERROR(IF(Productos!A112="","",Productos!B112),"")</f>
        <v/>
      </c>
      <c r="C112" s="0" t="str">
        <f aca="false">IFERROR(IF(Productos!A112="","",Productos!C112),"")</f>
        <v/>
      </c>
      <c r="D112" s="0" t="str">
        <f aca="false">IFERROR(IF(Productos!A112="","",Productos!E112),"")</f>
        <v/>
      </c>
      <c r="E112" s="6" t="str">
        <f aca="false">IFERROR(IF(A112="","",SUMIFS(Movimientos!E:E, Movimientos!D:D, A112, Movimientos!C:C, "Ingreso", Movimientos!G:G, "TIN")+SUMIFS(Movimientos!E:E, Movimientos!D:D, A112, Movimientos!C:C, "Traslado", Movimientos!G:G, "TIN")-SUMIFS(Movimientos!E:E, Movimientos!D:D, A112, Movimientos!C:C, "Traslado", Movimientos!F:F, "TIN")-SUMIFS(Movimientos!E:E, Movimientos!D:D, A112, Movimientos!C:C, "Egreso", Movimientos!F:F, "TIN")+SUMIFS(Movimientos!E:E, Movimientos!D:D, A112, Movimientos!C:C, "Ajuste", Movimientos!F:F, "TIN")),"")</f>
        <v/>
      </c>
      <c r="F112" s="6" t="str">
        <f aca="false">IFERROR(IF(A112="","",SUMIFS(Movimientos!E:E, Movimientos!D:D, A112, Movimientos!C:C, "Ingreso", Movimientos!G:G, "G1000")+SUMIFS(Movimientos!E:E, Movimientos!D:D, A112, Movimientos!C:C, "Traslado", Movimientos!G:G, "G1000")-SUMIFS(Movimientos!E:E, Movimientos!D:D, A112, Movimientos!C:C, "Traslado", Movimientos!F:F, "G1000")-SUMIFS(Movimientos!E:E, Movimientos!D:D, A112, Movimientos!C:C, "Egreso", Movimientos!F:F, "G1000")+SUMIFS(Movimientos!E:E, Movimientos!D:D, A112, Movimientos!C:C, "Ajuste", Movimientos!F:F, "G1000")),"")</f>
        <v/>
      </c>
      <c r="G112" s="6" t="str">
        <f aca="false">IFERROR(IF(A112="","",SUMIFS(Movimientos!E:E, Movimientos!D:D, A112, Movimientos!C:C, "Ingreso", Movimientos!G:G, "G710")+SUMIFS(Movimientos!E:E, Movimientos!D:D, A112, Movimientos!C:C, "Traslado", Movimientos!G:G, "G710")-SUMIFS(Movimientos!E:E, Movimientos!D:D, A112, Movimientos!C:C, "Traslado", Movimientos!F:F, "G710")-SUMIFS(Movimientos!E:E, Movimientos!D:D, A112, Movimientos!C:C, "Egreso", Movimientos!F:F, "G710")+SUMIFS(Movimientos!E:E, Movimientos!D:D, A112, Movimientos!C:C, "Ajuste", Movimientos!F:F, "G710")),"")</f>
        <v/>
      </c>
      <c r="H112" s="6" t="str">
        <f aca="false">IFERROR(IF(A112="","",SUMIFS(Movimientos!E:E, Movimientos!D:D, A112, Movimientos!C:C, "Ingreso", Movimientos!G:G, "G5000")+SUMIFS(Movimientos!E:E, Movimientos!D:D, A112, Movimientos!C:C, "Traslado", Movimientos!G:G, "G5000")-SUMIFS(Movimientos!E:E, Movimientos!D:D, A112, Movimientos!C:C, "Traslado", Movimientos!F:F, "G5000")-SUMIFS(Movimientos!E:E, Movimientos!D:D, A112, Movimientos!C:C, "Egreso", Movimientos!F:F, "G5000")+SUMIFS(Movimientos!E:E, Movimientos!D:D, A112, Movimientos!C:C, "Ajuste", Movimientos!F:F, "G5000")),"")</f>
        <v/>
      </c>
      <c r="I112" s="6" t="str">
        <f aca="false">IFERROR(IF(A112="","",SUMIFS(Movimientos!E:E, Movimientos!D:D, A112, Movimientos!C:C, "Ingreso", Movimientos!G:G, "G3")+SUMIFS(Movimientos!E:E, Movimientos!D:D, A112, Movimientos!C:C, "Traslado", Movimientos!G:G, "G3")-SUMIFS(Movimientos!E:E, Movimientos!D:D, A112, Movimientos!C:C, "Traslado", Movimientos!F:F, "G3")-SUMIFS(Movimientos!E:E, Movimientos!D:D, A112, Movimientos!C:C, "Egreso", Movimientos!F:F, "G3")+SUMIFS(Movimientos!E:E, Movimientos!D:D, A112, Movimientos!C:C, "Ajuste", Movimientos!F:F, "G3")),"")</f>
        <v/>
      </c>
      <c r="J112" s="6" t="str">
        <f aca="false">IFERROR(IF(A112="","",SUM(E112:I112)),"")</f>
        <v/>
      </c>
      <c r="K112" s="6" t="str">
        <f aca="false">IFERROR(IF(A112="","",SUMIFS(Movimientos!E:E, Movimientos!D:D, A112, Movimientos!C:C, "Reserva")-SUMIFS(Movimientos!E:E, Movimientos!D:D, A112, Movimientos!C:C, "Libera_Reserva")),"")</f>
        <v/>
      </c>
      <c r="L112" s="6" t="str">
        <f aca="false">IFERROR(IF(A112="","",J112-K112),"")</f>
        <v/>
      </c>
      <c r="M112" s="6" t="str">
        <f aca="false">IFERROR(IF(Productos!A112="","",Productos!G112),"")</f>
        <v/>
      </c>
      <c r="N112" s="6" t="str">
        <f aca="false">IFERROR(IF(A112="","",IF(L112&lt;M112,"BAJO STOCK","OK")),"")</f>
        <v/>
      </c>
    </row>
    <row r="113" customFormat="false" ht="15" hidden="false" customHeight="false" outlineLevel="0" collapsed="false">
      <c r="A113" s="0" t="str">
        <f aca="false">IFERROR(IF(Productos!A113="","",Productos!A113),"")</f>
        <v/>
      </c>
      <c r="B113" s="0" t="str">
        <f aca="false">IFERROR(IF(Productos!A113="","",Productos!B113),"")</f>
        <v/>
      </c>
      <c r="C113" s="0" t="str">
        <f aca="false">IFERROR(IF(Productos!A113="","",Productos!C113),"")</f>
        <v/>
      </c>
      <c r="D113" s="0" t="str">
        <f aca="false">IFERROR(IF(Productos!A113="","",Productos!E113),"")</f>
        <v/>
      </c>
      <c r="E113" s="6" t="str">
        <f aca="false">IFERROR(IF(A113="","",SUMIFS(Movimientos!E:E, Movimientos!D:D, A113, Movimientos!C:C, "Ingreso", Movimientos!G:G, "TIN")+SUMIFS(Movimientos!E:E, Movimientos!D:D, A113, Movimientos!C:C, "Traslado", Movimientos!G:G, "TIN")-SUMIFS(Movimientos!E:E, Movimientos!D:D, A113, Movimientos!C:C, "Traslado", Movimientos!F:F, "TIN")-SUMIFS(Movimientos!E:E, Movimientos!D:D, A113, Movimientos!C:C, "Egreso", Movimientos!F:F, "TIN")+SUMIFS(Movimientos!E:E, Movimientos!D:D, A113, Movimientos!C:C, "Ajuste", Movimientos!F:F, "TIN")),"")</f>
        <v/>
      </c>
      <c r="F113" s="6" t="str">
        <f aca="false">IFERROR(IF(A113="","",SUMIFS(Movimientos!E:E, Movimientos!D:D, A113, Movimientos!C:C, "Ingreso", Movimientos!G:G, "G1000")+SUMIFS(Movimientos!E:E, Movimientos!D:D, A113, Movimientos!C:C, "Traslado", Movimientos!G:G, "G1000")-SUMIFS(Movimientos!E:E, Movimientos!D:D, A113, Movimientos!C:C, "Traslado", Movimientos!F:F, "G1000")-SUMIFS(Movimientos!E:E, Movimientos!D:D, A113, Movimientos!C:C, "Egreso", Movimientos!F:F, "G1000")+SUMIFS(Movimientos!E:E, Movimientos!D:D, A113, Movimientos!C:C, "Ajuste", Movimientos!F:F, "G1000")),"")</f>
        <v/>
      </c>
      <c r="G113" s="6" t="str">
        <f aca="false">IFERROR(IF(A113="","",SUMIFS(Movimientos!E:E, Movimientos!D:D, A113, Movimientos!C:C, "Ingreso", Movimientos!G:G, "G710")+SUMIFS(Movimientos!E:E, Movimientos!D:D, A113, Movimientos!C:C, "Traslado", Movimientos!G:G, "G710")-SUMIFS(Movimientos!E:E, Movimientos!D:D, A113, Movimientos!C:C, "Traslado", Movimientos!F:F, "G710")-SUMIFS(Movimientos!E:E, Movimientos!D:D, A113, Movimientos!C:C, "Egreso", Movimientos!F:F, "G710")+SUMIFS(Movimientos!E:E, Movimientos!D:D, A113, Movimientos!C:C, "Ajuste", Movimientos!F:F, "G710")),"")</f>
        <v/>
      </c>
      <c r="H113" s="6" t="str">
        <f aca="false">IFERROR(IF(A113="","",SUMIFS(Movimientos!E:E, Movimientos!D:D, A113, Movimientos!C:C, "Ingreso", Movimientos!G:G, "G5000")+SUMIFS(Movimientos!E:E, Movimientos!D:D, A113, Movimientos!C:C, "Traslado", Movimientos!G:G, "G5000")-SUMIFS(Movimientos!E:E, Movimientos!D:D, A113, Movimientos!C:C, "Traslado", Movimientos!F:F, "G5000")-SUMIFS(Movimientos!E:E, Movimientos!D:D, A113, Movimientos!C:C, "Egreso", Movimientos!F:F, "G5000")+SUMIFS(Movimientos!E:E, Movimientos!D:D, A113, Movimientos!C:C, "Ajuste", Movimientos!F:F, "G5000")),"")</f>
        <v/>
      </c>
      <c r="I113" s="6" t="str">
        <f aca="false">IFERROR(IF(A113="","",SUMIFS(Movimientos!E:E, Movimientos!D:D, A113, Movimientos!C:C, "Ingreso", Movimientos!G:G, "G3")+SUMIFS(Movimientos!E:E, Movimientos!D:D, A113, Movimientos!C:C, "Traslado", Movimientos!G:G, "G3")-SUMIFS(Movimientos!E:E, Movimientos!D:D, A113, Movimientos!C:C, "Traslado", Movimientos!F:F, "G3")-SUMIFS(Movimientos!E:E, Movimientos!D:D, A113, Movimientos!C:C, "Egreso", Movimientos!F:F, "G3")+SUMIFS(Movimientos!E:E, Movimientos!D:D, A113, Movimientos!C:C, "Ajuste", Movimientos!F:F, "G3")),"")</f>
        <v/>
      </c>
      <c r="J113" s="6" t="str">
        <f aca="false">IFERROR(IF(A113="","",SUM(E113:I113)),"")</f>
        <v/>
      </c>
      <c r="K113" s="6" t="str">
        <f aca="false">IFERROR(IF(A113="","",SUMIFS(Movimientos!E:E, Movimientos!D:D, A113, Movimientos!C:C, "Reserva")-SUMIFS(Movimientos!E:E, Movimientos!D:D, A113, Movimientos!C:C, "Libera_Reserva")),"")</f>
        <v/>
      </c>
      <c r="L113" s="6" t="str">
        <f aca="false">IFERROR(IF(A113="","",J113-K113),"")</f>
        <v/>
      </c>
      <c r="M113" s="6" t="str">
        <f aca="false">IFERROR(IF(Productos!A113="","",Productos!G113),"")</f>
        <v/>
      </c>
      <c r="N113" s="6" t="str">
        <f aca="false">IFERROR(IF(A113="","",IF(L113&lt;M113,"BAJO STOCK","OK")),"")</f>
        <v/>
      </c>
    </row>
    <row r="114" customFormat="false" ht="15" hidden="false" customHeight="false" outlineLevel="0" collapsed="false">
      <c r="A114" s="0" t="str">
        <f aca="false">IFERROR(IF(Productos!A114="","",Productos!A114),"")</f>
        <v/>
      </c>
      <c r="B114" s="0" t="str">
        <f aca="false">IFERROR(IF(Productos!A114="","",Productos!B114),"")</f>
        <v/>
      </c>
      <c r="C114" s="0" t="str">
        <f aca="false">IFERROR(IF(Productos!A114="","",Productos!C114),"")</f>
        <v/>
      </c>
      <c r="D114" s="0" t="str">
        <f aca="false">IFERROR(IF(Productos!A114="","",Productos!E114),"")</f>
        <v/>
      </c>
      <c r="E114" s="6" t="str">
        <f aca="false">IFERROR(IF(A114="","",SUMIFS(Movimientos!E:E, Movimientos!D:D, A114, Movimientos!C:C, "Ingreso", Movimientos!G:G, "TIN")+SUMIFS(Movimientos!E:E, Movimientos!D:D, A114, Movimientos!C:C, "Traslado", Movimientos!G:G, "TIN")-SUMIFS(Movimientos!E:E, Movimientos!D:D, A114, Movimientos!C:C, "Traslado", Movimientos!F:F, "TIN")-SUMIFS(Movimientos!E:E, Movimientos!D:D, A114, Movimientos!C:C, "Egreso", Movimientos!F:F, "TIN")+SUMIFS(Movimientos!E:E, Movimientos!D:D, A114, Movimientos!C:C, "Ajuste", Movimientos!F:F, "TIN")),"")</f>
        <v/>
      </c>
      <c r="F114" s="6" t="str">
        <f aca="false">IFERROR(IF(A114="","",SUMIFS(Movimientos!E:E, Movimientos!D:D, A114, Movimientos!C:C, "Ingreso", Movimientos!G:G, "G1000")+SUMIFS(Movimientos!E:E, Movimientos!D:D, A114, Movimientos!C:C, "Traslado", Movimientos!G:G, "G1000")-SUMIFS(Movimientos!E:E, Movimientos!D:D, A114, Movimientos!C:C, "Traslado", Movimientos!F:F, "G1000")-SUMIFS(Movimientos!E:E, Movimientos!D:D, A114, Movimientos!C:C, "Egreso", Movimientos!F:F, "G1000")+SUMIFS(Movimientos!E:E, Movimientos!D:D, A114, Movimientos!C:C, "Ajuste", Movimientos!F:F, "G1000")),"")</f>
        <v/>
      </c>
      <c r="G114" s="6" t="str">
        <f aca="false">IFERROR(IF(A114="","",SUMIFS(Movimientos!E:E, Movimientos!D:D, A114, Movimientos!C:C, "Ingreso", Movimientos!G:G, "G710")+SUMIFS(Movimientos!E:E, Movimientos!D:D, A114, Movimientos!C:C, "Traslado", Movimientos!G:G, "G710")-SUMIFS(Movimientos!E:E, Movimientos!D:D, A114, Movimientos!C:C, "Traslado", Movimientos!F:F, "G710")-SUMIFS(Movimientos!E:E, Movimientos!D:D, A114, Movimientos!C:C, "Egreso", Movimientos!F:F, "G710")+SUMIFS(Movimientos!E:E, Movimientos!D:D, A114, Movimientos!C:C, "Ajuste", Movimientos!F:F, "G710")),"")</f>
        <v/>
      </c>
      <c r="H114" s="6" t="str">
        <f aca="false">IFERROR(IF(A114="","",SUMIFS(Movimientos!E:E, Movimientos!D:D, A114, Movimientos!C:C, "Ingreso", Movimientos!G:G, "G5000")+SUMIFS(Movimientos!E:E, Movimientos!D:D, A114, Movimientos!C:C, "Traslado", Movimientos!G:G, "G5000")-SUMIFS(Movimientos!E:E, Movimientos!D:D, A114, Movimientos!C:C, "Traslado", Movimientos!F:F, "G5000")-SUMIFS(Movimientos!E:E, Movimientos!D:D, A114, Movimientos!C:C, "Egreso", Movimientos!F:F, "G5000")+SUMIFS(Movimientos!E:E, Movimientos!D:D, A114, Movimientos!C:C, "Ajuste", Movimientos!F:F, "G5000")),"")</f>
        <v/>
      </c>
      <c r="I114" s="6" t="str">
        <f aca="false">IFERROR(IF(A114="","",SUMIFS(Movimientos!E:E, Movimientos!D:D, A114, Movimientos!C:C, "Ingreso", Movimientos!G:G, "G3")+SUMIFS(Movimientos!E:E, Movimientos!D:D, A114, Movimientos!C:C, "Traslado", Movimientos!G:G, "G3")-SUMIFS(Movimientos!E:E, Movimientos!D:D, A114, Movimientos!C:C, "Traslado", Movimientos!F:F, "G3")-SUMIFS(Movimientos!E:E, Movimientos!D:D, A114, Movimientos!C:C, "Egreso", Movimientos!F:F, "G3")+SUMIFS(Movimientos!E:E, Movimientos!D:D, A114, Movimientos!C:C, "Ajuste", Movimientos!F:F, "G3")),"")</f>
        <v/>
      </c>
      <c r="J114" s="6" t="str">
        <f aca="false">IFERROR(IF(A114="","",SUM(E114:I114)),"")</f>
        <v/>
      </c>
      <c r="K114" s="6" t="str">
        <f aca="false">IFERROR(IF(A114="","",SUMIFS(Movimientos!E:E, Movimientos!D:D, A114, Movimientos!C:C, "Reserva")-SUMIFS(Movimientos!E:E, Movimientos!D:D, A114, Movimientos!C:C, "Libera_Reserva")),"")</f>
        <v/>
      </c>
      <c r="L114" s="6" t="str">
        <f aca="false">IFERROR(IF(A114="","",J114-K114),"")</f>
        <v/>
      </c>
      <c r="M114" s="6" t="str">
        <f aca="false">IFERROR(IF(Productos!A114="","",Productos!G114),"")</f>
        <v/>
      </c>
      <c r="N114" s="6" t="str">
        <f aca="false">IFERROR(IF(A114="","",IF(L114&lt;M114,"BAJO STOCK","OK")),"")</f>
        <v/>
      </c>
    </row>
    <row r="115" customFormat="false" ht="15" hidden="false" customHeight="false" outlineLevel="0" collapsed="false">
      <c r="A115" s="0" t="str">
        <f aca="false">IFERROR(IF(Productos!A115="","",Productos!A115),"")</f>
        <v/>
      </c>
      <c r="B115" s="0" t="str">
        <f aca="false">IFERROR(IF(Productos!A115="","",Productos!B115),"")</f>
        <v/>
      </c>
      <c r="C115" s="0" t="str">
        <f aca="false">IFERROR(IF(Productos!A115="","",Productos!C115),"")</f>
        <v/>
      </c>
      <c r="D115" s="0" t="str">
        <f aca="false">IFERROR(IF(Productos!A115="","",Productos!E115),"")</f>
        <v/>
      </c>
      <c r="E115" s="6" t="str">
        <f aca="false">IFERROR(IF(A115="","",SUMIFS(Movimientos!E:E, Movimientos!D:D, A115, Movimientos!C:C, "Ingreso", Movimientos!G:G, "TIN")+SUMIFS(Movimientos!E:E, Movimientos!D:D, A115, Movimientos!C:C, "Traslado", Movimientos!G:G, "TIN")-SUMIFS(Movimientos!E:E, Movimientos!D:D, A115, Movimientos!C:C, "Traslado", Movimientos!F:F, "TIN")-SUMIFS(Movimientos!E:E, Movimientos!D:D, A115, Movimientos!C:C, "Egreso", Movimientos!F:F, "TIN")+SUMIFS(Movimientos!E:E, Movimientos!D:D, A115, Movimientos!C:C, "Ajuste", Movimientos!F:F, "TIN")),"")</f>
        <v/>
      </c>
      <c r="F115" s="6" t="str">
        <f aca="false">IFERROR(IF(A115="","",SUMIFS(Movimientos!E:E, Movimientos!D:D, A115, Movimientos!C:C, "Ingreso", Movimientos!G:G, "G1000")+SUMIFS(Movimientos!E:E, Movimientos!D:D, A115, Movimientos!C:C, "Traslado", Movimientos!G:G, "G1000")-SUMIFS(Movimientos!E:E, Movimientos!D:D, A115, Movimientos!C:C, "Traslado", Movimientos!F:F, "G1000")-SUMIFS(Movimientos!E:E, Movimientos!D:D, A115, Movimientos!C:C, "Egreso", Movimientos!F:F, "G1000")+SUMIFS(Movimientos!E:E, Movimientos!D:D, A115, Movimientos!C:C, "Ajuste", Movimientos!F:F, "G1000")),"")</f>
        <v/>
      </c>
      <c r="G115" s="6" t="str">
        <f aca="false">IFERROR(IF(A115="","",SUMIFS(Movimientos!E:E, Movimientos!D:D, A115, Movimientos!C:C, "Ingreso", Movimientos!G:G, "G710")+SUMIFS(Movimientos!E:E, Movimientos!D:D, A115, Movimientos!C:C, "Traslado", Movimientos!G:G, "G710")-SUMIFS(Movimientos!E:E, Movimientos!D:D, A115, Movimientos!C:C, "Traslado", Movimientos!F:F, "G710")-SUMIFS(Movimientos!E:E, Movimientos!D:D, A115, Movimientos!C:C, "Egreso", Movimientos!F:F, "G710")+SUMIFS(Movimientos!E:E, Movimientos!D:D, A115, Movimientos!C:C, "Ajuste", Movimientos!F:F, "G710")),"")</f>
        <v/>
      </c>
      <c r="H115" s="6" t="str">
        <f aca="false">IFERROR(IF(A115="","",SUMIFS(Movimientos!E:E, Movimientos!D:D, A115, Movimientos!C:C, "Ingreso", Movimientos!G:G, "G5000")+SUMIFS(Movimientos!E:E, Movimientos!D:D, A115, Movimientos!C:C, "Traslado", Movimientos!G:G, "G5000")-SUMIFS(Movimientos!E:E, Movimientos!D:D, A115, Movimientos!C:C, "Traslado", Movimientos!F:F, "G5000")-SUMIFS(Movimientos!E:E, Movimientos!D:D, A115, Movimientos!C:C, "Egreso", Movimientos!F:F, "G5000")+SUMIFS(Movimientos!E:E, Movimientos!D:D, A115, Movimientos!C:C, "Ajuste", Movimientos!F:F, "G5000")),"")</f>
        <v/>
      </c>
      <c r="I115" s="6" t="str">
        <f aca="false">IFERROR(IF(A115="","",SUMIFS(Movimientos!E:E, Movimientos!D:D, A115, Movimientos!C:C, "Ingreso", Movimientos!G:G, "G3")+SUMIFS(Movimientos!E:E, Movimientos!D:D, A115, Movimientos!C:C, "Traslado", Movimientos!G:G, "G3")-SUMIFS(Movimientos!E:E, Movimientos!D:D, A115, Movimientos!C:C, "Traslado", Movimientos!F:F, "G3")-SUMIFS(Movimientos!E:E, Movimientos!D:D, A115, Movimientos!C:C, "Egreso", Movimientos!F:F, "G3")+SUMIFS(Movimientos!E:E, Movimientos!D:D, A115, Movimientos!C:C, "Ajuste", Movimientos!F:F, "G3")),"")</f>
        <v/>
      </c>
      <c r="J115" s="6" t="str">
        <f aca="false">IFERROR(IF(A115="","",SUM(E115:I115)),"")</f>
        <v/>
      </c>
      <c r="K115" s="6" t="str">
        <f aca="false">IFERROR(IF(A115="","",SUMIFS(Movimientos!E:E, Movimientos!D:D, A115, Movimientos!C:C, "Reserva")-SUMIFS(Movimientos!E:E, Movimientos!D:D, A115, Movimientos!C:C, "Libera_Reserva")),"")</f>
        <v/>
      </c>
      <c r="L115" s="6" t="str">
        <f aca="false">IFERROR(IF(A115="","",J115-K115),"")</f>
        <v/>
      </c>
      <c r="M115" s="6" t="str">
        <f aca="false">IFERROR(IF(Productos!A115="","",Productos!G115),"")</f>
        <v/>
      </c>
      <c r="N115" s="6" t="str">
        <f aca="false">IFERROR(IF(A115="","",IF(L115&lt;M115,"BAJO STOCK","OK")),"")</f>
        <v/>
      </c>
    </row>
    <row r="116" customFormat="false" ht="15" hidden="false" customHeight="false" outlineLevel="0" collapsed="false">
      <c r="A116" s="0" t="str">
        <f aca="false">IFERROR(IF(Productos!A116="","",Productos!A116),"")</f>
        <v/>
      </c>
      <c r="B116" s="0" t="str">
        <f aca="false">IFERROR(IF(Productos!A116="","",Productos!B116),"")</f>
        <v/>
      </c>
      <c r="C116" s="0" t="str">
        <f aca="false">IFERROR(IF(Productos!A116="","",Productos!C116),"")</f>
        <v/>
      </c>
      <c r="D116" s="0" t="str">
        <f aca="false">IFERROR(IF(Productos!A116="","",Productos!E116),"")</f>
        <v/>
      </c>
      <c r="E116" s="6" t="str">
        <f aca="false">IFERROR(IF(A116="","",SUMIFS(Movimientos!E:E, Movimientos!D:D, A116, Movimientos!C:C, "Ingreso", Movimientos!G:G, "TIN")+SUMIFS(Movimientos!E:E, Movimientos!D:D, A116, Movimientos!C:C, "Traslado", Movimientos!G:G, "TIN")-SUMIFS(Movimientos!E:E, Movimientos!D:D, A116, Movimientos!C:C, "Traslado", Movimientos!F:F, "TIN")-SUMIFS(Movimientos!E:E, Movimientos!D:D, A116, Movimientos!C:C, "Egreso", Movimientos!F:F, "TIN")+SUMIFS(Movimientos!E:E, Movimientos!D:D, A116, Movimientos!C:C, "Ajuste", Movimientos!F:F, "TIN")),"")</f>
        <v/>
      </c>
      <c r="F116" s="6" t="str">
        <f aca="false">IFERROR(IF(A116="","",SUMIFS(Movimientos!E:E, Movimientos!D:D, A116, Movimientos!C:C, "Ingreso", Movimientos!G:G, "G1000")+SUMIFS(Movimientos!E:E, Movimientos!D:D, A116, Movimientos!C:C, "Traslado", Movimientos!G:G, "G1000")-SUMIFS(Movimientos!E:E, Movimientos!D:D, A116, Movimientos!C:C, "Traslado", Movimientos!F:F, "G1000")-SUMIFS(Movimientos!E:E, Movimientos!D:D, A116, Movimientos!C:C, "Egreso", Movimientos!F:F, "G1000")+SUMIFS(Movimientos!E:E, Movimientos!D:D, A116, Movimientos!C:C, "Ajuste", Movimientos!F:F, "G1000")),"")</f>
        <v/>
      </c>
      <c r="G116" s="6" t="str">
        <f aca="false">IFERROR(IF(A116="","",SUMIFS(Movimientos!E:E, Movimientos!D:D, A116, Movimientos!C:C, "Ingreso", Movimientos!G:G, "G710")+SUMIFS(Movimientos!E:E, Movimientos!D:D, A116, Movimientos!C:C, "Traslado", Movimientos!G:G, "G710")-SUMIFS(Movimientos!E:E, Movimientos!D:D, A116, Movimientos!C:C, "Traslado", Movimientos!F:F, "G710")-SUMIFS(Movimientos!E:E, Movimientos!D:D, A116, Movimientos!C:C, "Egreso", Movimientos!F:F, "G710")+SUMIFS(Movimientos!E:E, Movimientos!D:D, A116, Movimientos!C:C, "Ajuste", Movimientos!F:F, "G710")),"")</f>
        <v/>
      </c>
      <c r="H116" s="6" t="str">
        <f aca="false">IFERROR(IF(A116="","",SUMIFS(Movimientos!E:E, Movimientos!D:D, A116, Movimientos!C:C, "Ingreso", Movimientos!G:G, "G5000")+SUMIFS(Movimientos!E:E, Movimientos!D:D, A116, Movimientos!C:C, "Traslado", Movimientos!G:G, "G5000")-SUMIFS(Movimientos!E:E, Movimientos!D:D, A116, Movimientos!C:C, "Traslado", Movimientos!F:F, "G5000")-SUMIFS(Movimientos!E:E, Movimientos!D:D, A116, Movimientos!C:C, "Egreso", Movimientos!F:F, "G5000")+SUMIFS(Movimientos!E:E, Movimientos!D:D, A116, Movimientos!C:C, "Ajuste", Movimientos!F:F, "G5000")),"")</f>
        <v/>
      </c>
      <c r="I116" s="6" t="str">
        <f aca="false">IFERROR(IF(A116="","",SUMIFS(Movimientos!E:E, Movimientos!D:D, A116, Movimientos!C:C, "Ingreso", Movimientos!G:G, "G3")+SUMIFS(Movimientos!E:E, Movimientos!D:D, A116, Movimientos!C:C, "Traslado", Movimientos!G:G, "G3")-SUMIFS(Movimientos!E:E, Movimientos!D:D, A116, Movimientos!C:C, "Traslado", Movimientos!F:F, "G3")-SUMIFS(Movimientos!E:E, Movimientos!D:D, A116, Movimientos!C:C, "Egreso", Movimientos!F:F, "G3")+SUMIFS(Movimientos!E:E, Movimientos!D:D, A116, Movimientos!C:C, "Ajuste", Movimientos!F:F, "G3")),"")</f>
        <v/>
      </c>
      <c r="J116" s="6" t="str">
        <f aca="false">IFERROR(IF(A116="","",SUM(E116:I116)),"")</f>
        <v/>
      </c>
      <c r="K116" s="6" t="str">
        <f aca="false">IFERROR(IF(A116="","",SUMIFS(Movimientos!E:E, Movimientos!D:D, A116, Movimientos!C:C, "Reserva")-SUMIFS(Movimientos!E:E, Movimientos!D:D, A116, Movimientos!C:C, "Libera_Reserva")),"")</f>
        <v/>
      </c>
      <c r="L116" s="6" t="str">
        <f aca="false">IFERROR(IF(A116="","",J116-K116),"")</f>
        <v/>
      </c>
      <c r="M116" s="6" t="str">
        <f aca="false">IFERROR(IF(Productos!A116="","",Productos!G116),"")</f>
        <v/>
      </c>
      <c r="N116" s="6" t="str">
        <f aca="false">IFERROR(IF(A116="","",IF(L116&lt;M116,"BAJO STOCK","OK")),"")</f>
        <v/>
      </c>
    </row>
    <row r="117" customFormat="false" ht="15" hidden="false" customHeight="false" outlineLevel="0" collapsed="false">
      <c r="A117" s="0" t="str">
        <f aca="false">IFERROR(IF(Productos!A117="","",Productos!A117),"")</f>
        <v/>
      </c>
      <c r="B117" s="0" t="str">
        <f aca="false">IFERROR(IF(Productos!A117="","",Productos!B117),"")</f>
        <v/>
      </c>
      <c r="C117" s="0" t="str">
        <f aca="false">IFERROR(IF(Productos!A117="","",Productos!C117),"")</f>
        <v/>
      </c>
      <c r="D117" s="0" t="str">
        <f aca="false">IFERROR(IF(Productos!A117="","",Productos!E117),"")</f>
        <v/>
      </c>
      <c r="E117" s="6" t="str">
        <f aca="false">IFERROR(IF(A117="","",SUMIFS(Movimientos!E:E, Movimientos!D:D, A117, Movimientos!C:C, "Ingreso", Movimientos!G:G, "TIN")+SUMIFS(Movimientos!E:E, Movimientos!D:D, A117, Movimientos!C:C, "Traslado", Movimientos!G:G, "TIN")-SUMIFS(Movimientos!E:E, Movimientos!D:D, A117, Movimientos!C:C, "Traslado", Movimientos!F:F, "TIN")-SUMIFS(Movimientos!E:E, Movimientos!D:D, A117, Movimientos!C:C, "Egreso", Movimientos!F:F, "TIN")+SUMIFS(Movimientos!E:E, Movimientos!D:D, A117, Movimientos!C:C, "Ajuste", Movimientos!F:F, "TIN")),"")</f>
        <v/>
      </c>
      <c r="F117" s="6" t="str">
        <f aca="false">IFERROR(IF(A117="","",SUMIFS(Movimientos!E:E, Movimientos!D:D, A117, Movimientos!C:C, "Ingreso", Movimientos!G:G, "G1000")+SUMIFS(Movimientos!E:E, Movimientos!D:D, A117, Movimientos!C:C, "Traslado", Movimientos!G:G, "G1000")-SUMIFS(Movimientos!E:E, Movimientos!D:D, A117, Movimientos!C:C, "Traslado", Movimientos!F:F, "G1000")-SUMIFS(Movimientos!E:E, Movimientos!D:D, A117, Movimientos!C:C, "Egreso", Movimientos!F:F, "G1000")+SUMIFS(Movimientos!E:E, Movimientos!D:D, A117, Movimientos!C:C, "Ajuste", Movimientos!F:F, "G1000")),"")</f>
        <v/>
      </c>
      <c r="G117" s="6" t="str">
        <f aca="false">IFERROR(IF(A117="","",SUMIFS(Movimientos!E:E, Movimientos!D:D, A117, Movimientos!C:C, "Ingreso", Movimientos!G:G, "G710")+SUMIFS(Movimientos!E:E, Movimientos!D:D, A117, Movimientos!C:C, "Traslado", Movimientos!G:G, "G710")-SUMIFS(Movimientos!E:E, Movimientos!D:D, A117, Movimientos!C:C, "Traslado", Movimientos!F:F, "G710")-SUMIFS(Movimientos!E:E, Movimientos!D:D, A117, Movimientos!C:C, "Egreso", Movimientos!F:F, "G710")+SUMIFS(Movimientos!E:E, Movimientos!D:D, A117, Movimientos!C:C, "Ajuste", Movimientos!F:F, "G710")),"")</f>
        <v/>
      </c>
      <c r="H117" s="6" t="str">
        <f aca="false">IFERROR(IF(A117="","",SUMIFS(Movimientos!E:E, Movimientos!D:D, A117, Movimientos!C:C, "Ingreso", Movimientos!G:G, "G5000")+SUMIFS(Movimientos!E:E, Movimientos!D:D, A117, Movimientos!C:C, "Traslado", Movimientos!G:G, "G5000")-SUMIFS(Movimientos!E:E, Movimientos!D:D, A117, Movimientos!C:C, "Traslado", Movimientos!F:F, "G5000")-SUMIFS(Movimientos!E:E, Movimientos!D:D, A117, Movimientos!C:C, "Egreso", Movimientos!F:F, "G5000")+SUMIFS(Movimientos!E:E, Movimientos!D:D, A117, Movimientos!C:C, "Ajuste", Movimientos!F:F, "G5000")),"")</f>
        <v/>
      </c>
      <c r="I117" s="6" t="str">
        <f aca="false">IFERROR(IF(A117="","",SUMIFS(Movimientos!E:E, Movimientos!D:D, A117, Movimientos!C:C, "Ingreso", Movimientos!G:G, "G3")+SUMIFS(Movimientos!E:E, Movimientos!D:D, A117, Movimientos!C:C, "Traslado", Movimientos!G:G, "G3")-SUMIFS(Movimientos!E:E, Movimientos!D:D, A117, Movimientos!C:C, "Traslado", Movimientos!F:F, "G3")-SUMIFS(Movimientos!E:E, Movimientos!D:D, A117, Movimientos!C:C, "Egreso", Movimientos!F:F, "G3")+SUMIFS(Movimientos!E:E, Movimientos!D:D, A117, Movimientos!C:C, "Ajuste", Movimientos!F:F, "G3")),"")</f>
        <v/>
      </c>
      <c r="J117" s="6" t="str">
        <f aca="false">IFERROR(IF(A117="","",SUM(E117:I117)),"")</f>
        <v/>
      </c>
      <c r="K117" s="6" t="str">
        <f aca="false">IFERROR(IF(A117="","",SUMIFS(Movimientos!E:E, Movimientos!D:D, A117, Movimientos!C:C, "Reserva")-SUMIFS(Movimientos!E:E, Movimientos!D:D, A117, Movimientos!C:C, "Libera_Reserva")),"")</f>
        <v/>
      </c>
      <c r="L117" s="6" t="str">
        <f aca="false">IFERROR(IF(A117="","",J117-K117),"")</f>
        <v/>
      </c>
      <c r="M117" s="6" t="str">
        <f aca="false">IFERROR(IF(Productos!A117="","",Productos!G117),"")</f>
        <v/>
      </c>
      <c r="N117" s="6" t="str">
        <f aca="false">IFERROR(IF(A117="","",IF(L117&lt;M117,"BAJO STOCK","OK")),"")</f>
        <v/>
      </c>
    </row>
    <row r="118" customFormat="false" ht="15" hidden="false" customHeight="false" outlineLevel="0" collapsed="false">
      <c r="A118" s="0" t="str">
        <f aca="false">IFERROR(IF(Productos!A118="","",Productos!A118),"")</f>
        <v/>
      </c>
      <c r="B118" s="0" t="str">
        <f aca="false">IFERROR(IF(Productos!A118="","",Productos!B118),"")</f>
        <v/>
      </c>
      <c r="C118" s="0" t="str">
        <f aca="false">IFERROR(IF(Productos!A118="","",Productos!C118),"")</f>
        <v/>
      </c>
      <c r="D118" s="0" t="str">
        <f aca="false">IFERROR(IF(Productos!A118="","",Productos!E118),"")</f>
        <v/>
      </c>
      <c r="E118" s="6" t="str">
        <f aca="false">IFERROR(IF(A118="","",SUMIFS(Movimientos!E:E, Movimientos!D:D, A118, Movimientos!C:C, "Ingreso", Movimientos!G:G, "TIN")+SUMIFS(Movimientos!E:E, Movimientos!D:D, A118, Movimientos!C:C, "Traslado", Movimientos!G:G, "TIN")-SUMIFS(Movimientos!E:E, Movimientos!D:D, A118, Movimientos!C:C, "Traslado", Movimientos!F:F, "TIN")-SUMIFS(Movimientos!E:E, Movimientos!D:D, A118, Movimientos!C:C, "Egreso", Movimientos!F:F, "TIN")+SUMIFS(Movimientos!E:E, Movimientos!D:D, A118, Movimientos!C:C, "Ajuste", Movimientos!F:F, "TIN")),"")</f>
        <v/>
      </c>
      <c r="F118" s="6" t="str">
        <f aca="false">IFERROR(IF(A118="","",SUMIFS(Movimientos!E:E, Movimientos!D:D, A118, Movimientos!C:C, "Ingreso", Movimientos!G:G, "G1000")+SUMIFS(Movimientos!E:E, Movimientos!D:D, A118, Movimientos!C:C, "Traslado", Movimientos!G:G, "G1000")-SUMIFS(Movimientos!E:E, Movimientos!D:D, A118, Movimientos!C:C, "Traslado", Movimientos!F:F, "G1000")-SUMIFS(Movimientos!E:E, Movimientos!D:D, A118, Movimientos!C:C, "Egreso", Movimientos!F:F, "G1000")+SUMIFS(Movimientos!E:E, Movimientos!D:D, A118, Movimientos!C:C, "Ajuste", Movimientos!F:F, "G1000")),"")</f>
        <v/>
      </c>
      <c r="G118" s="6" t="str">
        <f aca="false">IFERROR(IF(A118="","",SUMIFS(Movimientos!E:E, Movimientos!D:D, A118, Movimientos!C:C, "Ingreso", Movimientos!G:G, "G710")+SUMIFS(Movimientos!E:E, Movimientos!D:D, A118, Movimientos!C:C, "Traslado", Movimientos!G:G, "G710")-SUMIFS(Movimientos!E:E, Movimientos!D:D, A118, Movimientos!C:C, "Traslado", Movimientos!F:F, "G710")-SUMIFS(Movimientos!E:E, Movimientos!D:D, A118, Movimientos!C:C, "Egreso", Movimientos!F:F, "G710")+SUMIFS(Movimientos!E:E, Movimientos!D:D, A118, Movimientos!C:C, "Ajuste", Movimientos!F:F, "G710")),"")</f>
        <v/>
      </c>
      <c r="H118" s="6" t="str">
        <f aca="false">IFERROR(IF(A118="","",SUMIFS(Movimientos!E:E, Movimientos!D:D, A118, Movimientos!C:C, "Ingreso", Movimientos!G:G, "G5000")+SUMIFS(Movimientos!E:E, Movimientos!D:D, A118, Movimientos!C:C, "Traslado", Movimientos!G:G, "G5000")-SUMIFS(Movimientos!E:E, Movimientos!D:D, A118, Movimientos!C:C, "Traslado", Movimientos!F:F, "G5000")-SUMIFS(Movimientos!E:E, Movimientos!D:D, A118, Movimientos!C:C, "Egreso", Movimientos!F:F, "G5000")+SUMIFS(Movimientos!E:E, Movimientos!D:D, A118, Movimientos!C:C, "Ajuste", Movimientos!F:F, "G5000")),"")</f>
        <v/>
      </c>
      <c r="I118" s="6" t="str">
        <f aca="false">IFERROR(IF(A118="","",SUMIFS(Movimientos!E:E, Movimientos!D:D, A118, Movimientos!C:C, "Ingreso", Movimientos!G:G, "G3")+SUMIFS(Movimientos!E:E, Movimientos!D:D, A118, Movimientos!C:C, "Traslado", Movimientos!G:G, "G3")-SUMIFS(Movimientos!E:E, Movimientos!D:D, A118, Movimientos!C:C, "Traslado", Movimientos!F:F, "G3")-SUMIFS(Movimientos!E:E, Movimientos!D:D, A118, Movimientos!C:C, "Egreso", Movimientos!F:F, "G3")+SUMIFS(Movimientos!E:E, Movimientos!D:D, A118, Movimientos!C:C, "Ajuste", Movimientos!F:F, "G3")),"")</f>
        <v/>
      </c>
      <c r="J118" s="6" t="str">
        <f aca="false">IFERROR(IF(A118="","",SUM(E118:I118)),"")</f>
        <v/>
      </c>
      <c r="K118" s="6" t="str">
        <f aca="false">IFERROR(IF(A118="","",SUMIFS(Movimientos!E:E, Movimientos!D:D, A118, Movimientos!C:C, "Reserva")-SUMIFS(Movimientos!E:E, Movimientos!D:D, A118, Movimientos!C:C, "Libera_Reserva")),"")</f>
        <v/>
      </c>
      <c r="L118" s="6" t="str">
        <f aca="false">IFERROR(IF(A118="","",J118-K118),"")</f>
        <v/>
      </c>
      <c r="M118" s="6" t="str">
        <f aca="false">IFERROR(IF(Productos!A118="","",Productos!G118),"")</f>
        <v/>
      </c>
      <c r="N118" s="6" t="str">
        <f aca="false">IFERROR(IF(A118="","",IF(L118&lt;M118,"BAJO STOCK","OK")),"")</f>
        <v/>
      </c>
    </row>
    <row r="119" customFormat="false" ht="15" hidden="false" customHeight="false" outlineLevel="0" collapsed="false">
      <c r="A119" s="0" t="str">
        <f aca="false">IFERROR(IF(Productos!A119="","",Productos!A119),"")</f>
        <v/>
      </c>
      <c r="B119" s="0" t="str">
        <f aca="false">IFERROR(IF(Productos!A119="","",Productos!B119),"")</f>
        <v/>
      </c>
      <c r="C119" s="0" t="str">
        <f aca="false">IFERROR(IF(Productos!A119="","",Productos!C119),"")</f>
        <v/>
      </c>
      <c r="D119" s="0" t="str">
        <f aca="false">IFERROR(IF(Productos!A119="","",Productos!E119),"")</f>
        <v/>
      </c>
      <c r="E119" s="6" t="str">
        <f aca="false">IFERROR(IF(A119="","",SUMIFS(Movimientos!E:E, Movimientos!D:D, A119, Movimientos!C:C, "Ingreso", Movimientos!G:G, "TIN")+SUMIFS(Movimientos!E:E, Movimientos!D:D, A119, Movimientos!C:C, "Traslado", Movimientos!G:G, "TIN")-SUMIFS(Movimientos!E:E, Movimientos!D:D, A119, Movimientos!C:C, "Traslado", Movimientos!F:F, "TIN")-SUMIFS(Movimientos!E:E, Movimientos!D:D, A119, Movimientos!C:C, "Egreso", Movimientos!F:F, "TIN")+SUMIFS(Movimientos!E:E, Movimientos!D:D, A119, Movimientos!C:C, "Ajuste", Movimientos!F:F, "TIN")),"")</f>
        <v/>
      </c>
      <c r="F119" s="6" t="str">
        <f aca="false">IFERROR(IF(A119="","",SUMIFS(Movimientos!E:E, Movimientos!D:D, A119, Movimientos!C:C, "Ingreso", Movimientos!G:G, "G1000")+SUMIFS(Movimientos!E:E, Movimientos!D:D, A119, Movimientos!C:C, "Traslado", Movimientos!G:G, "G1000")-SUMIFS(Movimientos!E:E, Movimientos!D:D, A119, Movimientos!C:C, "Traslado", Movimientos!F:F, "G1000")-SUMIFS(Movimientos!E:E, Movimientos!D:D, A119, Movimientos!C:C, "Egreso", Movimientos!F:F, "G1000")+SUMIFS(Movimientos!E:E, Movimientos!D:D, A119, Movimientos!C:C, "Ajuste", Movimientos!F:F, "G1000")),"")</f>
        <v/>
      </c>
      <c r="G119" s="6" t="str">
        <f aca="false">IFERROR(IF(A119="","",SUMIFS(Movimientos!E:E, Movimientos!D:D, A119, Movimientos!C:C, "Ingreso", Movimientos!G:G, "G710")+SUMIFS(Movimientos!E:E, Movimientos!D:D, A119, Movimientos!C:C, "Traslado", Movimientos!G:G, "G710")-SUMIFS(Movimientos!E:E, Movimientos!D:D, A119, Movimientos!C:C, "Traslado", Movimientos!F:F, "G710")-SUMIFS(Movimientos!E:E, Movimientos!D:D, A119, Movimientos!C:C, "Egreso", Movimientos!F:F, "G710")+SUMIFS(Movimientos!E:E, Movimientos!D:D, A119, Movimientos!C:C, "Ajuste", Movimientos!F:F, "G710")),"")</f>
        <v/>
      </c>
      <c r="H119" s="6" t="str">
        <f aca="false">IFERROR(IF(A119="","",SUMIFS(Movimientos!E:E, Movimientos!D:D, A119, Movimientos!C:C, "Ingreso", Movimientos!G:G, "G5000")+SUMIFS(Movimientos!E:E, Movimientos!D:D, A119, Movimientos!C:C, "Traslado", Movimientos!G:G, "G5000")-SUMIFS(Movimientos!E:E, Movimientos!D:D, A119, Movimientos!C:C, "Traslado", Movimientos!F:F, "G5000")-SUMIFS(Movimientos!E:E, Movimientos!D:D, A119, Movimientos!C:C, "Egreso", Movimientos!F:F, "G5000")+SUMIFS(Movimientos!E:E, Movimientos!D:D, A119, Movimientos!C:C, "Ajuste", Movimientos!F:F, "G5000")),"")</f>
        <v/>
      </c>
      <c r="I119" s="6" t="str">
        <f aca="false">IFERROR(IF(A119="","",SUMIFS(Movimientos!E:E, Movimientos!D:D, A119, Movimientos!C:C, "Ingreso", Movimientos!G:G, "G3")+SUMIFS(Movimientos!E:E, Movimientos!D:D, A119, Movimientos!C:C, "Traslado", Movimientos!G:G, "G3")-SUMIFS(Movimientos!E:E, Movimientos!D:D, A119, Movimientos!C:C, "Traslado", Movimientos!F:F, "G3")-SUMIFS(Movimientos!E:E, Movimientos!D:D, A119, Movimientos!C:C, "Egreso", Movimientos!F:F, "G3")+SUMIFS(Movimientos!E:E, Movimientos!D:D, A119, Movimientos!C:C, "Ajuste", Movimientos!F:F, "G3")),"")</f>
        <v/>
      </c>
      <c r="J119" s="6" t="str">
        <f aca="false">IFERROR(IF(A119="","",SUM(E119:I119)),"")</f>
        <v/>
      </c>
      <c r="K119" s="6" t="str">
        <f aca="false">IFERROR(IF(A119="","",SUMIFS(Movimientos!E:E, Movimientos!D:D, A119, Movimientos!C:C, "Reserva")-SUMIFS(Movimientos!E:E, Movimientos!D:D, A119, Movimientos!C:C, "Libera_Reserva")),"")</f>
        <v/>
      </c>
      <c r="L119" s="6" t="str">
        <f aca="false">IFERROR(IF(A119="","",J119-K119),"")</f>
        <v/>
      </c>
      <c r="M119" s="6" t="str">
        <f aca="false">IFERROR(IF(Productos!A119="","",Productos!G119),"")</f>
        <v/>
      </c>
      <c r="N119" s="6" t="str">
        <f aca="false">IFERROR(IF(A119="","",IF(L119&lt;M119,"BAJO STOCK","OK")),"")</f>
        <v/>
      </c>
    </row>
    <row r="120" customFormat="false" ht="15" hidden="false" customHeight="false" outlineLevel="0" collapsed="false">
      <c r="A120" s="0" t="str">
        <f aca="false">IFERROR(IF(Productos!A120="","",Productos!A120),"")</f>
        <v/>
      </c>
      <c r="B120" s="0" t="str">
        <f aca="false">IFERROR(IF(Productos!A120="","",Productos!B120),"")</f>
        <v/>
      </c>
      <c r="C120" s="0" t="str">
        <f aca="false">IFERROR(IF(Productos!A120="","",Productos!C120),"")</f>
        <v/>
      </c>
      <c r="D120" s="0" t="str">
        <f aca="false">IFERROR(IF(Productos!A120="","",Productos!E120),"")</f>
        <v/>
      </c>
      <c r="E120" s="6" t="str">
        <f aca="false">IFERROR(IF(A120="","",SUMIFS(Movimientos!E:E, Movimientos!D:D, A120, Movimientos!C:C, "Ingreso", Movimientos!G:G, "TIN")+SUMIFS(Movimientos!E:E, Movimientos!D:D, A120, Movimientos!C:C, "Traslado", Movimientos!G:G, "TIN")-SUMIFS(Movimientos!E:E, Movimientos!D:D, A120, Movimientos!C:C, "Traslado", Movimientos!F:F, "TIN")-SUMIFS(Movimientos!E:E, Movimientos!D:D, A120, Movimientos!C:C, "Egreso", Movimientos!F:F, "TIN")+SUMIFS(Movimientos!E:E, Movimientos!D:D, A120, Movimientos!C:C, "Ajuste", Movimientos!F:F, "TIN")),"")</f>
        <v/>
      </c>
      <c r="F120" s="6" t="str">
        <f aca="false">IFERROR(IF(A120="","",SUMIFS(Movimientos!E:E, Movimientos!D:D, A120, Movimientos!C:C, "Ingreso", Movimientos!G:G, "G1000")+SUMIFS(Movimientos!E:E, Movimientos!D:D, A120, Movimientos!C:C, "Traslado", Movimientos!G:G, "G1000")-SUMIFS(Movimientos!E:E, Movimientos!D:D, A120, Movimientos!C:C, "Traslado", Movimientos!F:F, "G1000")-SUMIFS(Movimientos!E:E, Movimientos!D:D, A120, Movimientos!C:C, "Egreso", Movimientos!F:F, "G1000")+SUMIFS(Movimientos!E:E, Movimientos!D:D, A120, Movimientos!C:C, "Ajuste", Movimientos!F:F, "G1000")),"")</f>
        <v/>
      </c>
      <c r="G120" s="6" t="str">
        <f aca="false">IFERROR(IF(A120="","",SUMIFS(Movimientos!E:E, Movimientos!D:D, A120, Movimientos!C:C, "Ingreso", Movimientos!G:G, "G710")+SUMIFS(Movimientos!E:E, Movimientos!D:D, A120, Movimientos!C:C, "Traslado", Movimientos!G:G, "G710")-SUMIFS(Movimientos!E:E, Movimientos!D:D, A120, Movimientos!C:C, "Traslado", Movimientos!F:F, "G710")-SUMIFS(Movimientos!E:E, Movimientos!D:D, A120, Movimientos!C:C, "Egreso", Movimientos!F:F, "G710")+SUMIFS(Movimientos!E:E, Movimientos!D:D, A120, Movimientos!C:C, "Ajuste", Movimientos!F:F, "G710")),"")</f>
        <v/>
      </c>
      <c r="H120" s="6" t="str">
        <f aca="false">IFERROR(IF(A120="","",SUMIFS(Movimientos!E:E, Movimientos!D:D, A120, Movimientos!C:C, "Ingreso", Movimientos!G:G, "G5000")+SUMIFS(Movimientos!E:E, Movimientos!D:D, A120, Movimientos!C:C, "Traslado", Movimientos!G:G, "G5000")-SUMIFS(Movimientos!E:E, Movimientos!D:D, A120, Movimientos!C:C, "Traslado", Movimientos!F:F, "G5000")-SUMIFS(Movimientos!E:E, Movimientos!D:D, A120, Movimientos!C:C, "Egreso", Movimientos!F:F, "G5000")+SUMIFS(Movimientos!E:E, Movimientos!D:D, A120, Movimientos!C:C, "Ajuste", Movimientos!F:F, "G5000")),"")</f>
        <v/>
      </c>
      <c r="I120" s="6" t="str">
        <f aca="false">IFERROR(IF(A120="","",SUMIFS(Movimientos!E:E, Movimientos!D:D, A120, Movimientos!C:C, "Ingreso", Movimientos!G:G, "G3")+SUMIFS(Movimientos!E:E, Movimientos!D:D, A120, Movimientos!C:C, "Traslado", Movimientos!G:G, "G3")-SUMIFS(Movimientos!E:E, Movimientos!D:D, A120, Movimientos!C:C, "Traslado", Movimientos!F:F, "G3")-SUMIFS(Movimientos!E:E, Movimientos!D:D, A120, Movimientos!C:C, "Egreso", Movimientos!F:F, "G3")+SUMIFS(Movimientos!E:E, Movimientos!D:D, A120, Movimientos!C:C, "Ajuste", Movimientos!F:F, "G3")),"")</f>
        <v/>
      </c>
      <c r="J120" s="6" t="str">
        <f aca="false">IFERROR(IF(A120="","",SUM(E120:I120)),"")</f>
        <v/>
      </c>
      <c r="K120" s="6" t="str">
        <f aca="false">IFERROR(IF(A120="","",SUMIFS(Movimientos!E:E, Movimientos!D:D, A120, Movimientos!C:C, "Reserva")-SUMIFS(Movimientos!E:E, Movimientos!D:D, A120, Movimientos!C:C, "Libera_Reserva")),"")</f>
        <v/>
      </c>
      <c r="L120" s="6" t="str">
        <f aca="false">IFERROR(IF(A120="","",J120-K120),"")</f>
        <v/>
      </c>
      <c r="M120" s="6" t="str">
        <f aca="false">IFERROR(IF(Productos!A120="","",Productos!G120),"")</f>
        <v/>
      </c>
      <c r="N120" s="6" t="str">
        <f aca="false">IFERROR(IF(A120="","",IF(L120&lt;M120,"BAJO STOCK","OK")),"")</f>
        <v/>
      </c>
    </row>
    <row r="121" customFormat="false" ht="15" hidden="false" customHeight="false" outlineLevel="0" collapsed="false">
      <c r="A121" s="0" t="str">
        <f aca="false">IFERROR(IF(Productos!A121="","",Productos!A121),"")</f>
        <v/>
      </c>
      <c r="B121" s="0" t="str">
        <f aca="false">IFERROR(IF(Productos!A121="","",Productos!B121),"")</f>
        <v/>
      </c>
      <c r="C121" s="0" t="str">
        <f aca="false">IFERROR(IF(Productos!A121="","",Productos!C121),"")</f>
        <v/>
      </c>
      <c r="D121" s="0" t="str">
        <f aca="false">IFERROR(IF(Productos!A121="","",Productos!E121),"")</f>
        <v/>
      </c>
      <c r="E121" s="6" t="str">
        <f aca="false">IFERROR(IF(A121="","",SUMIFS(Movimientos!E:E, Movimientos!D:D, A121, Movimientos!C:C, "Ingreso", Movimientos!G:G, "TIN")+SUMIFS(Movimientos!E:E, Movimientos!D:D, A121, Movimientos!C:C, "Traslado", Movimientos!G:G, "TIN")-SUMIFS(Movimientos!E:E, Movimientos!D:D, A121, Movimientos!C:C, "Traslado", Movimientos!F:F, "TIN")-SUMIFS(Movimientos!E:E, Movimientos!D:D, A121, Movimientos!C:C, "Egreso", Movimientos!F:F, "TIN")+SUMIFS(Movimientos!E:E, Movimientos!D:D, A121, Movimientos!C:C, "Ajuste", Movimientos!F:F, "TIN")),"")</f>
        <v/>
      </c>
      <c r="F121" s="6" t="str">
        <f aca="false">IFERROR(IF(A121="","",SUMIFS(Movimientos!E:E, Movimientos!D:D, A121, Movimientos!C:C, "Ingreso", Movimientos!G:G, "G1000")+SUMIFS(Movimientos!E:E, Movimientos!D:D, A121, Movimientos!C:C, "Traslado", Movimientos!G:G, "G1000")-SUMIFS(Movimientos!E:E, Movimientos!D:D, A121, Movimientos!C:C, "Traslado", Movimientos!F:F, "G1000")-SUMIFS(Movimientos!E:E, Movimientos!D:D, A121, Movimientos!C:C, "Egreso", Movimientos!F:F, "G1000")+SUMIFS(Movimientos!E:E, Movimientos!D:D, A121, Movimientos!C:C, "Ajuste", Movimientos!F:F, "G1000")),"")</f>
        <v/>
      </c>
      <c r="G121" s="6" t="str">
        <f aca="false">IFERROR(IF(A121="","",SUMIFS(Movimientos!E:E, Movimientos!D:D, A121, Movimientos!C:C, "Ingreso", Movimientos!G:G, "G710")+SUMIFS(Movimientos!E:E, Movimientos!D:D, A121, Movimientos!C:C, "Traslado", Movimientos!G:G, "G710")-SUMIFS(Movimientos!E:E, Movimientos!D:D, A121, Movimientos!C:C, "Traslado", Movimientos!F:F, "G710")-SUMIFS(Movimientos!E:E, Movimientos!D:D, A121, Movimientos!C:C, "Egreso", Movimientos!F:F, "G710")+SUMIFS(Movimientos!E:E, Movimientos!D:D, A121, Movimientos!C:C, "Ajuste", Movimientos!F:F, "G710")),"")</f>
        <v/>
      </c>
      <c r="H121" s="6" t="str">
        <f aca="false">IFERROR(IF(A121="","",SUMIFS(Movimientos!E:E, Movimientos!D:D, A121, Movimientos!C:C, "Ingreso", Movimientos!G:G, "G5000")+SUMIFS(Movimientos!E:E, Movimientos!D:D, A121, Movimientos!C:C, "Traslado", Movimientos!G:G, "G5000")-SUMIFS(Movimientos!E:E, Movimientos!D:D, A121, Movimientos!C:C, "Traslado", Movimientos!F:F, "G5000")-SUMIFS(Movimientos!E:E, Movimientos!D:D, A121, Movimientos!C:C, "Egreso", Movimientos!F:F, "G5000")+SUMIFS(Movimientos!E:E, Movimientos!D:D, A121, Movimientos!C:C, "Ajuste", Movimientos!F:F, "G5000")),"")</f>
        <v/>
      </c>
      <c r="I121" s="6" t="str">
        <f aca="false">IFERROR(IF(A121="","",SUMIFS(Movimientos!E:E, Movimientos!D:D, A121, Movimientos!C:C, "Ingreso", Movimientos!G:G, "G3")+SUMIFS(Movimientos!E:E, Movimientos!D:D, A121, Movimientos!C:C, "Traslado", Movimientos!G:G, "G3")-SUMIFS(Movimientos!E:E, Movimientos!D:D, A121, Movimientos!C:C, "Traslado", Movimientos!F:F, "G3")-SUMIFS(Movimientos!E:E, Movimientos!D:D, A121, Movimientos!C:C, "Egreso", Movimientos!F:F, "G3")+SUMIFS(Movimientos!E:E, Movimientos!D:D, A121, Movimientos!C:C, "Ajuste", Movimientos!F:F, "G3")),"")</f>
        <v/>
      </c>
      <c r="J121" s="6" t="str">
        <f aca="false">IFERROR(IF(A121="","",SUM(E121:I121)),"")</f>
        <v/>
      </c>
      <c r="K121" s="6" t="str">
        <f aca="false">IFERROR(IF(A121="","",SUMIFS(Movimientos!E:E, Movimientos!D:D, A121, Movimientos!C:C, "Reserva")-SUMIFS(Movimientos!E:E, Movimientos!D:D, A121, Movimientos!C:C, "Libera_Reserva")),"")</f>
        <v/>
      </c>
      <c r="L121" s="6" t="str">
        <f aca="false">IFERROR(IF(A121="","",J121-K121),"")</f>
        <v/>
      </c>
      <c r="M121" s="6" t="str">
        <f aca="false">IFERROR(IF(Productos!A121="","",Productos!G121),"")</f>
        <v/>
      </c>
      <c r="N121" s="6" t="str">
        <f aca="false">IFERROR(IF(A121="","",IF(L121&lt;M121,"BAJO STOCK","OK")),"")</f>
        <v/>
      </c>
    </row>
    <row r="122" customFormat="false" ht="15" hidden="false" customHeight="false" outlineLevel="0" collapsed="false">
      <c r="A122" s="0" t="str">
        <f aca="false">IFERROR(IF(Productos!A122="","",Productos!A122),"")</f>
        <v/>
      </c>
      <c r="B122" s="0" t="str">
        <f aca="false">IFERROR(IF(Productos!A122="","",Productos!B122),"")</f>
        <v/>
      </c>
      <c r="C122" s="0" t="str">
        <f aca="false">IFERROR(IF(Productos!A122="","",Productos!C122),"")</f>
        <v/>
      </c>
      <c r="D122" s="0" t="str">
        <f aca="false">IFERROR(IF(Productos!A122="","",Productos!E122),"")</f>
        <v/>
      </c>
      <c r="E122" s="6" t="str">
        <f aca="false">IFERROR(IF(A122="","",SUMIFS(Movimientos!E:E, Movimientos!D:D, A122, Movimientos!C:C, "Ingreso", Movimientos!G:G, "TIN")+SUMIFS(Movimientos!E:E, Movimientos!D:D, A122, Movimientos!C:C, "Traslado", Movimientos!G:G, "TIN")-SUMIFS(Movimientos!E:E, Movimientos!D:D, A122, Movimientos!C:C, "Traslado", Movimientos!F:F, "TIN")-SUMIFS(Movimientos!E:E, Movimientos!D:D, A122, Movimientos!C:C, "Egreso", Movimientos!F:F, "TIN")+SUMIFS(Movimientos!E:E, Movimientos!D:D, A122, Movimientos!C:C, "Ajuste", Movimientos!F:F, "TIN")),"")</f>
        <v/>
      </c>
      <c r="F122" s="6" t="str">
        <f aca="false">IFERROR(IF(A122="","",SUMIFS(Movimientos!E:E, Movimientos!D:D, A122, Movimientos!C:C, "Ingreso", Movimientos!G:G, "G1000")+SUMIFS(Movimientos!E:E, Movimientos!D:D, A122, Movimientos!C:C, "Traslado", Movimientos!G:G, "G1000")-SUMIFS(Movimientos!E:E, Movimientos!D:D, A122, Movimientos!C:C, "Traslado", Movimientos!F:F, "G1000")-SUMIFS(Movimientos!E:E, Movimientos!D:D, A122, Movimientos!C:C, "Egreso", Movimientos!F:F, "G1000")+SUMIFS(Movimientos!E:E, Movimientos!D:D, A122, Movimientos!C:C, "Ajuste", Movimientos!F:F, "G1000")),"")</f>
        <v/>
      </c>
      <c r="G122" s="6" t="str">
        <f aca="false">IFERROR(IF(A122="","",SUMIFS(Movimientos!E:E, Movimientos!D:D, A122, Movimientos!C:C, "Ingreso", Movimientos!G:G, "G710")+SUMIFS(Movimientos!E:E, Movimientos!D:D, A122, Movimientos!C:C, "Traslado", Movimientos!G:G, "G710")-SUMIFS(Movimientos!E:E, Movimientos!D:D, A122, Movimientos!C:C, "Traslado", Movimientos!F:F, "G710")-SUMIFS(Movimientos!E:E, Movimientos!D:D, A122, Movimientos!C:C, "Egreso", Movimientos!F:F, "G710")+SUMIFS(Movimientos!E:E, Movimientos!D:D, A122, Movimientos!C:C, "Ajuste", Movimientos!F:F, "G710")),"")</f>
        <v/>
      </c>
      <c r="H122" s="6" t="str">
        <f aca="false">IFERROR(IF(A122="","",SUMIFS(Movimientos!E:E, Movimientos!D:D, A122, Movimientos!C:C, "Ingreso", Movimientos!G:G, "G5000")+SUMIFS(Movimientos!E:E, Movimientos!D:D, A122, Movimientos!C:C, "Traslado", Movimientos!G:G, "G5000")-SUMIFS(Movimientos!E:E, Movimientos!D:D, A122, Movimientos!C:C, "Traslado", Movimientos!F:F, "G5000")-SUMIFS(Movimientos!E:E, Movimientos!D:D, A122, Movimientos!C:C, "Egreso", Movimientos!F:F, "G5000")+SUMIFS(Movimientos!E:E, Movimientos!D:D, A122, Movimientos!C:C, "Ajuste", Movimientos!F:F, "G5000")),"")</f>
        <v/>
      </c>
      <c r="I122" s="6" t="str">
        <f aca="false">IFERROR(IF(A122="","",SUMIFS(Movimientos!E:E, Movimientos!D:D, A122, Movimientos!C:C, "Ingreso", Movimientos!G:G, "G3")+SUMIFS(Movimientos!E:E, Movimientos!D:D, A122, Movimientos!C:C, "Traslado", Movimientos!G:G, "G3")-SUMIFS(Movimientos!E:E, Movimientos!D:D, A122, Movimientos!C:C, "Traslado", Movimientos!F:F, "G3")-SUMIFS(Movimientos!E:E, Movimientos!D:D, A122, Movimientos!C:C, "Egreso", Movimientos!F:F, "G3")+SUMIFS(Movimientos!E:E, Movimientos!D:D, A122, Movimientos!C:C, "Ajuste", Movimientos!F:F, "G3")),"")</f>
        <v/>
      </c>
      <c r="J122" s="6" t="str">
        <f aca="false">IFERROR(IF(A122="","",SUM(E122:I122)),"")</f>
        <v/>
      </c>
      <c r="K122" s="6" t="str">
        <f aca="false">IFERROR(IF(A122="","",SUMIFS(Movimientos!E:E, Movimientos!D:D, A122, Movimientos!C:C, "Reserva")-SUMIFS(Movimientos!E:E, Movimientos!D:D, A122, Movimientos!C:C, "Libera_Reserva")),"")</f>
        <v/>
      </c>
      <c r="L122" s="6" t="str">
        <f aca="false">IFERROR(IF(A122="","",J122-K122),"")</f>
        <v/>
      </c>
      <c r="M122" s="6" t="str">
        <f aca="false">IFERROR(IF(Productos!A122="","",Productos!G122),"")</f>
        <v/>
      </c>
      <c r="N122" s="6" t="str">
        <f aca="false">IFERROR(IF(A122="","",IF(L122&lt;M122,"BAJO STOCK","OK")),"")</f>
        <v/>
      </c>
    </row>
    <row r="123" customFormat="false" ht="15" hidden="false" customHeight="false" outlineLevel="0" collapsed="false">
      <c r="A123" s="0" t="str">
        <f aca="false">IFERROR(IF(Productos!A123="","",Productos!A123),"")</f>
        <v/>
      </c>
      <c r="B123" s="0" t="str">
        <f aca="false">IFERROR(IF(Productos!A123="","",Productos!B123),"")</f>
        <v/>
      </c>
      <c r="C123" s="0" t="str">
        <f aca="false">IFERROR(IF(Productos!A123="","",Productos!C123),"")</f>
        <v/>
      </c>
      <c r="D123" s="0" t="str">
        <f aca="false">IFERROR(IF(Productos!A123="","",Productos!E123),"")</f>
        <v/>
      </c>
      <c r="E123" s="6" t="str">
        <f aca="false">IFERROR(IF(A123="","",SUMIFS(Movimientos!E:E, Movimientos!D:D, A123, Movimientos!C:C, "Ingreso", Movimientos!G:G, "TIN")+SUMIFS(Movimientos!E:E, Movimientos!D:D, A123, Movimientos!C:C, "Traslado", Movimientos!G:G, "TIN")-SUMIFS(Movimientos!E:E, Movimientos!D:D, A123, Movimientos!C:C, "Traslado", Movimientos!F:F, "TIN")-SUMIFS(Movimientos!E:E, Movimientos!D:D, A123, Movimientos!C:C, "Egreso", Movimientos!F:F, "TIN")+SUMIFS(Movimientos!E:E, Movimientos!D:D, A123, Movimientos!C:C, "Ajuste", Movimientos!F:F, "TIN")),"")</f>
        <v/>
      </c>
      <c r="F123" s="6" t="str">
        <f aca="false">IFERROR(IF(A123="","",SUMIFS(Movimientos!E:E, Movimientos!D:D, A123, Movimientos!C:C, "Ingreso", Movimientos!G:G, "G1000")+SUMIFS(Movimientos!E:E, Movimientos!D:D, A123, Movimientos!C:C, "Traslado", Movimientos!G:G, "G1000")-SUMIFS(Movimientos!E:E, Movimientos!D:D, A123, Movimientos!C:C, "Traslado", Movimientos!F:F, "G1000")-SUMIFS(Movimientos!E:E, Movimientos!D:D, A123, Movimientos!C:C, "Egreso", Movimientos!F:F, "G1000")+SUMIFS(Movimientos!E:E, Movimientos!D:D, A123, Movimientos!C:C, "Ajuste", Movimientos!F:F, "G1000")),"")</f>
        <v/>
      </c>
      <c r="G123" s="6" t="str">
        <f aca="false">IFERROR(IF(A123="","",SUMIFS(Movimientos!E:E, Movimientos!D:D, A123, Movimientos!C:C, "Ingreso", Movimientos!G:G, "G710")+SUMIFS(Movimientos!E:E, Movimientos!D:D, A123, Movimientos!C:C, "Traslado", Movimientos!G:G, "G710")-SUMIFS(Movimientos!E:E, Movimientos!D:D, A123, Movimientos!C:C, "Traslado", Movimientos!F:F, "G710")-SUMIFS(Movimientos!E:E, Movimientos!D:D, A123, Movimientos!C:C, "Egreso", Movimientos!F:F, "G710")+SUMIFS(Movimientos!E:E, Movimientos!D:D, A123, Movimientos!C:C, "Ajuste", Movimientos!F:F, "G710")),"")</f>
        <v/>
      </c>
      <c r="H123" s="6" t="str">
        <f aca="false">IFERROR(IF(A123="","",SUMIFS(Movimientos!E:E, Movimientos!D:D, A123, Movimientos!C:C, "Ingreso", Movimientos!G:G, "G5000")+SUMIFS(Movimientos!E:E, Movimientos!D:D, A123, Movimientos!C:C, "Traslado", Movimientos!G:G, "G5000")-SUMIFS(Movimientos!E:E, Movimientos!D:D, A123, Movimientos!C:C, "Traslado", Movimientos!F:F, "G5000")-SUMIFS(Movimientos!E:E, Movimientos!D:D, A123, Movimientos!C:C, "Egreso", Movimientos!F:F, "G5000")+SUMIFS(Movimientos!E:E, Movimientos!D:D, A123, Movimientos!C:C, "Ajuste", Movimientos!F:F, "G5000")),"")</f>
        <v/>
      </c>
      <c r="I123" s="6" t="str">
        <f aca="false">IFERROR(IF(A123="","",SUMIFS(Movimientos!E:E, Movimientos!D:D, A123, Movimientos!C:C, "Ingreso", Movimientos!G:G, "G3")+SUMIFS(Movimientos!E:E, Movimientos!D:D, A123, Movimientos!C:C, "Traslado", Movimientos!G:G, "G3")-SUMIFS(Movimientos!E:E, Movimientos!D:D, A123, Movimientos!C:C, "Traslado", Movimientos!F:F, "G3")-SUMIFS(Movimientos!E:E, Movimientos!D:D, A123, Movimientos!C:C, "Egreso", Movimientos!F:F, "G3")+SUMIFS(Movimientos!E:E, Movimientos!D:D, A123, Movimientos!C:C, "Ajuste", Movimientos!F:F, "G3")),"")</f>
        <v/>
      </c>
      <c r="J123" s="6" t="str">
        <f aca="false">IFERROR(IF(A123="","",SUM(E123:I123)),"")</f>
        <v/>
      </c>
      <c r="K123" s="6" t="str">
        <f aca="false">IFERROR(IF(A123="","",SUMIFS(Movimientos!E:E, Movimientos!D:D, A123, Movimientos!C:C, "Reserva")-SUMIFS(Movimientos!E:E, Movimientos!D:D, A123, Movimientos!C:C, "Libera_Reserva")),"")</f>
        <v/>
      </c>
      <c r="L123" s="6" t="str">
        <f aca="false">IFERROR(IF(A123="","",J123-K123),"")</f>
        <v/>
      </c>
      <c r="M123" s="6" t="str">
        <f aca="false">IFERROR(IF(Productos!A123="","",Productos!G123),"")</f>
        <v/>
      </c>
      <c r="N123" s="6" t="str">
        <f aca="false">IFERROR(IF(A123="","",IF(L123&lt;M123,"BAJO STOCK","OK")),"")</f>
        <v/>
      </c>
    </row>
    <row r="124" customFormat="false" ht="15" hidden="false" customHeight="false" outlineLevel="0" collapsed="false">
      <c r="A124" s="0" t="str">
        <f aca="false">IFERROR(IF(Productos!A124="","",Productos!A124),"")</f>
        <v/>
      </c>
      <c r="B124" s="0" t="str">
        <f aca="false">IFERROR(IF(Productos!A124="","",Productos!B124),"")</f>
        <v/>
      </c>
      <c r="C124" s="0" t="str">
        <f aca="false">IFERROR(IF(Productos!A124="","",Productos!C124),"")</f>
        <v/>
      </c>
      <c r="D124" s="0" t="str">
        <f aca="false">IFERROR(IF(Productos!A124="","",Productos!E124),"")</f>
        <v/>
      </c>
      <c r="E124" s="6" t="str">
        <f aca="false">IFERROR(IF(A124="","",SUMIFS(Movimientos!E:E, Movimientos!D:D, A124, Movimientos!C:C, "Ingreso", Movimientos!G:G, "TIN")+SUMIFS(Movimientos!E:E, Movimientos!D:D, A124, Movimientos!C:C, "Traslado", Movimientos!G:G, "TIN")-SUMIFS(Movimientos!E:E, Movimientos!D:D, A124, Movimientos!C:C, "Traslado", Movimientos!F:F, "TIN")-SUMIFS(Movimientos!E:E, Movimientos!D:D, A124, Movimientos!C:C, "Egreso", Movimientos!F:F, "TIN")+SUMIFS(Movimientos!E:E, Movimientos!D:D, A124, Movimientos!C:C, "Ajuste", Movimientos!F:F, "TIN")),"")</f>
        <v/>
      </c>
      <c r="F124" s="6" t="str">
        <f aca="false">IFERROR(IF(A124="","",SUMIFS(Movimientos!E:E, Movimientos!D:D, A124, Movimientos!C:C, "Ingreso", Movimientos!G:G, "G1000")+SUMIFS(Movimientos!E:E, Movimientos!D:D, A124, Movimientos!C:C, "Traslado", Movimientos!G:G, "G1000")-SUMIFS(Movimientos!E:E, Movimientos!D:D, A124, Movimientos!C:C, "Traslado", Movimientos!F:F, "G1000")-SUMIFS(Movimientos!E:E, Movimientos!D:D, A124, Movimientos!C:C, "Egreso", Movimientos!F:F, "G1000")+SUMIFS(Movimientos!E:E, Movimientos!D:D, A124, Movimientos!C:C, "Ajuste", Movimientos!F:F, "G1000")),"")</f>
        <v/>
      </c>
      <c r="G124" s="6" t="str">
        <f aca="false">IFERROR(IF(A124="","",SUMIFS(Movimientos!E:E, Movimientos!D:D, A124, Movimientos!C:C, "Ingreso", Movimientos!G:G, "G710")+SUMIFS(Movimientos!E:E, Movimientos!D:D, A124, Movimientos!C:C, "Traslado", Movimientos!G:G, "G710")-SUMIFS(Movimientos!E:E, Movimientos!D:D, A124, Movimientos!C:C, "Traslado", Movimientos!F:F, "G710")-SUMIFS(Movimientos!E:E, Movimientos!D:D, A124, Movimientos!C:C, "Egreso", Movimientos!F:F, "G710")+SUMIFS(Movimientos!E:E, Movimientos!D:D, A124, Movimientos!C:C, "Ajuste", Movimientos!F:F, "G710")),"")</f>
        <v/>
      </c>
      <c r="H124" s="6" t="str">
        <f aca="false">IFERROR(IF(A124="","",SUMIFS(Movimientos!E:E, Movimientos!D:D, A124, Movimientos!C:C, "Ingreso", Movimientos!G:G, "G5000")+SUMIFS(Movimientos!E:E, Movimientos!D:D, A124, Movimientos!C:C, "Traslado", Movimientos!G:G, "G5000")-SUMIFS(Movimientos!E:E, Movimientos!D:D, A124, Movimientos!C:C, "Traslado", Movimientos!F:F, "G5000")-SUMIFS(Movimientos!E:E, Movimientos!D:D, A124, Movimientos!C:C, "Egreso", Movimientos!F:F, "G5000")+SUMIFS(Movimientos!E:E, Movimientos!D:D, A124, Movimientos!C:C, "Ajuste", Movimientos!F:F, "G5000")),"")</f>
        <v/>
      </c>
      <c r="I124" s="6" t="str">
        <f aca="false">IFERROR(IF(A124="","",SUMIFS(Movimientos!E:E, Movimientos!D:D, A124, Movimientos!C:C, "Ingreso", Movimientos!G:G, "G3")+SUMIFS(Movimientos!E:E, Movimientos!D:D, A124, Movimientos!C:C, "Traslado", Movimientos!G:G, "G3")-SUMIFS(Movimientos!E:E, Movimientos!D:D, A124, Movimientos!C:C, "Traslado", Movimientos!F:F, "G3")-SUMIFS(Movimientos!E:E, Movimientos!D:D, A124, Movimientos!C:C, "Egreso", Movimientos!F:F, "G3")+SUMIFS(Movimientos!E:E, Movimientos!D:D, A124, Movimientos!C:C, "Ajuste", Movimientos!F:F, "G3")),"")</f>
        <v/>
      </c>
      <c r="J124" s="6" t="str">
        <f aca="false">IFERROR(IF(A124="","",SUM(E124:I124)),"")</f>
        <v/>
      </c>
      <c r="K124" s="6" t="str">
        <f aca="false">IFERROR(IF(A124="","",SUMIFS(Movimientos!E:E, Movimientos!D:D, A124, Movimientos!C:C, "Reserva")-SUMIFS(Movimientos!E:E, Movimientos!D:D, A124, Movimientos!C:C, "Libera_Reserva")),"")</f>
        <v/>
      </c>
      <c r="L124" s="6" t="str">
        <f aca="false">IFERROR(IF(A124="","",J124-K124),"")</f>
        <v/>
      </c>
      <c r="M124" s="6" t="str">
        <f aca="false">IFERROR(IF(Productos!A124="","",Productos!G124),"")</f>
        <v/>
      </c>
      <c r="N124" s="6" t="str">
        <f aca="false">IFERROR(IF(A124="","",IF(L124&lt;M124,"BAJO STOCK","OK")),"")</f>
        <v/>
      </c>
    </row>
    <row r="125" customFormat="false" ht="15" hidden="false" customHeight="false" outlineLevel="0" collapsed="false">
      <c r="A125" s="0" t="str">
        <f aca="false">IFERROR(IF(Productos!A125="","",Productos!A125),"")</f>
        <v/>
      </c>
      <c r="B125" s="0" t="str">
        <f aca="false">IFERROR(IF(Productos!A125="","",Productos!B125),"")</f>
        <v/>
      </c>
      <c r="C125" s="0" t="str">
        <f aca="false">IFERROR(IF(Productos!A125="","",Productos!C125),"")</f>
        <v/>
      </c>
      <c r="D125" s="0" t="str">
        <f aca="false">IFERROR(IF(Productos!A125="","",Productos!E125),"")</f>
        <v/>
      </c>
      <c r="E125" s="6" t="str">
        <f aca="false">IFERROR(IF(A125="","",SUMIFS(Movimientos!E:E, Movimientos!D:D, A125, Movimientos!C:C, "Ingreso", Movimientos!G:G, "TIN")+SUMIFS(Movimientos!E:E, Movimientos!D:D, A125, Movimientos!C:C, "Traslado", Movimientos!G:G, "TIN")-SUMIFS(Movimientos!E:E, Movimientos!D:D, A125, Movimientos!C:C, "Traslado", Movimientos!F:F, "TIN")-SUMIFS(Movimientos!E:E, Movimientos!D:D, A125, Movimientos!C:C, "Egreso", Movimientos!F:F, "TIN")+SUMIFS(Movimientos!E:E, Movimientos!D:D, A125, Movimientos!C:C, "Ajuste", Movimientos!F:F, "TIN")),"")</f>
        <v/>
      </c>
      <c r="F125" s="6" t="str">
        <f aca="false">IFERROR(IF(A125="","",SUMIFS(Movimientos!E:E, Movimientos!D:D, A125, Movimientos!C:C, "Ingreso", Movimientos!G:G, "G1000")+SUMIFS(Movimientos!E:E, Movimientos!D:D, A125, Movimientos!C:C, "Traslado", Movimientos!G:G, "G1000")-SUMIFS(Movimientos!E:E, Movimientos!D:D, A125, Movimientos!C:C, "Traslado", Movimientos!F:F, "G1000")-SUMIFS(Movimientos!E:E, Movimientos!D:D, A125, Movimientos!C:C, "Egreso", Movimientos!F:F, "G1000")+SUMIFS(Movimientos!E:E, Movimientos!D:D, A125, Movimientos!C:C, "Ajuste", Movimientos!F:F, "G1000")),"")</f>
        <v/>
      </c>
      <c r="G125" s="6" t="str">
        <f aca="false">IFERROR(IF(A125="","",SUMIFS(Movimientos!E:E, Movimientos!D:D, A125, Movimientos!C:C, "Ingreso", Movimientos!G:G, "G710")+SUMIFS(Movimientos!E:E, Movimientos!D:D, A125, Movimientos!C:C, "Traslado", Movimientos!G:G, "G710")-SUMIFS(Movimientos!E:E, Movimientos!D:D, A125, Movimientos!C:C, "Traslado", Movimientos!F:F, "G710")-SUMIFS(Movimientos!E:E, Movimientos!D:D, A125, Movimientos!C:C, "Egreso", Movimientos!F:F, "G710")+SUMIFS(Movimientos!E:E, Movimientos!D:D, A125, Movimientos!C:C, "Ajuste", Movimientos!F:F, "G710")),"")</f>
        <v/>
      </c>
      <c r="H125" s="6" t="str">
        <f aca="false">IFERROR(IF(A125="","",SUMIFS(Movimientos!E:E, Movimientos!D:D, A125, Movimientos!C:C, "Ingreso", Movimientos!G:G, "G5000")+SUMIFS(Movimientos!E:E, Movimientos!D:D, A125, Movimientos!C:C, "Traslado", Movimientos!G:G, "G5000")-SUMIFS(Movimientos!E:E, Movimientos!D:D, A125, Movimientos!C:C, "Traslado", Movimientos!F:F, "G5000")-SUMIFS(Movimientos!E:E, Movimientos!D:D, A125, Movimientos!C:C, "Egreso", Movimientos!F:F, "G5000")+SUMIFS(Movimientos!E:E, Movimientos!D:D, A125, Movimientos!C:C, "Ajuste", Movimientos!F:F, "G5000")),"")</f>
        <v/>
      </c>
      <c r="I125" s="6" t="str">
        <f aca="false">IFERROR(IF(A125="","",SUMIFS(Movimientos!E:E, Movimientos!D:D, A125, Movimientos!C:C, "Ingreso", Movimientos!G:G, "G3")+SUMIFS(Movimientos!E:E, Movimientos!D:D, A125, Movimientos!C:C, "Traslado", Movimientos!G:G, "G3")-SUMIFS(Movimientos!E:E, Movimientos!D:D, A125, Movimientos!C:C, "Traslado", Movimientos!F:F, "G3")-SUMIFS(Movimientos!E:E, Movimientos!D:D, A125, Movimientos!C:C, "Egreso", Movimientos!F:F, "G3")+SUMIFS(Movimientos!E:E, Movimientos!D:D, A125, Movimientos!C:C, "Ajuste", Movimientos!F:F, "G3")),"")</f>
        <v/>
      </c>
      <c r="J125" s="6" t="str">
        <f aca="false">IFERROR(IF(A125="","",SUM(E125:I125)),"")</f>
        <v/>
      </c>
      <c r="K125" s="6" t="str">
        <f aca="false">IFERROR(IF(A125="","",SUMIFS(Movimientos!E:E, Movimientos!D:D, A125, Movimientos!C:C, "Reserva")-SUMIFS(Movimientos!E:E, Movimientos!D:D, A125, Movimientos!C:C, "Libera_Reserva")),"")</f>
        <v/>
      </c>
      <c r="L125" s="6" t="str">
        <f aca="false">IFERROR(IF(A125="","",J125-K125),"")</f>
        <v/>
      </c>
      <c r="M125" s="6" t="str">
        <f aca="false">IFERROR(IF(Productos!A125="","",Productos!G125),"")</f>
        <v/>
      </c>
      <c r="N125" s="6" t="str">
        <f aca="false">IFERROR(IF(A125="","",IF(L125&lt;M125,"BAJO STOCK","OK")),"")</f>
        <v/>
      </c>
    </row>
    <row r="126" customFormat="false" ht="15" hidden="false" customHeight="false" outlineLevel="0" collapsed="false">
      <c r="A126" s="0" t="str">
        <f aca="false">IFERROR(IF(Productos!A126="","",Productos!A126),"")</f>
        <v/>
      </c>
      <c r="B126" s="0" t="str">
        <f aca="false">IFERROR(IF(Productos!A126="","",Productos!B126),"")</f>
        <v/>
      </c>
      <c r="C126" s="0" t="str">
        <f aca="false">IFERROR(IF(Productos!A126="","",Productos!C126),"")</f>
        <v/>
      </c>
      <c r="D126" s="0" t="str">
        <f aca="false">IFERROR(IF(Productos!A126="","",Productos!E126),"")</f>
        <v/>
      </c>
      <c r="E126" s="6" t="str">
        <f aca="false">IFERROR(IF(A126="","",SUMIFS(Movimientos!E:E, Movimientos!D:D, A126, Movimientos!C:C, "Ingreso", Movimientos!G:G, "TIN")+SUMIFS(Movimientos!E:E, Movimientos!D:D, A126, Movimientos!C:C, "Traslado", Movimientos!G:G, "TIN")-SUMIFS(Movimientos!E:E, Movimientos!D:D, A126, Movimientos!C:C, "Traslado", Movimientos!F:F, "TIN")-SUMIFS(Movimientos!E:E, Movimientos!D:D, A126, Movimientos!C:C, "Egreso", Movimientos!F:F, "TIN")+SUMIFS(Movimientos!E:E, Movimientos!D:D, A126, Movimientos!C:C, "Ajuste", Movimientos!F:F, "TIN")),"")</f>
        <v/>
      </c>
      <c r="F126" s="6" t="str">
        <f aca="false">IFERROR(IF(A126="","",SUMIFS(Movimientos!E:E, Movimientos!D:D, A126, Movimientos!C:C, "Ingreso", Movimientos!G:G, "G1000")+SUMIFS(Movimientos!E:E, Movimientos!D:D, A126, Movimientos!C:C, "Traslado", Movimientos!G:G, "G1000")-SUMIFS(Movimientos!E:E, Movimientos!D:D, A126, Movimientos!C:C, "Traslado", Movimientos!F:F, "G1000")-SUMIFS(Movimientos!E:E, Movimientos!D:D, A126, Movimientos!C:C, "Egreso", Movimientos!F:F, "G1000")+SUMIFS(Movimientos!E:E, Movimientos!D:D, A126, Movimientos!C:C, "Ajuste", Movimientos!F:F, "G1000")),"")</f>
        <v/>
      </c>
      <c r="G126" s="6" t="str">
        <f aca="false">IFERROR(IF(A126="","",SUMIFS(Movimientos!E:E, Movimientos!D:D, A126, Movimientos!C:C, "Ingreso", Movimientos!G:G, "G710")+SUMIFS(Movimientos!E:E, Movimientos!D:D, A126, Movimientos!C:C, "Traslado", Movimientos!G:G, "G710")-SUMIFS(Movimientos!E:E, Movimientos!D:D, A126, Movimientos!C:C, "Traslado", Movimientos!F:F, "G710")-SUMIFS(Movimientos!E:E, Movimientos!D:D, A126, Movimientos!C:C, "Egreso", Movimientos!F:F, "G710")+SUMIFS(Movimientos!E:E, Movimientos!D:D, A126, Movimientos!C:C, "Ajuste", Movimientos!F:F, "G710")),"")</f>
        <v/>
      </c>
      <c r="H126" s="6" t="str">
        <f aca="false">IFERROR(IF(A126="","",SUMIFS(Movimientos!E:E, Movimientos!D:D, A126, Movimientos!C:C, "Ingreso", Movimientos!G:G, "G5000")+SUMIFS(Movimientos!E:E, Movimientos!D:D, A126, Movimientos!C:C, "Traslado", Movimientos!G:G, "G5000")-SUMIFS(Movimientos!E:E, Movimientos!D:D, A126, Movimientos!C:C, "Traslado", Movimientos!F:F, "G5000")-SUMIFS(Movimientos!E:E, Movimientos!D:D, A126, Movimientos!C:C, "Egreso", Movimientos!F:F, "G5000")+SUMIFS(Movimientos!E:E, Movimientos!D:D, A126, Movimientos!C:C, "Ajuste", Movimientos!F:F, "G5000")),"")</f>
        <v/>
      </c>
      <c r="I126" s="6" t="str">
        <f aca="false">IFERROR(IF(A126="","",SUMIFS(Movimientos!E:E, Movimientos!D:D, A126, Movimientos!C:C, "Ingreso", Movimientos!G:G, "G3")+SUMIFS(Movimientos!E:E, Movimientos!D:D, A126, Movimientos!C:C, "Traslado", Movimientos!G:G, "G3")-SUMIFS(Movimientos!E:E, Movimientos!D:D, A126, Movimientos!C:C, "Traslado", Movimientos!F:F, "G3")-SUMIFS(Movimientos!E:E, Movimientos!D:D, A126, Movimientos!C:C, "Egreso", Movimientos!F:F, "G3")+SUMIFS(Movimientos!E:E, Movimientos!D:D, A126, Movimientos!C:C, "Ajuste", Movimientos!F:F, "G3")),"")</f>
        <v/>
      </c>
      <c r="J126" s="6" t="str">
        <f aca="false">IFERROR(IF(A126="","",SUM(E126:I126)),"")</f>
        <v/>
      </c>
      <c r="K126" s="6" t="str">
        <f aca="false">IFERROR(IF(A126="","",SUMIFS(Movimientos!E:E, Movimientos!D:D, A126, Movimientos!C:C, "Reserva")-SUMIFS(Movimientos!E:E, Movimientos!D:D, A126, Movimientos!C:C, "Libera_Reserva")),"")</f>
        <v/>
      </c>
      <c r="L126" s="6" t="str">
        <f aca="false">IFERROR(IF(A126="","",J126-K126),"")</f>
        <v/>
      </c>
      <c r="M126" s="6" t="str">
        <f aca="false">IFERROR(IF(Productos!A126="","",Productos!G126),"")</f>
        <v/>
      </c>
      <c r="N126" s="6" t="str">
        <f aca="false">IFERROR(IF(A126="","",IF(L126&lt;M126,"BAJO STOCK","OK")),"")</f>
        <v/>
      </c>
    </row>
    <row r="127" customFormat="false" ht="15" hidden="false" customHeight="false" outlineLevel="0" collapsed="false">
      <c r="A127" s="0" t="str">
        <f aca="false">IFERROR(IF(Productos!A127="","",Productos!A127),"")</f>
        <v/>
      </c>
      <c r="B127" s="0" t="str">
        <f aca="false">IFERROR(IF(Productos!A127="","",Productos!B127),"")</f>
        <v/>
      </c>
      <c r="C127" s="0" t="str">
        <f aca="false">IFERROR(IF(Productos!A127="","",Productos!C127),"")</f>
        <v/>
      </c>
      <c r="D127" s="0" t="str">
        <f aca="false">IFERROR(IF(Productos!A127="","",Productos!E127),"")</f>
        <v/>
      </c>
      <c r="E127" s="6" t="str">
        <f aca="false">IFERROR(IF(A127="","",SUMIFS(Movimientos!E:E, Movimientos!D:D, A127, Movimientos!C:C, "Ingreso", Movimientos!G:G, "TIN")+SUMIFS(Movimientos!E:E, Movimientos!D:D, A127, Movimientos!C:C, "Traslado", Movimientos!G:G, "TIN")-SUMIFS(Movimientos!E:E, Movimientos!D:D, A127, Movimientos!C:C, "Traslado", Movimientos!F:F, "TIN")-SUMIFS(Movimientos!E:E, Movimientos!D:D, A127, Movimientos!C:C, "Egreso", Movimientos!F:F, "TIN")+SUMIFS(Movimientos!E:E, Movimientos!D:D, A127, Movimientos!C:C, "Ajuste", Movimientos!F:F, "TIN")),"")</f>
        <v/>
      </c>
      <c r="F127" s="6" t="str">
        <f aca="false">IFERROR(IF(A127="","",SUMIFS(Movimientos!E:E, Movimientos!D:D, A127, Movimientos!C:C, "Ingreso", Movimientos!G:G, "G1000")+SUMIFS(Movimientos!E:E, Movimientos!D:D, A127, Movimientos!C:C, "Traslado", Movimientos!G:G, "G1000")-SUMIFS(Movimientos!E:E, Movimientos!D:D, A127, Movimientos!C:C, "Traslado", Movimientos!F:F, "G1000")-SUMIFS(Movimientos!E:E, Movimientos!D:D, A127, Movimientos!C:C, "Egreso", Movimientos!F:F, "G1000")+SUMIFS(Movimientos!E:E, Movimientos!D:D, A127, Movimientos!C:C, "Ajuste", Movimientos!F:F, "G1000")),"")</f>
        <v/>
      </c>
      <c r="G127" s="6" t="str">
        <f aca="false">IFERROR(IF(A127="","",SUMIFS(Movimientos!E:E, Movimientos!D:D, A127, Movimientos!C:C, "Ingreso", Movimientos!G:G, "G710")+SUMIFS(Movimientos!E:E, Movimientos!D:D, A127, Movimientos!C:C, "Traslado", Movimientos!G:G, "G710")-SUMIFS(Movimientos!E:E, Movimientos!D:D, A127, Movimientos!C:C, "Traslado", Movimientos!F:F, "G710")-SUMIFS(Movimientos!E:E, Movimientos!D:D, A127, Movimientos!C:C, "Egreso", Movimientos!F:F, "G710")+SUMIFS(Movimientos!E:E, Movimientos!D:D, A127, Movimientos!C:C, "Ajuste", Movimientos!F:F, "G710")),"")</f>
        <v/>
      </c>
      <c r="H127" s="6" t="str">
        <f aca="false">IFERROR(IF(A127="","",SUMIFS(Movimientos!E:E, Movimientos!D:D, A127, Movimientos!C:C, "Ingreso", Movimientos!G:G, "G5000")+SUMIFS(Movimientos!E:E, Movimientos!D:D, A127, Movimientos!C:C, "Traslado", Movimientos!G:G, "G5000")-SUMIFS(Movimientos!E:E, Movimientos!D:D, A127, Movimientos!C:C, "Traslado", Movimientos!F:F, "G5000")-SUMIFS(Movimientos!E:E, Movimientos!D:D, A127, Movimientos!C:C, "Egreso", Movimientos!F:F, "G5000")+SUMIFS(Movimientos!E:E, Movimientos!D:D, A127, Movimientos!C:C, "Ajuste", Movimientos!F:F, "G5000")),"")</f>
        <v/>
      </c>
      <c r="I127" s="6" t="str">
        <f aca="false">IFERROR(IF(A127="","",SUMIFS(Movimientos!E:E, Movimientos!D:D, A127, Movimientos!C:C, "Ingreso", Movimientos!G:G, "G3")+SUMIFS(Movimientos!E:E, Movimientos!D:D, A127, Movimientos!C:C, "Traslado", Movimientos!G:G, "G3")-SUMIFS(Movimientos!E:E, Movimientos!D:D, A127, Movimientos!C:C, "Traslado", Movimientos!F:F, "G3")-SUMIFS(Movimientos!E:E, Movimientos!D:D, A127, Movimientos!C:C, "Egreso", Movimientos!F:F, "G3")+SUMIFS(Movimientos!E:E, Movimientos!D:D, A127, Movimientos!C:C, "Ajuste", Movimientos!F:F, "G3")),"")</f>
        <v/>
      </c>
      <c r="J127" s="6" t="str">
        <f aca="false">IFERROR(IF(A127="","",SUM(E127:I127)),"")</f>
        <v/>
      </c>
      <c r="K127" s="6" t="str">
        <f aca="false">IFERROR(IF(A127="","",SUMIFS(Movimientos!E:E, Movimientos!D:D, A127, Movimientos!C:C, "Reserva")-SUMIFS(Movimientos!E:E, Movimientos!D:D, A127, Movimientos!C:C, "Libera_Reserva")),"")</f>
        <v/>
      </c>
      <c r="L127" s="6" t="str">
        <f aca="false">IFERROR(IF(A127="","",J127-K127),"")</f>
        <v/>
      </c>
      <c r="M127" s="6" t="str">
        <f aca="false">IFERROR(IF(Productos!A127="","",Productos!G127),"")</f>
        <v/>
      </c>
      <c r="N127" s="6" t="str">
        <f aca="false">IFERROR(IF(A127="","",IF(L127&lt;M127,"BAJO STOCK","OK")),"")</f>
        <v/>
      </c>
    </row>
    <row r="128" customFormat="false" ht="15" hidden="false" customHeight="false" outlineLevel="0" collapsed="false">
      <c r="A128" s="0" t="str">
        <f aca="false">IFERROR(IF(Productos!A128="","",Productos!A128),"")</f>
        <v/>
      </c>
      <c r="B128" s="0" t="str">
        <f aca="false">IFERROR(IF(Productos!A128="","",Productos!B128),"")</f>
        <v/>
      </c>
      <c r="C128" s="0" t="str">
        <f aca="false">IFERROR(IF(Productos!A128="","",Productos!C128),"")</f>
        <v/>
      </c>
      <c r="D128" s="0" t="str">
        <f aca="false">IFERROR(IF(Productos!A128="","",Productos!E128),"")</f>
        <v/>
      </c>
      <c r="E128" s="6" t="str">
        <f aca="false">IFERROR(IF(A128="","",SUMIFS(Movimientos!E:E, Movimientos!D:D, A128, Movimientos!C:C, "Ingreso", Movimientos!G:G, "TIN")+SUMIFS(Movimientos!E:E, Movimientos!D:D, A128, Movimientos!C:C, "Traslado", Movimientos!G:G, "TIN")-SUMIFS(Movimientos!E:E, Movimientos!D:D, A128, Movimientos!C:C, "Traslado", Movimientos!F:F, "TIN")-SUMIFS(Movimientos!E:E, Movimientos!D:D, A128, Movimientos!C:C, "Egreso", Movimientos!F:F, "TIN")+SUMIFS(Movimientos!E:E, Movimientos!D:D, A128, Movimientos!C:C, "Ajuste", Movimientos!F:F, "TIN")),"")</f>
        <v/>
      </c>
      <c r="F128" s="6" t="str">
        <f aca="false">IFERROR(IF(A128="","",SUMIFS(Movimientos!E:E, Movimientos!D:D, A128, Movimientos!C:C, "Ingreso", Movimientos!G:G, "G1000")+SUMIFS(Movimientos!E:E, Movimientos!D:D, A128, Movimientos!C:C, "Traslado", Movimientos!G:G, "G1000")-SUMIFS(Movimientos!E:E, Movimientos!D:D, A128, Movimientos!C:C, "Traslado", Movimientos!F:F, "G1000")-SUMIFS(Movimientos!E:E, Movimientos!D:D, A128, Movimientos!C:C, "Egreso", Movimientos!F:F, "G1000")+SUMIFS(Movimientos!E:E, Movimientos!D:D, A128, Movimientos!C:C, "Ajuste", Movimientos!F:F, "G1000")),"")</f>
        <v/>
      </c>
      <c r="G128" s="6" t="str">
        <f aca="false">IFERROR(IF(A128="","",SUMIFS(Movimientos!E:E, Movimientos!D:D, A128, Movimientos!C:C, "Ingreso", Movimientos!G:G, "G710")+SUMIFS(Movimientos!E:E, Movimientos!D:D, A128, Movimientos!C:C, "Traslado", Movimientos!G:G, "G710")-SUMIFS(Movimientos!E:E, Movimientos!D:D, A128, Movimientos!C:C, "Traslado", Movimientos!F:F, "G710")-SUMIFS(Movimientos!E:E, Movimientos!D:D, A128, Movimientos!C:C, "Egreso", Movimientos!F:F, "G710")+SUMIFS(Movimientos!E:E, Movimientos!D:D, A128, Movimientos!C:C, "Ajuste", Movimientos!F:F, "G710")),"")</f>
        <v/>
      </c>
      <c r="H128" s="6" t="str">
        <f aca="false">IFERROR(IF(A128="","",SUMIFS(Movimientos!E:E, Movimientos!D:D, A128, Movimientos!C:C, "Ingreso", Movimientos!G:G, "G5000")+SUMIFS(Movimientos!E:E, Movimientos!D:D, A128, Movimientos!C:C, "Traslado", Movimientos!G:G, "G5000")-SUMIFS(Movimientos!E:E, Movimientos!D:D, A128, Movimientos!C:C, "Traslado", Movimientos!F:F, "G5000")-SUMIFS(Movimientos!E:E, Movimientos!D:D, A128, Movimientos!C:C, "Egreso", Movimientos!F:F, "G5000")+SUMIFS(Movimientos!E:E, Movimientos!D:D, A128, Movimientos!C:C, "Ajuste", Movimientos!F:F, "G5000")),"")</f>
        <v/>
      </c>
      <c r="I128" s="6" t="str">
        <f aca="false">IFERROR(IF(A128="","",SUMIFS(Movimientos!E:E, Movimientos!D:D, A128, Movimientos!C:C, "Ingreso", Movimientos!G:G, "G3")+SUMIFS(Movimientos!E:E, Movimientos!D:D, A128, Movimientos!C:C, "Traslado", Movimientos!G:G, "G3")-SUMIFS(Movimientos!E:E, Movimientos!D:D, A128, Movimientos!C:C, "Traslado", Movimientos!F:F, "G3")-SUMIFS(Movimientos!E:E, Movimientos!D:D, A128, Movimientos!C:C, "Egreso", Movimientos!F:F, "G3")+SUMIFS(Movimientos!E:E, Movimientos!D:D, A128, Movimientos!C:C, "Ajuste", Movimientos!F:F, "G3")),"")</f>
        <v/>
      </c>
      <c r="J128" s="6" t="str">
        <f aca="false">IFERROR(IF(A128="","",SUM(E128:I128)),"")</f>
        <v/>
      </c>
      <c r="K128" s="6" t="str">
        <f aca="false">IFERROR(IF(A128="","",SUMIFS(Movimientos!E:E, Movimientos!D:D, A128, Movimientos!C:C, "Reserva")-SUMIFS(Movimientos!E:E, Movimientos!D:D, A128, Movimientos!C:C, "Libera_Reserva")),"")</f>
        <v/>
      </c>
      <c r="L128" s="6" t="str">
        <f aca="false">IFERROR(IF(A128="","",J128-K128),"")</f>
        <v/>
      </c>
      <c r="M128" s="6" t="str">
        <f aca="false">IFERROR(IF(Productos!A128="","",Productos!G128),"")</f>
        <v/>
      </c>
      <c r="N128" s="6" t="str">
        <f aca="false">IFERROR(IF(A128="","",IF(L128&lt;M128,"BAJO STOCK","OK")),"")</f>
        <v/>
      </c>
    </row>
    <row r="129" customFormat="false" ht="15" hidden="false" customHeight="false" outlineLevel="0" collapsed="false">
      <c r="A129" s="0" t="str">
        <f aca="false">IFERROR(IF(Productos!A129="","",Productos!A129),"")</f>
        <v/>
      </c>
      <c r="B129" s="0" t="str">
        <f aca="false">IFERROR(IF(Productos!A129="","",Productos!B129),"")</f>
        <v/>
      </c>
      <c r="C129" s="0" t="str">
        <f aca="false">IFERROR(IF(Productos!A129="","",Productos!C129),"")</f>
        <v/>
      </c>
      <c r="D129" s="0" t="str">
        <f aca="false">IFERROR(IF(Productos!A129="","",Productos!E129),"")</f>
        <v/>
      </c>
      <c r="E129" s="6" t="str">
        <f aca="false">IFERROR(IF(A129="","",SUMIFS(Movimientos!E:E, Movimientos!D:D, A129, Movimientos!C:C, "Ingreso", Movimientos!G:G, "TIN")+SUMIFS(Movimientos!E:E, Movimientos!D:D, A129, Movimientos!C:C, "Traslado", Movimientos!G:G, "TIN")-SUMIFS(Movimientos!E:E, Movimientos!D:D, A129, Movimientos!C:C, "Traslado", Movimientos!F:F, "TIN")-SUMIFS(Movimientos!E:E, Movimientos!D:D, A129, Movimientos!C:C, "Egreso", Movimientos!F:F, "TIN")+SUMIFS(Movimientos!E:E, Movimientos!D:D, A129, Movimientos!C:C, "Ajuste", Movimientos!F:F, "TIN")),"")</f>
        <v/>
      </c>
      <c r="F129" s="6" t="str">
        <f aca="false">IFERROR(IF(A129="","",SUMIFS(Movimientos!E:E, Movimientos!D:D, A129, Movimientos!C:C, "Ingreso", Movimientos!G:G, "G1000")+SUMIFS(Movimientos!E:E, Movimientos!D:D, A129, Movimientos!C:C, "Traslado", Movimientos!G:G, "G1000")-SUMIFS(Movimientos!E:E, Movimientos!D:D, A129, Movimientos!C:C, "Traslado", Movimientos!F:F, "G1000")-SUMIFS(Movimientos!E:E, Movimientos!D:D, A129, Movimientos!C:C, "Egreso", Movimientos!F:F, "G1000")+SUMIFS(Movimientos!E:E, Movimientos!D:D, A129, Movimientos!C:C, "Ajuste", Movimientos!F:F, "G1000")),"")</f>
        <v/>
      </c>
      <c r="G129" s="6" t="str">
        <f aca="false">IFERROR(IF(A129="","",SUMIFS(Movimientos!E:E, Movimientos!D:D, A129, Movimientos!C:C, "Ingreso", Movimientos!G:G, "G710")+SUMIFS(Movimientos!E:E, Movimientos!D:D, A129, Movimientos!C:C, "Traslado", Movimientos!G:G, "G710")-SUMIFS(Movimientos!E:E, Movimientos!D:D, A129, Movimientos!C:C, "Traslado", Movimientos!F:F, "G710")-SUMIFS(Movimientos!E:E, Movimientos!D:D, A129, Movimientos!C:C, "Egreso", Movimientos!F:F, "G710")+SUMIFS(Movimientos!E:E, Movimientos!D:D, A129, Movimientos!C:C, "Ajuste", Movimientos!F:F, "G710")),"")</f>
        <v/>
      </c>
      <c r="H129" s="6" t="str">
        <f aca="false">IFERROR(IF(A129="","",SUMIFS(Movimientos!E:E, Movimientos!D:D, A129, Movimientos!C:C, "Ingreso", Movimientos!G:G, "G5000")+SUMIFS(Movimientos!E:E, Movimientos!D:D, A129, Movimientos!C:C, "Traslado", Movimientos!G:G, "G5000")-SUMIFS(Movimientos!E:E, Movimientos!D:D, A129, Movimientos!C:C, "Traslado", Movimientos!F:F, "G5000")-SUMIFS(Movimientos!E:E, Movimientos!D:D, A129, Movimientos!C:C, "Egreso", Movimientos!F:F, "G5000")+SUMIFS(Movimientos!E:E, Movimientos!D:D, A129, Movimientos!C:C, "Ajuste", Movimientos!F:F, "G5000")),"")</f>
        <v/>
      </c>
      <c r="I129" s="6" t="str">
        <f aca="false">IFERROR(IF(A129="","",SUMIFS(Movimientos!E:E, Movimientos!D:D, A129, Movimientos!C:C, "Ingreso", Movimientos!G:G, "G3")+SUMIFS(Movimientos!E:E, Movimientos!D:D, A129, Movimientos!C:C, "Traslado", Movimientos!G:G, "G3")-SUMIFS(Movimientos!E:E, Movimientos!D:D, A129, Movimientos!C:C, "Traslado", Movimientos!F:F, "G3")-SUMIFS(Movimientos!E:E, Movimientos!D:D, A129, Movimientos!C:C, "Egreso", Movimientos!F:F, "G3")+SUMIFS(Movimientos!E:E, Movimientos!D:D, A129, Movimientos!C:C, "Ajuste", Movimientos!F:F, "G3")),"")</f>
        <v/>
      </c>
      <c r="J129" s="6" t="str">
        <f aca="false">IFERROR(IF(A129="","",SUM(E129:I129)),"")</f>
        <v/>
      </c>
      <c r="K129" s="6" t="str">
        <f aca="false">IFERROR(IF(A129="","",SUMIFS(Movimientos!E:E, Movimientos!D:D, A129, Movimientos!C:C, "Reserva")-SUMIFS(Movimientos!E:E, Movimientos!D:D, A129, Movimientos!C:C, "Libera_Reserva")),"")</f>
        <v/>
      </c>
      <c r="L129" s="6" t="str">
        <f aca="false">IFERROR(IF(A129="","",J129-K129),"")</f>
        <v/>
      </c>
      <c r="M129" s="6" t="str">
        <f aca="false">IFERROR(IF(Productos!A129="","",Productos!G129),"")</f>
        <v/>
      </c>
      <c r="N129" s="6" t="str">
        <f aca="false">IFERROR(IF(A129="","",IF(L129&lt;M129,"BAJO STOCK","OK")),"")</f>
        <v/>
      </c>
    </row>
    <row r="130" customFormat="false" ht="15" hidden="false" customHeight="false" outlineLevel="0" collapsed="false">
      <c r="A130" s="0" t="str">
        <f aca="false">IFERROR(IF(Productos!A130="","",Productos!A130),"")</f>
        <v/>
      </c>
      <c r="B130" s="0" t="str">
        <f aca="false">IFERROR(IF(Productos!A130="","",Productos!B130),"")</f>
        <v/>
      </c>
      <c r="C130" s="0" t="str">
        <f aca="false">IFERROR(IF(Productos!A130="","",Productos!C130),"")</f>
        <v/>
      </c>
      <c r="D130" s="0" t="str">
        <f aca="false">IFERROR(IF(Productos!A130="","",Productos!E130),"")</f>
        <v/>
      </c>
      <c r="E130" s="6" t="str">
        <f aca="false">IFERROR(IF(A130="","",SUMIFS(Movimientos!E:E, Movimientos!D:D, A130, Movimientos!C:C, "Ingreso", Movimientos!G:G, "TIN")+SUMIFS(Movimientos!E:E, Movimientos!D:D, A130, Movimientos!C:C, "Traslado", Movimientos!G:G, "TIN")-SUMIFS(Movimientos!E:E, Movimientos!D:D, A130, Movimientos!C:C, "Traslado", Movimientos!F:F, "TIN")-SUMIFS(Movimientos!E:E, Movimientos!D:D, A130, Movimientos!C:C, "Egreso", Movimientos!F:F, "TIN")+SUMIFS(Movimientos!E:E, Movimientos!D:D, A130, Movimientos!C:C, "Ajuste", Movimientos!F:F, "TIN")),"")</f>
        <v/>
      </c>
      <c r="F130" s="6" t="str">
        <f aca="false">IFERROR(IF(A130="","",SUMIFS(Movimientos!E:E, Movimientos!D:D, A130, Movimientos!C:C, "Ingreso", Movimientos!G:G, "G1000")+SUMIFS(Movimientos!E:E, Movimientos!D:D, A130, Movimientos!C:C, "Traslado", Movimientos!G:G, "G1000")-SUMIFS(Movimientos!E:E, Movimientos!D:D, A130, Movimientos!C:C, "Traslado", Movimientos!F:F, "G1000")-SUMIFS(Movimientos!E:E, Movimientos!D:D, A130, Movimientos!C:C, "Egreso", Movimientos!F:F, "G1000")+SUMIFS(Movimientos!E:E, Movimientos!D:D, A130, Movimientos!C:C, "Ajuste", Movimientos!F:F, "G1000")),"")</f>
        <v/>
      </c>
      <c r="G130" s="6" t="str">
        <f aca="false">IFERROR(IF(A130="","",SUMIFS(Movimientos!E:E, Movimientos!D:D, A130, Movimientos!C:C, "Ingreso", Movimientos!G:G, "G710")+SUMIFS(Movimientos!E:E, Movimientos!D:D, A130, Movimientos!C:C, "Traslado", Movimientos!G:G, "G710")-SUMIFS(Movimientos!E:E, Movimientos!D:D, A130, Movimientos!C:C, "Traslado", Movimientos!F:F, "G710")-SUMIFS(Movimientos!E:E, Movimientos!D:D, A130, Movimientos!C:C, "Egreso", Movimientos!F:F, "G710")+SUMIFS(Movimientos!E:E, Movimientos!D:D, A130, Movimientos!C:C, "Ajuste", Movimientos!F:F, "G710")),"")</f>
        <v/>
      </c>
      <c r="H130" s="6" t="str">
        <f aca="false">IFERROR(IF(A130="","",SUMIFS(Movimientos!E:E, Movimientos!D:D, A130, Movimientos!C:C, "Ingreso", Movimientos!G:G, "G5000")+SUMIFS(Movimientos!E:E, Movimientos!D:D, A130, Movimientos!C:C, "Traslado", Movimientos!G:G, "G5000")-SUMIFS(Movimientos!E:E, Movimientos!D:D, A130, Movimientos!C:C, "Traslado", Movimientos!F:F, "G5000")-SUMIFS(Movimientos!E:E, Movimientos!D:D, A130, Movimientos!C:C, "Egreso", Movimientos!F:F, "G5000")+SUMIFS(Movimientos!E:E, Movimientos!D:D, A130, Movimientos!C:C, "Ajuste", Movimientos!F:F, "G5000")),"")</f>
        <v/>
      </c>
      <c r="I130" s="6" t="str">
        <f aca="false">IFERROR(IF(A130="","",SUMIFS(Movimientos!E:E, Movimientos!D:D, A130, Movimientos!C:C, "Ingreso", Movimientos!G:G, "G3")+SUMIFS(Movimientos!E:E, Movimientos!D:D, A130, Movimientos!C:C, "Traslado", Movimientos!G:G, "G3")-SUMIFS(Movimientos!E:E, Movimientos!D:D, A130, Movimientos!C:C, "Traslado", Movimientos!F:F, "G3")-SUMIFS(Movimientos!E:E, Movimientos!D:D, A130, Movimientos!C:C, "Egreso", Movimientos!F:F, "G3")+SUMIFS(Movimientos!E:E, Movimientos!D:D, A130, Movimientos!C:C, "Ajuste", Movimientos!F:F, "G3")),"")</f>
        <v/>
      </c>
      <c r="J130" s="6" t="str">
        <f aca="false">IFERROR(IF(A130="","",SUM(E130:I130)),"")</f>
        <v/>
      </c>
      <c r="K130" s="6" t="str">
        <f aca="false">IFERROR(IF(A130="","",SUMIFS(Movimientos!E:E, Movimientos!D:D, A130, Movimientos!C:C, "Reserva")-SUMIFS(Movimientos!E:E, Movimientos!D:D, A130, Movimientos!C:C, "Libera_Reserva")),"")</f>
        <v/>
      </c>
      <c r="L130" s="6" t="str">
        <f aca="false">IFERROR(IF(A130="","",J130-K130),"")</f>
        <v/>
      </c>
      <c r="M130" s="6" t="str">
        <f aca="false">IFERROR(IF(Productos!A130="","",Productos!G130),"")</f>
        <v/>
      </c>
      <c r="N130" s="6" t="str">
        <f aca="false">IFERROR(IF(A130="","",IF(L130&lt;M130,"BAJO STOCK","OK")),"")</f>
        <v/>
      </c>
    </row>
    <row r="131" customFormat="false" ht="15" hidden="false" customHeight="false" outlineLevel="0" collapsed="false">
      <c r="A131" s="0" t="str">
        <f aca="false">IFERROR(IF(Productos!A131="","",Productos!A131),"")</f>
        <v/>
      </c>
      <c r="B131" s="0" t="str">
        <f aca="false">IFERROR(IF(Productos!A131="","",Productos!B131),"")</f>
        <v/>
      </c>
      <c r="C131" s="0" t="str">
        <f aca="false">IFERROR(IF(Productos!A131="","",Productos!C131),"")</f>
        <v/>
      </c>
      <c r="D131" s="0" t="str">
        <f aca="false">IFERROR(IF(Productos!A131="","",Productos!E131),"")</f>
        <v/>
      </c>
      <c r="E131" s="6" t="str">
        <f aca="false">IFERROR(IF(A131="","",SUMIFS(Movimientos!E:E, Movimientos!D:D, A131, Movimientos!C:C, "Ingreso", Movimientos!G:G, "TIN")+SUMIFS(Movimientos!E:E, Movimientos!D:D, A131, Movimientos!C:C, "Traslado", Movimientos!G:G, "TIN")-SUMIFS(Movimientos!E:E, Movimientos!D:D, A131, Movimientos!C:C, "Traslado", Movimientos!F:F, "TIN")-SUMIFS(Movimientos!E:E, Movimientos!D:D, A131, Movimientos!C:C, "Egreso", Movimientos!F:F, "TIN")+SUMIFS(Movimientos!E:E, Movimientos!D:D, A131, Movimientos!C:C, "Ajuste", Movimientos!F:F, "TIN")),"")</f>
        <v/>
      </c>
      <c r="F131" s="6" t="str">
        <f aca="false">IFERROR(IF(A131="","",SUMIFS(Movimientos!E:E, Movimientos!D:D, A131, Movimientos!C:C, "Ingreso", Movimientos!G:G, "G1000")+SUMIFS(Movimientos!E:E, Movimientos!D:D, A131, Movimientos!C:C, "Traslado", Movimientos!G:G, "G1000")-SUMIFS(Movimientos!E:E, Movimientos!D:D, A131, Movimientos!C:C, "Traslado", Movimientos!F:F, "G1000")-SUMIFS(Movimientos!E:E, Movimientos!D:D, A131, Movimientos!C:C, "Egreso", Movimientos!F:F, "G1000")+SUMIFS(Movimientos!E:E, Movimientos!D:D, A131, Movimientos!C:C, "Ajuste", Movimientos!F:F, "G1000")),"")</f>
        <v/>
      </c>
      <c r="G131" s="6" t="str">
        <f aca="false">IFERROR(IF(A131="","",SUMIFS(Movimientos!E:E, Movimientos!D:D, A131, Movimientos!C:C, "Ingreso", Movimientos!G:G, "G710")+SUMIFS(Movimientos!E:E, Movimientos!D:D, A131, Movimientos!C:C, "Traslado", Movimientos!G:G, "G710")-SUMIFS(Movimientos!E:E, Movimientos!D:D, A131, Movimientos!C:C, "Traslado", Movimientos!F:F, "G710")-SUMIFS(Movimientos!E:E, Movimientos!D:D, A131, Movimientos!C:C, "Egreso", Movimientos!F:F, "G710")+SUMIFS(Movimientos!E:E, Movimientos!D:D, A131, Movimientos!C:C, "Ajuste", Movimientos!F:F, "G710")),"")</f>
        <v/>
      </c>
      <c r="H131" s="6" t="str">
        <f aca="false">IFERROR(IF(A131="","",SUMIFS(Movimientos!E:E, Movimientos!D:D, A131, Movimientos!C:C, "Ingreso", Movimientos!G:G, "G5000")+SUMIFS(Movimientos!E:E, Movimientos!D:D, A131, Movimientos!C:C, "Traslado", Movimientos!G:G, "G5000")-SUMIFS(Movimientos!E:E, Movimientos!D:D, A131, Movimientos!C:C, "Traslado", Movimientos!F:F, "G5000")-SUMIFS(Movimientos!E:E, Movimientos!D:D, A131, Movimientos!C:C, "Egreso", Movimientos!F:F, "G5000")+SUMIFS(Movimientos!E:E, Movimientos!D:D, A131, Movimientos!C:C, "Ajuste", Movimientos!F:F, "G5000")),"")</f>
        <v/>
      </c>
      <c r="I131" s="6" t="str">
        <f aca="false">IFERROR(IF(A131="","",SUMIFS(Movimientos!E:E, Movimientos!D:D, A131, Movimientos!C:C, "Ingreso", Movimientos!G:G, "G3")+SUMIFS(Movimientos!E:E, Movimientos!D:D, A131, Movimientos!C:C, "Traslado", Movimientos!G:G, "G3")-SUMIFS(Movimientos!E:E, Movimientos!D:D, A131, Movimientos!C:C, "Traslado", Movimientos!F:F, "G3")-SUMIFS(Movimientos!E:E, Movimientos!D:D, A131, Movimientos!C:C, "Egreso", Movimientos!F:F, "G3")+SUMIFS(Movimientos!E:E, Movimientos!D:D, A131, Movimientos!C:C, "Ajuste", Movimientos!F:F, "G3")),"")</f>
        <v/>
      </c>
      <c r="J131" s="6" t="str">
        <f aca="false">IFERROR(IF(A131="","",SUM(E131:I131)),"")</f>
        <v/>
      </c>
      <c r="K131" s="6" t="str">
        <f aca="false">IFERROR(IF(A131="","",SUMIFS(Movimientos!E:E, Movimientos!D:D, A131, Movimientos!C:C, "Reserva")-SUMIFS(Movimientos!E:E, Movimientos!D:D, A131, Movimientos!C:C, "Libera_Reserva")),"")</f>
        <v/>
      </c>
      <c r="L131" s="6" t="str">
        <f aca="false">IFERROR(IF(A131="","",J131-K131),"")</f>
        <v/>
      </c>
      <c r="M131" s="6" t="str">
        <f aca="false">IFERROR(IF(Productos!A131="","",Productos!G131),"")</f>
        <v/>
      </c>
      <c r="N131" s="6" t="str">
        <f aca="false">IFERROR(IF(A131="","",IF(L131&lt;M131,"BAJO STOCK","OK")),"")</f>
        <v/>
      </c>
    </row>
    <row r="132" customFormat="false" ht="15" hidden="false" customHeight="false" outlineLevel="0" collapsed="false">
      <c r="A132" s="0" t="str">
        <f aca="false">IFERROR(IF(Productos!A132="","",Productos!A132),"")</f>
        <v/>
      </c>
      <c r="B132" s="0" t="str">
        <f aca="false">IFERROR(IF(Productos!A132="","",Productos!B132),"")</f>
        <v/>
      </c>
      <c r="C132" s="0" t="str">
        <f aca="false">IFERROR(IF(Productos!A132="","",Productos!C132),"")</f>
        <v/>
      </c>
      <c r="D132" s="0" t="str">
        <f aca="false">IFERROR(IF(Productos!A132="","",Productos!E132),"")</f>
        <v/>
      </c>
      <c r="E132" s="6" t="str">
        <f aca="false">IFERROR(IF(A132="","",SUMIFS(Movimientos!E:E, Movimientos!D:D, A132, Movimientos!C:C, "Ingreso", Movimientos!G:G, "TIN")+SUMIFS(Movimientos!E:E, Movimientos!D:D, A132, Movimientos!C:C, "Traslado", Movimientos!G:G, "TIN")-SUMIFS(Movimientos!E:E, Movimientos!D:D, A132, Movimientos!C:C, "Traslado", Movimientos!F:F, "TIN")-SUMIFS(Movimientos!E:E, Movimientos!D:D, A132, Movimientos!C:C, "Egreso", Movimientos!F:F, "TIN")+SUMIFS(Movimientos!E:E, Movimientos!D:D, A132, Movimientos!C:C, "Ajuste", Movimientos!F:F, "TIN")),"")</f>
        <v/>
      </c>
      <c r="F132" s="6" t="str">
        <f aca="false">IFERROR(IF(A132="","",SUMIFS(Movimientos!E:E, Movimientos!D:D, A132, Movimientos!C:C, "Ingreso", Movimientos!G:G, "G1000")+SUMIFS(Movimientos!E:E, Movimientos!D:D, A132, Movimientos!C:C, "Traslado", Movimientos!G:G, "G1000")-SUMIFS(Movimientos!E:E, Movimientos!D:D, A132, Movimientos!C:C, "Traslado", Movimientos!F:F, "G1000")-SUMIFS(Movimientos!E:E, Movimientos!D:D, A132, Movimientos!C:C, "Egreso", Movimientos!F:F, "G1000")+SUMIFS(Movimientos!E:E, Movimientos!D:D, A132, Movimientos!C:C, "Ajuste", Movimientos!F:F, "G1000")),"")</f>
        <v/>
      </c>
      <c r="G132" s="6" t="str">
        <f aca="false">IFERROR(IF(A132="","",SUMIFS(Movimientos!E:E, Movimientos!D:D, A132, Movimientos!C:C, "Ingreso", Movimientos!G:G, "G710")+SUMIFS(Movimientos!E:E, Movimientos!D:D, A132, Movimientos!C:C, "Traslado", Movimientos!G:G, "G710")-SUMIFS(Movimientos!E:E, Movimientos!D:D, A132, Movimientos!C:C, "Traslado", Movimientos!F:F, "G710")-SUMIFS(Movimientos!E:E, Movimientos!D:D, A132, Movimientos!C:C, "Egreso", Movimientos!F:F, "G710")+SUMIFS(Movimientos!E:E, Movimientos!D:D, A132, Movimientos!C:C, "Ajuste", Movimientos!F:F, "G710")),"")</f>
        <v/>
      </c>
      <c r="H132" s="6" t="str">
        <f aca="false">IFERROR(IF(A132="","",SUMIFS(Movimientos!E:E, Movimientos!D:D, A132, Movimientos!C:C, "Ingreso", Movimientos!G:G, "G5000")+SUMIFS(Movimientos!E:E, Movimientos!D:D, A132, Movimientos!C:C, "Traslado", Movimientos!G:G, "G5000")-SUMIFS(Movimientos!E:E, Movimientos!D:D, A132, Movimientos!C:C, "Traslado", Movimientos!F:F, "G5000")-SUMIFS(Movimientos!E:E, Movimientos!D:D, A132, Movimientos!C:C, "Egreso", Movimientos!F:F, "G5000")+SUMIFS(Movimientos!E:E, Movimientos!D:D, A132, Movimientos!C:C, "Ajuste", Movimientos!F:F, "G5000")),"")</f>
        <v/>
      </c>
      <c r="I132" s="6" t="str">
        <f aca="false">IFERROR(IF(A132="","",SUMIFS(Movimientos!E:E, Movimientos!D:D, A132, Movimientos!C:C, "Ingreso", Movimientos!G:G, "G3")+SUMIFS(Movimientos!E:E, Movimientos!D:D, A132, Movimientos!C:C, "Traslado", Movimientos!G:G, "G3")-SUMIFS(Movimientos!E:E, Movimientos!D:D, A132, Movimientos!C:C, "Traslado", Movimientos!F:F, "G3")-SUMIFS(Movimientos!E:E, Movimientos!D:D, A132, Movimientos!C:C, "Egreso", Movimientos!F:F, "G3")+SUMIFS(Movimientos!E:E, Movimientos!D:D, A132, Movimientos!C:C, "Ajuste", Movimientos!F:F, "G3")),"")</f>
        <v/>
      </c>
      <c r="J132" s="6" t="str">
        <f aca="false">IFERROR(IF(A132="","",SUM(E132:I132)),"")</f>
        <v/>
      </c>
      <c r="K132" s="6" t="str">
        <f aca="false">IFERROR(IF(A132="","",SUMIFS(Movimientos!E:E, Movimientos!D:D, A132, Movimientos!C:C, "Reserva")-SUMIFS(Movimientos!E:E, Movimientos!D:D, A132, Movimientos!C:C, "Libera_Reserva")),"")</f>
        <v/>
      </c>
      <c r="L132" s="6" t="str">
        <f aca="false">IFERROR(IF(A132="","",J132-K132),"")</f>
        <v/>
      </c>
      <c r="M132" s="6" t="str">
        <f aca="false">IFERROR(IF(Productos!A132="","",Productos!G132),"")</f>
        <v/>
      </c>
      <c r="N132" s="6" t="str">
        <f aca="false">IFERROR(IF(A132="","",IF(L132&lt;M132,"BAJO STOCK","OK")),"")</f>
        <v/>
      </c>
    </row>
    <row r="133" customFormat="false" ht="15" hidden="false" customHeight="false" outlineLevel="0" collapsed="false">
      <c r="A133" s="0" t="str">
        <f aca="false">IFERROR(IF(Productos!A133="","",Productos!A133),"")</f>
        <v/>
      </c>
      <c r="B133" s="0" t="str">
        <f aca="false">IFERROR(IF(Productos!A133="","",Productos!B133),"")</f>
        <v/>
      </c>
      <c r="C133" s="0" t="str">
        <f aca="false">IFERROR(IF(Productos!A133="","",Productos!C133),"")</f>
        <v/>
      </c>
      <c r="D133" s="0" t="str">
        <f aca="false">IFERROR(IF(Productos!A133="","",Productos!E133),"")</f>
        <v/>
      </c>
      <c r="E133" s="6" t="str">
        <f aca="false">IFERROR(IF(A133="","",SUMIFS(Movimientos!E:E, Movimientos!D:D, A133, Movimientos!C:C, "Ingreso", Movimientos!G:G, "TIN")+SUMIFS(Movimientos!E:E, Movimientos!D:D, A133, Movimientos!C:C, "Traslado", Movimientos!G:G, "TIN")-SUMIFS(Movimientos!E:E, Movimientos!D:D, A133, Movimientos!C:C, "Traslado", Movimientos!F:F, "TIN")-SUMIFS(Movimientos!E:E, Movimientos!D:D, A133, Movimientos!C:C, "Egreso", Movimientos!F:F, "TIN")+SUMIFS(Movimientos!E:E, Movimientos!D:D, A133, Movimientos!C:C, "Ajuste", Movimientos!F:F, "TIN")),"")</f>
        <v/>
      </c>
      <c r="F133" s="6" t="str">
        <f aca="false">IFERROR(IF(A133="","",SUMIFS(Movimientos!E:E, Movimientos!D:D, A133, Movimientos!C:C, "Ingreso", Movimientos!G:G, "G1000")+SUMIFS(Movimientos!E:E, Movimientos!D:D, A133, Movimientos!C:C, "Traslado", Movimientos!G:G, "G1000")-SUMIFS(Movimientos!E:E, Movimientos!D:D, A133, Movimientos!C:C, "Traslado", Movimientos!F:F, "G1000")-SUMIFS(Movimientos!E:E, Movimientos!D:D, A133, Movimientos!C:C, "Egreso", Movimientos!F:F, "G1000")+SUMIFS(Movimientos!E:E, Movimientos!D:D, A133, Movimientos!C:C, "Ajuste", Movimientos!F:F, "G1000")),"")</f>
        <v/>
      </c>
      <c r="G133" s="6" t="str">
        <f aca="false">IFERROR(IF(A133="","",SUMIFS(Movimientos!E:E, Movimientos!D:D, A133, Movimientos!C:C, "Ingreso", Movimientos!G:G, "G710")+SUMIFS(Movimientos!E:E, Movimientos!D:D, A133, Movimientos!C:C, "Traslado", Movimientos!G:G, "G710")-SUMIFS(Movimientos!E:E, Movimientos!D:D, A133, Movimientos!C:C, "Traslado", Movimientos!F:F, "G710")-SUMIFS(Movimientos!E:E, Movimientos!D:D, A133, Movimientos!C:C, "Egreso", Movimientos!F:F, "G710")+SUMIFS(Movimientos!E:E, Movimientos!D:D, A133, Movimientos!C:C, "Ajuste", Movimientos!F:F, "G710")),"")</f>
        <v/>
      </c>
      <c r="H133" s="6" t="str">
        <f aca="false">IFERROR(IF(A133="","",SUMIFS(Movimientos!E:E, Movimientos!D:D, A133, Movimientos!C:C, "Ingreso", Movimientos!G:G, "G5000")+SUMIFS(Movimientos!E:E, Movimientos!D:D, A133, Movimientos!C:C, "Traslado", Movimientos!G:G, "G5000")-SUMIFS(Movimientos!E:E, Movimientos!D:D, A133, Movimientos!C:C, "Traslado", Movimientos!F:F, "G5000")-SUMIFS(Movimientos!E:E, Movimientos!D:D, A133, Movimientos!C:C, "Egreso", Movimientos!F:F, "G5000")+SUMIFS(Movimientos!E:E, Movimientos!D:D, A133, Movimientos!C:C, "Ajuste", Movimientos!F:F, "G5000")),"")</f>
        <v/>
      </c>
      <c r="I133" s="6" t="str">
        <f aca="false">IFERROR(IF(A133="","",SUMIFS(Movimientos!E:E, Movimientos!D:D, A133, Movimientos!C:C, "Ingreso", Movimientos!G:G, "G3")+SUMIFS(Movimientos!E:E, Movimientos!D:D, A133, Movimientos!C:C, "Traslado", Movimientos!G:G, "G3")-SUMIFS(Movimientos!E:E, Movimientos!D:D, A133, Movimientos!C:C, "Traslado", Movimientos!F:F, "G3")-SUMIFS(Movimientos!E:E, Movimientos!D:D, A133, Movimientos!C:C, "Egreso", Movimientos!F:F, "G3")+SUMIFS(Movimientos!E:E, Movimientos!D:D, A133, Movimientos!C:C, "Ajuste", Movimientos!F:F, "G3")),"")</f>
        <v/>
      </c>
      <c r="J133" s="6" t="str">
        <f aca="false">IFERROR(IF(A133="","",SUM(E133:I133)),"")</f>
        <v/>
      </c>
      <c r="K133" s="6" t="str">
        <f aca="false">IFERROR(IF(A133="","",SUMIFS(Movimientos!E:E, Movimientos!D:D, A133, Movimientos!C:C, "Reserva")-SUMIFS(Movimientos!E:E, Movimientos!D:D, A133, Movimientos!C:C, "Libera_Reserva")),"")</f>
        <v/>
      </c>
      <c r="L133" s="6" t="str">
        <f aca="false">IFERROR(IF(A133="","",J133-K133),"")</f>
        <v/>
      </c>
      <c r="M133" s="6" t="str">
        <f aca="false">IFERROR(IF(Productos!A133="","",Productos!G133),"")</f>
        <v/>
      </c>
      <c r="N133" s="6" t="str">
        <f aca="false">IFERROR(IF(A133="","",IF(L133&lt;M133,"BAJO STOCK","OK")),"")</f>
        <v/>
      </c>
    </row>
    <row r="134" customFormat="false" ht="15" hidden="false" customHeight="false" outlineLevel="0" collapsed="false">
      <c r="A134" s="0" t="str">
        <f aca="false">IFERROR(IF(Productos!A134="","",Productos!A134),"")</f>
        <v/>
      </c>
      <c r="B134" s="0" t="str">
        <f aca="false">IFERROR(IF(Productos!A134="","",Productos!B134),"")</f>
        <v/>
      </c>
      <c r="C134" s="0" t="str">
        <f aca="false">IFERROR(IF(Productos!A134="","",Productos!C134),"")</f>
        <v/>
      </c>
      <c r="D134" s="0" t="str">
        <f aca="false">IFERROR(IF(Productos!A134="","",Productos!E134),"")</f>
        <v/>
      </c>
      <c r="E134" s="6" t="str">
        <f aca="false">IFERROR(IF(A134="","",SUMIFS(Movimientos!E:E, Movimientos!D:D, A134, Movimientos!C:C, "Ingreso", Movimientos!G:G, "TIN")+SUMIFS(Movimientos!E:E, Movimientos!D:D, A134, Movimientos!C:C, "Traslado", Movimientos!G:G, "TIN")-SUMIFS(Movimientos!E:E, Movimientos!D:D, A134, Movimientos!C:C, "Traslado", Movimientos!F:F, "TIN")-SUMIFS(Movimientos!E:E, Movimientos!D:D, A134, Movimientos!C:C, "Egreso", Movimientos!F:F, "TIN")+SUMIFS(Movimientos!E:E, Movimientos!D:D, A134, Movimientos!C:C, "Ajuste", Movimientos!F:F, "TIN")),"")</f>
        <v/>
      </c>
      <c r="F134" s="6" t="str">
        <f aca="false">IFERROR(IF(A134="","",SUMIFS(Movimientos!E:E, Movimientos!D:D, A134, Movimientos!C:C, "Ingreso", Movimientos!G:G, "G1000")+SUMIFS(Movimientos!E:E, Movimientos!D:D, A134, Movimientos!C:C, "Traslado", Movimientos!G:G, "G1000")-SUMIFS(Movimientos!E:E, Movimientos!D:D, A134, Movimientos!C:C, "Traslado", Movimientos!F:F, "G1000")-SUMIFS(Movimientos!E:E, Movimientos!D:D, A134, Movimientos!C:C, "Egreso", Movimientos!F:F, "G1000")+SUMIFS(Movimientos!E:E, Movimientos!D:D, A134, Movimientos!C:C, "Ajuste", Movimientos!F:F, "G1000")),"")</f>
        <v/>
      </c>
      <c r="G134" s="6" t="str">
        <f aca="false">IFERROR(IF(A134="","",SUMIFS(Movimientos!E:E, Movimientos!D:D, A134, Movimientos!C:C, "Ingreso", Movimientos!G:G, "G710")+SUMIFS(Movimientos!E:E, Movimientos!D:D, A134, Movimientos!C:C, "Traslado", Movimientos!G:G, "G710")-SUMIFS(Movimientos!E:E, Movimientos!D:D, A134, Movimientos!C:C, "Traslado", Movimientos!F:F, "G710")-SUMIFS(Movimientos!E:E, Movimientos!D:D, A134, Movimientos!C:C, "Egreso", Movimientos!F:F, "G710")+SUMIFS(Movimientos!E:E, Movimientos!D:D, A134, Movimientos!C:C, "Ajuste", Movimientos!F:F, "G710")),"")</f>
        <v/>
      </c>
      <c r="H134" s="6" t="str">
        <f aca="false">IFERROR(IF(A134="","",SUMIFS(Movimientos!E:E, Movimientos!D:D, A134, Movimientos!C:C, "Ingreso", Movimientos!G:G, "G5000")+SUMIFS(Movimientos!E:E, Movimientos!D:D, A134, Movimientos!C:C, "Traslado", Movimientos!G:G, "G5000")-SUMIFS(Movimientos!E:E, Movimientos!D:D, A134, Movimientos!C:C, "Traslado", Movimientos!F:F, "G5000")-SUMIFS(Movimientos!E:E, Movimientos!D:D, A134, Movimientos!C:C, "Egreso", Movimientos!F:F, "G5000")+SUMIFS(Movimientos!E:E, Movimientos!D:D, A134, Movimientos!C:C, "Ajuste", Movimientos!F:F, "G5000")),"")</f>
        <v/>
      </c>
      <c r="I134" s="6" t="str">
        <f aca="false">IFERROR(IF(A134="","",SUMIFS(Movimientos!E:E, Movimientos!D:D, A134, Movimientos!C:C, "Ingreso", Movimientos!G:G, "G3")+SUMIFS(Movimientos!E:E, Movimientos!D:D, A134, Movimientos!C:C, "Traslado", Movimientos!G:G, "G3")-SUMIFS(Movimientos!E:E, Movimientos!D:D, A134, Movimientos!C:C, "Traslado", Movimientos!F:F, "G3")-SUMIFS(Movimientos!E:E, Movimientos!D:D, A134, Movimientos!C:C, "Egreso", Movimientos!F:F, "G3")+SUMIFS(Movimientos!E:E, Movimientos!D:D, A134, Movimientos!C:C, "Ajuste", Movimientos!F:F, "G3")),"")</f>
        <v/>
      </c>
      <c r="J134" s="6" t="str">
        <f aca="false">IFERROR(IF(A134="","",SUM(E134:I134)),"")</f>
        <v/>
      </c>
      <c r="K134" s="6" t="str">
        <f aca="false">IFERROR(IF(A134="","",SUMIFS(Movimientos!E:E, Movimientos!D:D, A134, Movimientos!C:C, "Reserva")-SUMIFS(Movimientos!E:E, Movimientos!D:D, A134, Movimientos!C:C, "Libera_Reserva")),"")</f>
        <v/>
      </c>
      <c r="L134" s="6" t="str">
        <f aca="false">IFERROR(IF(A134="","",J134-K134),"")</f>
        <v/>
      </c>
      <c r="M134" s="6" t="str">
        <f aca="false">IFERROR(IF(Productos!A134="","",Productos!G134),"")</f>
        <v/>
      </c>
      <c r="N134" s="6" t="str">
        <f aca="false">IFERROR(IF(A134="","",IF(L134&lt;M134,"BAJO STOCK","OK")),"")</f>
        <v/>
      </c>
    </row>
    <row r="135" customFormat="false" ht="15" hidden="false" customHeight="false" outlineLevel="0" collapsed="false">
      <c r="A135" s="0" t="str">
        <f aca="false">IFERROR(IF(Productos!A135="","",Productos!A135),"")</f>
        <v/>
      </c>
      <c r="B135" s="0" t="str">
        <f aca="false">IFERROR(IF(Productos!A135="","",Productos!B135),"")</f>
        <v/>
      </c>
      <c r="C135" s="0" t="str">
        <f aca="false">IFERROR(IF(Productos!A135="","",Productos!C135),"")</f>
        <v/>
      </c>
      <c r="D135" s="0" t="str">
        <f aca="false">IFERROR(IF(Productos!A135="","",Productos!E135),"")</f>
        <v/>
      </c>
      <c r="E135" s="6" t="str">
        <f aca="false">IFERROR(IF(A135="","",SUMIFS(Movimientos!E:E, Movimientos!D:D, A135, Movimientos!C:C, "Ingreso", Movimientos!G:G, "TIN")+SUMIFS(Movimientos!E:E, Movimientos!D:D, A135, Movimientos!C:C, "Traslado", Movimientos!G:G, "TIN")-SUMIFS(Movimientos!E:E, Movimientos!D:D, A135, Movimientos!C:C, "Traslado", Movimientos!F:F, "TIN")-SUMIFS(Movimientos!E:E, Movimientos!D:D, A135, Movimientos!C:C, "Egreso", Movimientos!F:F, "TIN")+SUMIFS(Movimientos!E:E, Movimientos!D:D, A135, Movimientos!C:C, "Ajuste", Movimientos!F:F, "TIN")),"")</f>
        <v/>
      </c>
      <c r="F135" s="6" t="str">
        <f aca="false">IFERROR(IF(A135="","",SUMIFS(Movimientos!E:E, Movimientos!D:D, A135, Movimientos!C:C, "Ingreso", Movimientos!G:G, "G1000")+SUMIFS(Movimientos!E:E, Movimientos!D:D, A135, Movimientos!C:C, "Traslado", Movimientos!G:G, "G1000")-SUMIFS(Movimientos!E:E, Movimientos!D:D, A135, Movimientos!C:C, "Traslado", Movimientos!F:F, "G1000")-SUMIFS(Movimientos!E:E, Movimientos!D:D, A135, Movimientos!C:C, "Egreso", Movimientos!F:F, "G1000")+SUMIFS(Movimientos!E:E, Movimientos!D:D, A135, Movimientos!C:C, "Ajuste", Movimientos!F:F, "G1000")),"")</f>
        <v/>
      </c>
      <c r="G135" s="6" t="str">
        <f aca="false">IFERROR(IF(A135="","",SUMIFS(Movimientos!E:E, Movimientos!D:D, A135, Movimientos!C:C, "Ingreso", Movimientos!G:G, "G710")+SUMIFS(Movimientos!E:E, Movimientos!D:D, A135, Movimientos!C:C, "Traslado", Movimientos!G:G, "G710")-SUMIFS(Movimientos!E:E, Movimientos!D:D, A135, Movimientos!C:C, "Traslado", Movimientos!F:F, "G710")-SUMIFS(Movimientos!E:E, Movimientos!D:D, A135, Movimientos!C:C, "Egreso", Movimientos!F:F, "G710")+SUMIFS(Movimientos!E:E, Movimientos!D:D, A135, Movimientos!C:C, "Ajuste", Movimientos!F:F, "G710")),"")</f>
        <v/>
      </c>
      <c r="H135" s="6" t="str">
        <f aca="false">IFERROR(IF(A135="","",SUMIFS(Movimientos!E:E, Movimientos!D:D, A135, Movimientos!C:C, "Ingreso", Movimientos!G:G, "G5000")+SUMIFS(Movimientos!E:E, Movimientos!D:D, A135, Movimientos!C:C, "Traslado", Movimientos!G:G, "G5000")-SUMIFS(Movimientos!E:E, Movimientos!D:D, A135, Movimientos!C:C, "Traslado", Movimientos!F:F, "G5000")-SUMIFS(Movimientos!E:E, Movimientos!D:D, A135, Movimientos!C:C, "Egreso", Movimientos!F:F, "G5000")+SUMIFS(Movimientos!E:E, Movimientos!D:D, A135, Movimientos!C:C, "Ajuste", Movimientos!F:F, "G5000")),"")</f>
        <v/>
      </c>
      <c r="I135" s="6" t="str">
        <f aca="false">IFERROR(IF(A135="","",SUMIFS(Movimientos!E:E, Movimientos!D:D, A135, Movimientos!C:C, "Ingreso", Movimientos!G:G, "G3")+SUMIFS(Movimientos!E:E, Movimientos!D:D, A135, Movimientos!C:C, "Traslado", Movimientos!G:G, "G3")-SUMIFS(Movimientos!E:E, Movimientos!D:D, A135, Movimientos!C:C, "Traslado", Movimientos!F:F, "G3")-SUMIFS(Movimientos!E:E, Movimientos!D:D, A135, Movimientos!C:C, "Egreso", Movimientos!F:F, "G3")+SUMIFS(Movimientos!E:E, Movimientos!D:D, A135, Movimientos!C:C, "Ajuste", Movimientos!F:F, "G3")),"")</f>
        <v/>
      </c>
      <c r="J135" s="6" t="str">
        <f aca="false">IFERROR(IF(A135="","",SUM(E135:I135)),"")</f>
        <v/>
      </c>
      <c r="K135" s="6" t="str">
        <f aca="false">IFERROR(IF(A135="","",SUMIFS(Movimientos!E:E, Movimientos!D:D, A135, Movimientos!C:C, "Reserva")-SUMIFS(Movimientos!E:E, Movimientos!D:D, A135, Movimientos!C:C, "Libera_Reserva")),"")</f>
        <v/>
      </c>
      <c r="L135" s="6" t="str">
        <f aca="false">IFERROR(IF(A135="","",J135-K135),"")</f>
        <v/>
      </c>
      <c r="M135" s="6" t="str">
        <f aca="false">IFERROR(IF(Productos!A135="","",Productos!G135),"")</f>
        <v/>
      </c>
      <c r="N135" s="6" t="str">
        <f aca="false">IFERROR(IF(A135="","",IF(L135&lt;M135,"BAJO STOCK","OK")),"")</f>
        <v/>
      </c>
    </row>
    <row r="136" customFormat="false" ht="15" hidden="false" customHeight="false" outlineLevel="0" collapsed="false">
      <c r="A136" s="0" t="str">
        <f aca="false">IFERROR(IF(Productos!A136="","",Productos!A136),"")</f>
        <v/>
      </c>
      <c r="B136" s="0" t="str">
        <f aca="false">IFERROR(IF(Productos!A136="","",Productos!B136),"")</f>
        <v/>
      </c>
      <c r="C136" s="0" t="str">
        <f aca="false">IFERROR(IF(Productos!A136="","",Productos!C136),"")</f>
        <v/>
      </c>
      <c r="D136" s="0" t="str">
        <f aca="false">IFERROR(IF(Productos!A136="","",Productos!E136),"")</f>
        <v/>
      </c>
      <c r="E136" s="6" t="str">
        <f aca="false">IFERROR(IF(A136="","",SUMIFS(Movimientos!E:E, Movimientos!D:D, A136, Movimientos!C:C, "Ingreso", Movimientos!G:G, "TIN")+SUMIFS(Movimientos!E:E, Movimientos!D:D, A136, Movimientos!C:C, "Traslado", Movimientos!G:G, "TIN")-SUMIFS(Movimientos!E:E, Movimientos!D:D, A136, Movimientos!C:C, "Traslado", Movimientos!F:F, "TIN")-SUMIFS(Movimientos!E:E, Movimientos!D:D, A136, Movimientos!C:C, "Egreso", Movimientos!F:F, "TIN")+SUMIFS(Movimientos!E:E, Movimientos!D:D, A136, Movimientos!C:C, "Ajuste", Movimientos!F:F, "TIN")),"")</f>
        <v/>
      </c>
      <c r="F136" s="6" t="str">
        <f aca="false">IFERROR(IF(A136="","",SUMIFS(Movimientos!E:E, Movimientos!D:D, A136, Movimientos!C:C, "Ingreso", Movimientos!G:G, "G1000")+SUMIFS(Movimientos!E:E, Movimientos!D:D, A136, Movimientos!C:C, "Traslado", Movimientos!G:G, "G1000")-SUMIFS(Movimientos!E:E, Movimientos!D:D, A136, Movimientos!C:C, "Traslado", Movimientos!F:F, "G1000")-SUMIFS(Movimientos!E:E, Movimientos!D:D, A136, Movimientos!C:C, "Egreso", Movimientos!F:F, "G1000")+SUMIFS(Movimientos!E:E, Movimientos!D:D, A136, Movimientos!C:C, "Ajuste", Movimientos!F:F, "G1000")),"")</f>
        <v/>
      </c>
      <c r="G136" s="6" t="str">
        <f aca="false">IFERROR(IF(A136="","",SUMIFS(Movimientos!E:E, Movimientos!D:D, A136, Movimientos!C:C, "Ingreso", Movimientos!G:G, "G710")+SUMIFS(Movimientos!E:E, Movimientos!D:D, A136, Movimientos!C:C, "Traslado", Movimientos!G:G, "G710")-SUMIFS(Movimientos!E:E, Movimientos!D:D, A136, Movimientos!C:C, "Traslado", Movimientos!F:F, "G710")-SUMIFS(Movimientos!E:E, Movimientos!D:D, A136, Movimientos!C:C, "Egreso", Movimientos!F:F, "G710")+SUMIFS(Movimientos!E:E, Movimientos!D:D, A136, Movimientos!C:C, "Ajuste", Movimientos!F:F, "G710")),"")</f>
        <v/>
      </c>
      <c r="H136" s="6" t="str">
        <f aca="false">IFERROR(IF(A136="","",SUMIFS(Movimientos!E:E, Movimientos!D:D, A136, Movimientos!C:C, "Ingreso", Movimientos!G:G, "G5000")+SUMIFS(Movimientos!E:E, Movimientos!D:D, A136, Movimientos!C:C, "Traslado", Movimientos!G:G, "G5000")-SUMIFS(Movimientos!E:E, Movimientos!D:D, A136, Movimientos!C:C, "Traslado", Movimientos!F:F, "G5000")-SUMIFS(Movimientos!E:E, Movimientos!D:D, A136, Movimientos!C:C, "Egreso", Movimientos!F:F, "G5000")+SUMIFS(Movimientos!E:E, Movimientos!D:D, A136, Movimientos!C:C, "Ajuste", Movimientos!F:F, "G5000")),"")</f>
        <v/>
      </c>
      <c r="I136" s="6" t="str">
        <f aca="false">IFERROR(IF(A136="","",SUMIFS(Movimientos!E:E, Movimientos!D:D, A136, Movimientos!C:C, "Ingreso", Movimientos!G:G, "G3")+SUMIFS(Movimientos!E:E, Movimientos!D:D, A136, Movimientos!C:C, "Traslado", Movimientos!G:G, "G3")-SUMIFS(Movimientos!E:E, Movimientos!D:D, A136, Movimientos!C:C, "Traslado", Movimientos!F:F, "G3")-SUMIFS(Movimientos!E:E, Movimientos!D:D, A136, Movimientos!C:C, "Egreso", Movimientos!F:F, "G3")+SUMIFS(Movimientos!E:E, Movimientos!D:D, A136, Movimientos!C:C, "Ajuste", Movimientos!F:F, "G3")),"")</f>
        <v/>
      </c>
      <c r="J136" s="6" t="str">
        <f aca="false">IFERROR(IF(A136="","",SUM(E136:I136)),"")</f>
        <v/>
      </c>
      <c r="K136" s="6" t="str">
        <f aca="false">IFERROR(IF(A136="","",SUMIFS(Movimientos!E:E, Movimientos!D:D, A136, Movimientos!C:C, "Reserva")-SUMIFS(Movimientos!E:E, Movimientos!D:D, A136, Movimientos!C:C, "Libera_Reserva")),"")</f>
        <v/>
      </c>
      <c r="L136" s="6" t="str">
        <f aca="false">IFERROR(IF(A136="","",J136-K136),"")</f>
        <v/>
      </c>
      <c r="M136" s="6" t="str">
        <f aca="false">IFERROR(IF(Productos!A136="","",Productos!G136),"")</f>
        <v/>
      </c>
      <c r="N136" s="6" t="str">
        <f aca="false">IFERROR(IF(A136="","",IF(L136&lt;M136,"BAJO STOCK","OK")),"")</f>
        <v/>
      </c>
    </row>
    <row r="137" customFormat="false" ht="15" hidden="false" customHeight="false" outlineLevel="0" collapsed="false">
      <c r="A137" s="0" t="str">
        <f aca="false">IFERROR(IF(Productos!A137="","",Productos!A137),"")</f>
        <v/>
      </c>
      <c r="B137" s="0" t="str">
        <f aca="false">IFERROR(IF(Productos!A137="","",Productos!B137),"")</f>
        <v/>
      </c>
      <c r="C137" s="0" t="str">
        <f aca="false">IFERROR(IF(Productos!A137="","",Productos!C137),"")</f>
        <v/>
      </c>
      <c r="D137" s="0" t="str">
        <f aca="false">IFERROR(IF(Productos!A137="","",Productos!E137),"")</f>
        <v/>
      </c>
      <c r="E137" s="6" t="str">
        <f aca="false">IFERROR(IF(A137="","",SUMIFS(Movimientos!E:E, Movimientos!D:D, A137, Movimientos!C:C, "Ingreso", Movimientos!G:G, "TIN")+SUMIFS(Movimientos!E:E, Movimientos!D:D, A137, Movimientos!C:C, "Traslado", Movimientos!G:G, "TIN")-SUMIFS(Movimientos!E:E, Movimientos!D:D, A137, Movimientos!C:C, "Traslado", Movimientos!F:F, "TIN")-SUMIFS(Movimientos!E:E, Movimientos!D:D, A137, Movimientos!C:C, "Egreso", Movimientos!F:F, "TIN")+SUMIFS(Movimientos!E:E, Movimientos!D:D, A137, Movimientos!C:C, "Ajuste", Movimientos!F:F, "TIN")),"")</f>
        <v/>
      </c>
      <c r="F137" s="6" t="str">
        <f aca="false">IFERROR(IF(A137="","",SUMIFS(Movimientos!E:E, Movimientos!D:D, A137, Movimientos!C:C, "Ingreso", Movimientos!G:G, "G1000")+SUMIFS(Movimientos!E:E, Movimientos!D:D, A137, Movimientos!C:C, "Traslado", Movimientos!G:G, "G1000")-SUMIFS(Movimientos!E:E, Movimientos!D:D, A137, Movimientos!C:C, "Traslado", Movimientos!F:F, "G1000")-SUMIFS(Movimientos!E:E, Movimientos!D:D, A137, Movimientos!C:C, "Egreso", Movimientos!F:F, "G1000")+SUMIFS(Movimientos!E:E, Movimientos!D:D, A137, Movimientos!C:C, "Ajuste", Movimientos!F:F, "G1000")),"")</f>
        <v/>
      </c>
      <c r="G137" s="6" t="str">
        <f aca="false">IFERROR(IF(A137="","",SUMIFS(Movimientos!E:E, Movimientos!D:D, A137, Movimientos!C:C, "Ingreso", Movimientos!G:G, "G710")+SUMIFS(Movimientos!E:E, Movimientos!D:D, A137, Movimientos!C:C, "Traslado", Movimientos!G:G, "G710")-SUMIFS(Movimientos!E:E, Movimientos!D:D, A137, Movimientos!C:C, "Traslado", Movimientos!F:F, "G710")-SUMIFS(Movimientos!E:E, Movimientos!D:D, A137, Movimientos!C:C, "Egreso", Movimientos!F:F, "G710")+SUMIFS(Movimientos!E:E, Movimientos!D:D, A137, Movimientos!C:C, "Ajuste", Movimientos!F:F, "G710")),"")</f>
        <v/>
      </c>
      <c r="H137" s="6" t="str">
        <f aca="false">IFERROR(IF(A137="","",SUMIFS(Movimientos!E:E, Movimientos!D:D, A137, Movimientos!C:C, "Ingreso", Movimientos!G:G, "G5000")+SUMIFS(Movimientos!E:E, Movimientos!D:D, A137, Movimientos!C:C, "Traslado", Movimientos!G:G, "G5000")-SUMIFS(Movimientos!E:E, Movimientos!D:D, A137, Movimientos!C:C, "Traslado", Movimientos!F:F, "G5000")-SUMIFS(Movimientos!E:E, Movimientos!D:D, A137, Movimientos!C:C, "Egreso", Movimientos!F:F, "G5000")+SUMIFS(Movimientos!E:E, Movimientos!D:D, A137, Movimientos!C:C, "Ajuste", Movimientos!F:F, "G5000")),"")</f>
        <v/>
      </c>
      <c r="I137" s="6" t="str">
        <f aca="false">IFERROR(IF(A137="","",SUMIFS(Movimientos!E:E, Movimientos!D:D, A137, Movimientos!C:C, "Ingreso", Movimientos!G:G, "G3")+SUMIFS(Movimientos!E:E, Movimientos!D:D, A137, Movimientos!C:C, "Traslado", Movimientos!G:G, "G3")-SUMIFS(Movimientos!E:E, Movimientos!D:D, A137, Movimientos!C:C, "Traslado", Movimientos!F:F, "G3")-SUMIFS(Movimientos!E:E, Movimientos!D:D, A137, Movimientos!C:C, "Egreso", Movimientos!F:F, "G3")+SUMIFS(Movimientos!E:E, Movimientos!D:D, A137, Movimientos!C:C, "Ajuste", Movimientos!F:F, "G3")),"")</f>
        <v/>
      </c>
      <c r="J137" s="6" t="str">
        <f aca="false">IFERROR(IF(A137="","",SUM(E137:I137)),"")</f>
        <v/>
      </c>
      <c r="K137" s="6" t="str">
        <f aca="false">IFERROR(IF(A137="","",SUMIFS(Movimientos!E:E, Movimientos!D:D, A137, Movimientos!C:C, "Reserva")-SUMIFS(Movimientos!E:E, Movimientos!D:D, A137, Movimientos!C:C, "Libera_Reserva")),"")</f>
        <v/>
      </c>
      <c r="L137" s="6" t="str">
        <f aca="false">IFERROR(IF(A137="","",J137-K137),"")</f>
        <v/>
      </c>
      <c r="M137" s="6" t="str">
        <f aca="false">IFERROR(IF(Productos!A137="","",Productos!G137),"")</f>
        <v/>
      </c>
      <c r="N137" s="6" t="str">
        <f aca="false">IFERROR(IF(A137="","",IF(L137&lt;M137,"BAJO STOCK","OK")),"")</f>
        <v/>
      </c>
    </row>
    <row r="138" customFormat="false" ht="15" hidden="false" customHeight="false" outlineLevel="0" collapsed="false">
      <c r="A138" s="0" t="str">
        <f aca="false">IFERROR(IF(Productos!A138="","",Productos!A138),"")</f>
        <v/>
      </c>
      <c r="B138" s="0" t="str">
        <f aca="false">IFERROR(IF(Productos!A138="","",Productos!B138),"")</f>
        <v/>
      </c>
      <c r="C138" s="0" t="str">
        <f aca="false">IFERROR(IF(Productos!A138="","",Productos!C138),"")</f>
        <v/>
      </c>
      <c r="D138" s="0" t="str">
        <f aca="false">IFERROR(IF(Productos!A138="","",Productos!E138),"")</f>
        <v/>
      </c>
      <c r="E138" s="6" t="str">
        <f aca="false">IFERROR(IF(A138="","",SUMIFS(Movimientos!E:E, Movimientos!D:D, A138, Movimientos!C:C, "Ingreso", Movimientos!G:G, "TIN")+SUMIFS(Movimientos!E:E, Movimientos!D:D, A138, Movimientos!C:C, "Traslado", Movimientos!G:G, "TIN")-SUMIFS(Movimientos!E:E, Movimientos!D:D, A138, Movimientos!C:C, "Traslado", Movimientos!F:F, "TIN")-SUMIFS(Movimientos!E:E, Movimientos!D:D, A138, Movimientos!C:C, "Egreso", Movimientos!F:F, "TIN")+SUMIFS(Movimientos!E:E, Movimientos!D:D, A138, Movimientos!C:C, "Ajuste", Movimientos!F:F, "TIN")),"")</f>
        <v/>
      </c>
      <c r="F138" s="6" t="str">
        <f aca="false">IFERROR(IF(A138="","",SUMIFS(Movimientos!E:E, Movimientos!D:D, A138, Movimientos!C:C, "Ingreso", Movimientos!G:G, "G1000")+SUMIFS(Movimientos!E:E, Movimientos!D:D, A138, Movimientos!C:C, "Traslado", Movimientos!G:G, "G1000")-SUMIFS(Movimientos!E:E, Movimientos!D:D, A138, Movimientos!C:C, "Traslado", Movimientos!F:F, "G1000")-SUMIFS(Movimientos!E:E, Movimientos!D:D, A138, Movimientos!C:C, "Egreso", Movimientos!F:F, "G1000")+SUMIFS(Movimientos!E:E, Movimientos!D:D, A138, Movimientos!C:C, "Ajuste", Movimientos!F:F, "G1000")),"")</f>
        <v/>
      </c>
      <c r="G138" s="6" t="str">
        <f aca="false">IFERROR(IF(A138="","",SUMIFS(Movimientos!E:E, Movimientos!D:D, A138, Movimientos!C:C, "Ingreso", Movimientos!G:G, "G710")+SUMIFS(Movimientos!E:E, Movimientos!D:D, A138, Movimientos!C:C, "Traslado", Movimientos!G:G, "G710")-SUMIFS(Movimientos!E:E, Movimientos!D:D, A138, Movimientos!C:C, "Traslado", Movimientos!F:F, "G710")-SUMIFS(Movimientos!E:E, Movimientos!D:D, A138, Movimientos!C:C, "Egreso", Movimientos!F:F, "G710")+SUMIFS(Movimientos!E:E, Movimientos!D:D, A138, Movimientos!C:C, "Ajuste", Movimientos!F:F, "G710")),"")</f>
        <v/>
      </c>
      <c r="H138" s="6" t="str">
        <f aca="false">IFERROR(IF(A138="","",SUMIFS(Movimientos!E:E, Movimientos!D:D, A138, Movimientos!C:C, "Ingreso", Movimientos!G:G, "G5000")+SUMIFS(Movimientos!E:E, Movimientos!D:D, A138, Movimientos!C:C, "Traslado", Movimientos!G:G, "G5000")-SUMIFS(Movimientos!E:E, Movimientos!D:D, A138, Movimientos!C:C, "Traslado", Movimientos!F:F, "G5000")-SUMIFS(Movimientos!E:E, Movimientos!D:D, A138, Movimientos!C:C, "Egreso", Movimientos!F:F, "G5000")+SUMIFS(Movimientos!E:E, Movimientos!D:D, A138, Movimientos!C:C, "Ajuste", Movimientos!F:F, "G5000")),"")</f>
        <v/>
      </c>
      <c r="I138" s="6" t="str">
        <f aca="false">IFERROR(IF(A138="","",SUMIFS(Movimientos!E:E, Movimientos!D:D, A138, Movimientos!C:C, "Ingreso", Movimientos!G:G, "G3")+SUMIFS(Movimientos!E:E, Movimientos!D:D, A138, Movimientos!C:C, "Traslado", Movimientos!G:G, "G3")-SUMIFS(Movimientos!E:E, Movimientos!D:D, A138, Movimientos!C:C, "Traslado", Movimientos!F:F, "G3")-SUMIFS(Movimientos!E:E, Movimientos!D:D, A138, Movimientos!C:C, "Egreso", Movimientos!F:F, "G3")+SUMIFS(Movimientos!E:E, Movimientos!D:D, A138, Movimientos!C:C, "Ajuste", Movimientos!F:F, "G3")),"")</f>
        <v/>
      </c>
      <c r="J138" s="6" t="str">
        <f aca="false">IFERROR(IF(A138="","",SUM(E138:I138)),"")</f>
        <v/>
      </c>
      <c r="K138" s="6" t="str">
        <f aca="false">IFERROR(IF(A138="","",SUMIFS(Movimientos!E:E, Movimientos!D:D, A138, Movimientos!C:C, "Reserva")-SUMIFS(Movimientos!E:E, Movimientos!D:D, A138, Movimientos!C:C, "Libera_Reserva")),"")</f>
        <v/>
      </c>
      <c r="L138" s="6" t="str">
        <f aca="false">IFERROR(IF(A138="","",J138-K138),"")</f>
        <v/>
      </c>
      <c r="M138" s="6" t="str">
        <f aca="false">IFERROR(IF(Productos!A138="","",Productos!G138),"")</f>
        <v/>
      </c>
      <c r="N138" s="6" t="str">
        <f aca="false">IFERROR(IF(A138="","",IF(L138&lt;M138,"BAJO STOCK","OK")),"")</f>
        <v/>
      </c>
    </row>
    <row r="139" customFormat="false" ht="15" hidden="false" customHeight="false" outlineLevel="0" collapsed="false">
      <c r="A139" s="0" t="str">
        <f aca="false">IFERROR(IF(Productos!A139="","",Productos!A139),"")</f>
        <v/>
      </c>
      <c r="B139" s="0" t="str">
        <f aca="false">IFERROR(IF(Productos!A139="","",Productos!B139),"")</f>
        <v/>
      </c>
      <c r="C139" s="0" t="str">
        <f aca="false">IFERROR(IF(Productos!A139="","",Productos!C139),"")</f>
        <v/>
      </c>
      <c r="D139" s="0" t="str">
        <f aca="false">IFERROR(IF(Productos!A139="","",Productos!E139),"")</f>
        <v/>
      </c>
      <c r="E139" s="6" t="str">
        <f aca="false">IFERROR(IF(A139="","",SUMIFS(Movimientos!E:E, Movimientos!D:D, A139, Movimientos!C:C, "Ingreso", Movimientos!G:G, "TIN")+SUMIFS(Movimientos!E:E, Movimientos!D:D, A139, Movimientos!C:C, "Traslado", Movimientos!G:G, "TIN")-SUMIFS(Movimientos!E:E, Movimientos!D:D, A139, Movimientos!C:C, "Traslado", Movimientos!F:F, "TIN")-SUMIFS(Movimientos!E:E, Movimientos!D:D, A139, Movimientos!C:C, "Egreso", Movimientos!F:F, "TIN")+SUMIFS(Movimientos!E:E, Movimientos!D:D, A139, Movimientos!C:C, "Ajuste", Movimientos!F:F, "TIN")),"")</f>
        <v/>
      </c>
      <c r="F139" s="6" t="str">
        <f aca="false">IFERROR(IF(A139="","",SUMIFS(Movimientos!E:E, Movimientos!D:D, A139, Movimientos!C:C, "Ingreso", Movimientos!G:G, "G1000")+SUMIFS(Movimientos!E:E, Movimientos!D:D, A139, Movimientos!C:C, "Traslado", Movimientos!G:G, "G1000")-SUMIFS(Movimientos!E:E, Movimientos!D:D, A139, Movimientos!C:C, "Traslado", Movimientos!F:F, "G1000")-SUMIFS(Movimientos!E:E, Movimientos!D:D, A139, Movimientos!C:C, "Egreso", Movimientos!F:F, "G1000")+SUMIFS(Movimientos!E:E, Movimientos!D:D, A139, Movimientos!C:C, "Ajuste", Movimientos!F:F, "G1000")),"")</f>
        <v/>
      </c>
      <c r="G139" s="6" t="str">
        <f aca="false">IFERROR(IF(A139="","",SUMIFS(Movimientos!E:E, Movimientos!D:D, A139, Movimientos!C:C, "Ingreso", Movimientos!G:G, "G710")+SUMIFS(Movimientos!E:E, Movimientos!D:D, A139, Movimientos!C:C, "Traslado", Movimientos!G:G, "G710")-SUMIFS(Movimientos!E:E, Movimientos!D:D, A139, Movimientos!C:C, "Traslado", Movimientos!F:F, "G710")-SUMIFS(Movimientos!E:E, Movimientos!D:D, A139, Movimientos!C:C, "Egreso", Movimientos!F:F, "G710")+SUMIFS(Movimientos!E:E, Movimientos!D:D, A139, Movimientos!C:C, "Ajuste", Movimientos!F:F, "G710")),"")</f>
        <v/>
      </c>
      <c r="H139" s="6" t="str">
        <f aca="false">IFERROR(IF(A139="","",SUMIFS(Movimientos!E:E, Movimientos!D:D, A139, Movimientos!C:C, "Ingreso", Movimientos!G:G, "G5000")+SUMIFS(Movimientos!E:E, Movimientos!D:D, A139, Movimientos!C:C, "Traslado", Movimientos!G:G, "G5000")-SUMIFS(Movimientos!E:E, Movimientos!D:D, A139, Movimientos!C:C, "Traslado", Movimientos!F:F, "G5000")-SUMIFS(Movimientos!E:E, Movimientos!D:D, A139, Movimientos!C:C, "Egreso", Movimientos!F:F, "G5000")+SUMIFS(Movimientos!E:E, Movimientos!D:D, A139, Movimientos!C:C, "Ajuste", Movimientos!F:F, "G5000")),"")</f>
        <v/>
      </c>
      <c r="I139" s="6" t="str">
        <f aca="false">IFERROR(IF(A139="","",SUMIFS(Movimientos!E:E, Movimientos!D:D, A139, Movimientos!C:C, "Ingreso", Movimientos!G:G, "G3")+SUMIFS(Movimientos!E:E, Movimientos!D:D, A139, Movimientos!C:C, "Traslado", Movimientos!G:G, "G3")-SUMIFS(Movimientos!E:E, Movimientos!D:D, A139, Movimientos!C:C, "Traslado", Movimientos!F:F, "G3")-SUMIFS(Movimientos!E:E, Movimientos!D:D, A139, Movimientos!C:C, "Egreso", Movimientos!F:F, "G3")+SUMIFS(Movimientos!E:E, Movimientos!D:D, A139, Movimientos!C:C, "Ajuste", Movimientos!F:F, "G3")),"")</f>
        <v/>
      </c>
      <c r="J139" s="6" t="str">
        <f aca="false">IFERROR(IF(A139="","",SUM(E139:I139)),"")</f>
        <v/>
      </c>
      <c r="K139" s="6" t="str">
        <f aca="false">IFERROR(IF(A139="","",SUMIFS(Movimientos!E:E, Movimientos!D:D, A139, Movimientos!C:C, "Reserva")-SUMIFS(Movimientos!E:E, Movimientos!D:D, A139, Movimientos!C:C, "Libera_Reserva")),"")</f>
        <v/>
      </c>
      <c r="L139" s="6" t="str">
        <f aca="false">IFERROR(IF(A139="","",J139-K139),"")</f>
        <v/>
      </c>
      <c r="M139" s="6" t="str">
        <f aca="false">IFERROR(IF(Productos!A139="","",Productos!G139),"")</f>
        <v/>
      </c>
      <c r="N139" s="6" t="str">
        <f aca="false">IFERROR(IF(A139="","",IF(L139&lt;M139,"BAJO STOCK","OK")),"")</f>
        <v/>
      </c>
    </row>
    <row r="140" customFormat="false" ht="15" hidden="false" customHeight="false" outlineLevel="0" collapsed="false">
      <c r="A140" s="0" t="str">
        <f aca="false">IFERROR(IF(Productos!A140="","",Productos!A140),"")</f>
        <v/>
      </c>
      <c r="B140" s="0" t="str">
        <f aca="false">IFERROR(IF(Productos!A140="","",Productos!B140),"")</f>
        <v/>
      </c>
      <c r="C140" s="0" t="str">
        <f aca="false">IFERROR(IF(Productos!A140="","",Productos!C140),"")</f>
        <v/>
      </c>
      <c r="D140" s="0" t="str">
        <f aca="false">IFERROR(IF(Productos!A140="","",Productos!E140),"")</f>
        <v/>
      </c>
      <c r="E140" s="6" t="str">
        <f aca="false">IFERROR(IF(A140="","",SUMIFS(Movimientos!E:E, Movimientos!D:D, A140, Movimientos!C:C, "Ingreso", Movimientos!G:G, "TIN")+SUMIFS(Movimientos!E:E, Movimientos!D:D, A140, Movimientos!C:C, "Traslado", Movimientos!G:G, "TIN")-SUMIFS(Movimientos!E:E, Movimientos!D:D, A140, Movimientos!C:C, "Traslado", Movimientos!F:F, "TIN")-SUMIFS(Movimientos!E:E, Movimientos!D:D, A140, Movimientos!C:C, "Egreso", Movimientos!F:F, "TIN")+SUMIFS(Movimientos!E:E, Movimientos!D:D, A140, Movimientos!C:C, "Ajuste", Movimientos!F:F, "TIN")),"")</f>
        <v/>
      </c>
      <c r="F140" s="6" t="str">
        <f aca="false">IFERROR(IF(A140="","",SUMIFS(Movimientos!E:E, Movimientos!D:D, A140, Movimientos!C:C, "Ingreso", Movimientos!G:G, "G1000")+SUMIFS(Movimientos!E:E, Movimientos!D:D, A140, Movimientos!C:C, "Traslado", Movimientos!G:G, "G1000")-SUMIFS(Movimientos!E:E, Movimientos!D:D, A140, Movimientos!C:C, "Traslado", Movimientos!F:F, "G1000")-SUMIFS(Movimientos!E:E, Movimientos!D:D, A140, Movimientos!C:C, "Egreso", Movimientos!F:F, "G1000")+SUMIFS(Movimientos!E:E, Movimientos!D:D, A140, Movimientos!C:C, "Ajuste", Movimientos!F:F, "G1000")),"")</f>
        <v/>
      </c>
      <c r="G140" s="6" t="str">
        <f aca="false">IFERROR(IF(A140="","",SUMIFS(Movimientos!E:E, Movimientos!D:D, A140, Movimientos!C:C, "Ingreso", Movimientos!G:G, "G710")+SUMIFS(Movimientos!E:E, Movimientos!D:D, A140, Movimientos!C:C, "Traslado", Movimientos!G:G, "G710")-SUMIFS(Movimientos!E:E, Movimientos!D:D, A140, Movimientos!C:C, "Traslado", Movimientos!F:F, "G710")-SUMIFS(Movimientos!E:E, Movimientos!D:D, A140, Movimientos!C:C, "Egreso", Movimientos!F:F, "G710")+SUMIFS(Movimientos!E:E, Movimientos!D:D, A140, Movimientos!C:C, "Ajuste", Movimientos!F:F, "G710")),"")</f>
        <v/>
      </c>
      <c r="H140" s="6" t="str">
        <f aca="false">IFERROR(IF(A140="","",SUMIFS(Movimientos!E:E, Movimientos!D:D, A140, Movimientos!C:C, "Ingreso", Movimientos!G:G, "G5000")+SUMIFS(Movimientos!E:E, Movimientos!D:D, A140, Movimientos!C:C, "Traslado", Movimientos!G:G, "G5000")-SUMIFS(Movimientos!E:E, Movimientos!D:D, A140, Movimientos!C:C, "Traslado", Movimientos!F:F, "G5000")-SUMIFS(Movimientos!E:E, Movimientos!D:D, A140, Movimientos!C:C, "Egreso", Movimientos!F:F, "G5000")+SUMIFS(Movimientos!E:E, Movimientos!D:D, A140, Movimientos!C:C, "Ajuste", Movimientos!F:F, "G5000")),"")</f>
        <v/>
      </c>
      <c r="I140" s="6" t="str">
        <f aca="false">IFERROR(IF(A140="","",SUMIFS(Movimientos!E:E, Movimientos!D:D, A140, Movimientos!C:C, "Ingreso", Movimientos!G:G, "G3")+SUMIFS(Movimientos!E:E, Movimientos!D:D, A140, Movimientos!C:C, "Traslado", Movimientos!G:G, "G3")-SUMIFS(Movimientos!E:E, Movimientos!D:D, A140, Movimientos!C:C, "Traslado", Movimientos!F:F, "G3")-SUMIFS(Movimientos!E:E, Movimientos!D:D, A140, Movimientos!C:C, "Egreso", Movimientos!F:F, "G3")+SUMIFS(Movimientos!E:E, Movimientos!D:D, A140, Movimientos!C:C, "Ajuste", Movimientos!F:F, "G3")),"")</f>
        <v/>
      </c>
      <c r="J140" s="6" t="str">
        <f aca="false">IFERROR(IF(A140="","",SUM(E140:I140)),"")</f>
        <v/>
      </c>
      <c r="K140" s="6" t="str">
        <f aca="false">IFERROR(IF(A140="","",SUMIFS(Movimientos!E:E, Movimientos!D:D, A140, Movimientos!C:C, "Reserva")-SUMIFS(Movimientos!E:E, Movimientos!D:D, A140, Movimientos!C:C, "Libera_Reserva")),"")</f>
        <v/>
      </c>
      <c r="L140" s="6" t="str">
        <f aca="false">IFERROR(IF(A140="","",J140-K140),"")</f>
        <v/>
      </c>
      <c r="M140" s="6" t="str">
        <f aca="false">IFERROR(IF(Productos!A140="","",Productos!G140),"")</f>
        <v/>
      </c>
      <c r="N140" s="6" t="str">
        <f aca="false">IFERROR(IF(A140="","",IF(L140&lt;M140,"BAJO STOCK","OK")),"")</f>
        <v/>
      </c>
    </row>
    <row r="141" customFormat="false" ht="15" hidden="false" customHeight="false" outlineLevel="0" collapsed="false">
      <c r="A141" s="0" t="str">
        <f aca="false">IFERROR(IF(Productos!A141="","",Productos!A141),"")</f>
        <v/>
      </c>
      <c r="B141" s="0" t="str">
        <f aca="false">IFERROR(IF(Productos!A141="","",Productos!B141),"")</f>
        <v/>
      </c>
      <c r="C141" s="0" t="str">
        <f aca="false">IFERROR(IF(Productos!A141="","",Productos!C141),"")</f>
        <v/>
      </c>
      <c r="D141" s="0" t="str">
        <f aca="false">IFERROR(IF(Productos!A141="","",Productos!E141),"")</f>
        <v/>
      </c>
      <c r="E141" s="6" t="str">
        <f aca="false">IFERROR(IF(A141="","",SUMIFS(Movimientos!E:E, Movimientos!D:D, A141, Movimientos!C:C, "Ingreso", Movimientos!G:G, "TIN")+SUMIFS(Movimientos!E:E, Movimientos!D:D, A141, Movimientos!C:C, "Traslado", Movimientos!G:G, "TIN")-SUMIFS(Movimientos!E:E, Movimientos!D:D, A141, Movimientos!C:C, "Traslado", Movimientos!F:F, "TIN")-SUMIFS(Movimientos!E:E, Movimientos!D:D, A141, Movimientos!C:C, "Egreso", Movimientos!F:F, "TIN")+SUMIFS(Movimientos!E:E, Movimientos!D:D, A141, Movimientos!C:C, "Ajuste", Movimientos!F:F, "TIN")),"")</f>
        <v/>
      </c>
      <c r="F141" s="6" t="str">
        <f aca="false">IFERROR(IF(A141="","",SUMIFS(Movimientos!E:E, Movimientos!D:D, A141, Movimientos!C:C, "Ingreso", Movimientos!G:G, "G1000")+SUMIFS(Movimientos!E:E, Movimientos!D:D, A141, Movimientos!C:C, "Traslado", Movimientos!G:G, "G1000")-SUMIFS(Movimientos!E:E, Movimientos!D:D, A141, Movimientos!C:C, "Traslado", Movimientos!F:F, "G1000")-SUMIFS(Movimientos!E:E, Movimientos!D:D, A141, Movimientos!C:C, "Egreso", Movimientos!F:F, "G1000")+SUMIFS(Movimientos!E:E, Movimientos!D:D, A141, Movimientos!C:C, "Ajuste", Movimientos!F:F, "G1000")),"")</f>
        <v/>
      </c>
      <c r="G141" s="6" t="str">
        <f aca="false">IFERROR(IF(A141="","",SUMIFS(Movimientos!E:E, Movimientos!D:D, A141, Movimientos!C:C, "Ingreso", Movimientos!G:G, "G710")+SUMIFS(Movimientos!E:E, Movimientos!D:D, A141, Movimientos!C:C, "Traslado", Movimientos!G:G, "G710")-SUMIFS(Movimientos!E:E, Movimientos!D:D, A141, Movimientos!C:C, "Traslado", Movimientos!F:F, "G710")-SUMIFS(Movimientos!E:E, Movimientos!D:D, A141, Movimientos!C:C, "Egreso", Movimientos!F:F, "G710")+SUMIFS(Movimientos!E:E, Movimientos!D:D, A141, Movimientos!C:C, "Ajuste", Movimientos!F:F, "G710")),"")</f>
        <v/>
      </c>
      <c r="H141" s="6" t="str">
        <f aca="false">IFERROR(IF(A141="","",SUMIFS(Movimientos!E:E, Movimientos!D:D, A141, Movimientos!C:C, "Ingreso", Movimientos!G:G, "G5000")+SUMIFS(Movimientos!E:E, Movimientos!D:D, A141, Movimientos!C:C, "Traslado", Movimientos!G:G, "G5000")-SUMIFS(Movimientos!E:E, Movimientos!D:D, A141, Movimientos!C:C, "Traslado", Movimientos!F:F, "G5000")-SUMIFS(Movimientos!E:E, Movimientos!D:D, A141, Movimientos!C:C, "Egreso", Movimientos!F:F, "G5000")+SUMIFS(Movimientos!E:E, Movimientos!D:D, A141, Movimientos!C:C, "Ajuste", Movimientos!F:F, "G5000")),"")</f>
        <v/>
      </c>
      <c r="I141" s="6" t="str">
        <f aca="false">IFERROR(IF(A141="","",SUMIFS(Movimientos!E:E, Movimientos!D:D, A141, Movimientos!C:C, "Ingreso", Movimientos!G:G, "G3")+SUMIFS(Movimientos!E:E, Movimientos!D:D, A141, Movimientos!C:C, "Traslado", Movimientos!G:G, "G3")-SUMIFS(Movimientos!E:E, Movimientos!D:D, A141, Movimientos!C:C, "Traslado", Movimientos!F:F, "G3")-SUMIFS(Movimientos!E:E, Movimientos!D:D, A141, Movimientos!C:C, "Egreso", Movimientos!F:F, "G3")+SUMIFS(Movimientos!E:E, Movimientos!D:D, A141, Movimientos!C:C, "Ajuste", Movimientos!F:F, "G3")),"")</f>
        <v/>
      </c>
      <c r="J141" s="6" t="str">
        <f aca="false">IFERROR(IF(A141="","",SUM(E141:I141)),"")</f>
        <v/>
      </c>
      <c r="K141" s="6" t="str">
        <f aca="false">IFERROR(IF(A141="","",SUMIFS(Movimientos!E:E, Movimientos!D:D, A141, Movimientos!C:C, "Reserva")-SUMIFS(Movimientos!E:E, Movimientos!D:D, A141, Movimientos!C:C, "Libera_Reserva")),"")</f>
        <v/>
      </c>
      <c r="L141" s="6" t="str">
        <f aca="false">IFERROR(IF(A141="","",J141-K141),"")</f>
        <v/>
      </c>
      <c r="M141" s="6" t="str">
        <f aca="false">IFERROR(IF(Productos!A141="","",Productos!G141),"")</f>
        <v/>
      </c>
      <c r="N141" s="6" t="str">
        <f aca="false">IFERROR(IF(A141="","",IF(L141&lt;M141,"BAJO STOCK","OK")),"")</f>
        <v/>
      </c>
    </row>
    <row r="142" customFormat="false" ht="15" hidden="false" customHeight="false" outlineLevel="0" collapsed="false">
      <c r="A142" s="0" t="str">
        <f aca="false">IFERROR(IF(Productos!A142="","",Productos!A142),"")</f>
        <v/>
      </c>
      <c r="B142" s="0" t="str">
        <f aca="false">IFERROR(IF(Productos!A142="","",Productos!B142),"")</f>
        <v/>
      </c>
      <c r="C142" s="0" t="str">
        <f aca="false">IFERROR(IF(Productos!A142="","",Productos!C142),"")</f>
        <v/>
      </c>
      <c r="D142" s="0" t="str">
        <f aca="false">IFERROR(IF(Productos!A142="","",Productos!E142),"")</f>
        <v/>
      </c>
      <c r="E142" s="6" t="str">
        <f aca="false">IFERROR(IF(A142="","",SUMIFS(Movimientos!E:E, Movimientos!D:D, A142, Movimientos!C:C, "Ingreso", Movimientos!G:G, "TIN")+SUMIFS(Movimientos!E:E, Movimientos!D:D, A142, Movimientos!C:C, "Traslado", Movimientos!G:G, "TIN")-SUMIFS(Movimientos!E:E, Movimientos!D:D, A142, Movimientos!C:C, "Traslado", Movimientos!F:F, "TIN")-SUMIFS(Movimientos!E:E, Movimientos!D:D, A142, Movimientos!C:C, "Egreso", Movimientos!F:F, "TIN")+SUMIFS(Movimientos!E:E, Movimientos!D:D, A142, Movimientos!C:C, "Ajuste", Movimientos!F:F, "TIN")),"")</f>
        <v/>
      </c>
      <c r="F142" s="6" t="str">
        <f aca="false">IFERROR(IF(A142="","",SUMIFS(Movimientos!E:E, Movimientos!D:D, A142, Movimientos!C:C, "Ingreso", Movimientos!G:G, "G1000")+SUMIFS(Movimientos!E:E, Movimientos!D:D, A142, Movimientos!C:C, "Traslado", Movimientos!G:G, "G1000")-SUMIFS(Movimientos!E:E, Movimientos!D:D, A142, Movimientos!C:C, "Traslado", Movimientos!F:F, "G1000")-SUMIFS(Movimientos!E:E, Movimientos!D:D, A142, Movimientos!C:C, "Egreso", Movimientos!F:F, "G1000")+SUMIFS(Movimientos!E:E, Movimientos!D:D, A142, Movimientos!C:C, "Ajuste", Movimientos!F:F, "G1000")),"")</f>
        <v/>
      </c>
      <c r="G142" s="6" t="str">
        <f aca="false">IFERROR(IF(A142="","",SUMIFS(Movimientos!E:E, Movimientos!D:D, A142, Movimientos!C:C, "Ingreso", Movimientos!G:G, "G710")+SUMIFS(Movimientos!E:E, Movimientos!D:D, A142, Movimientos!C:C, "Traslado", Movimientos!G:G, "G710")-SUMIFS(Movimientos!E:E, Movimientos!D:D, A142, Movimientos!C:C, "Traslado", Movimientos!F:F, "G710")-SUMIFS(Movimientos!E:E, Movimientos!D:D, A142, Movimientos!C:C, "Egreso", Movimientos!F:F, "G710")+SUMIFS(Movimientos!E:E, Movimientos!D:D, A142, Movimientos!C:C, "Ajuste", Movimientos!F:F, "G710")),"")</f>
        <v/>
      </c>
      <c r="H142" s="6" t="str">
        <f aca="false">IFERROR(IF(A142="","",SUMIFS(Movimientos!E:E, Movimientos!D:D, A142, Movimientos!C:C, "Ingreso", Movimientos!G:G, "G5000")+SUMIFS(Movimientos!E:E, Movimientos!D:D, A142, Movimientos!C:C, "Traslado", Movimientos!G:G, "G5000")-SUMIFS(Movimientos!E:E, Movimientos!D:D, A142, Movimientos!C:C, "Traslado", Movimientos!F:F, "G5000")-SUMIFS(Movimientos!E:E, Movimientos!D:D, A142, Movimientos!C:C, "Egreso", Movimientos!F:F, "G5000")+SUMIFS(Movimientos!E:E, Movimientos!D:D, A142, Movimientos!C:C, "Ajuste", Movimientos!F:F, "G5000")),"")</f>
        <v/>
      </c>
      <c r="I142" s="6" t="str">
        <f aca="false">IFERROR(IF(A142="","",SUMIFS(Movimientos!E:E, Movimientos!D:D, A142, Movimientos!C:C, "Ingreso", Movimientos!G:G, "G3")+SUMIFS(Movimientos!E:E, Movimientos!D:D, A142, Movimientos!C:C, "Traslado", Movimientos!G:G, "G3")-SUMIFS(Movimientos!E:E, Movimientos!D:D, A142, Movimientos!C:C, "Traslado", Movimientos!F:F, "G3")-SUMIFS(Movimientos!E:E, Movimientos!D:D, A142, Movimientos!C:C, "Egreso", Movimientos!F:F, "G3")+SUMIFS(Movimientos!E:E, Movimientos!D:D, A142, Movimientos!C:C, "Ajuste", Movimientos!F:F, "G3")),"")</f>
        <v/>
      </c>
      <c r="J142" s="6" t="str">
        <f aca="false">IFERROR(IF(A142="","",SUM(E142:I142)),"")</f>
        <v/>
      </c>
      <c r="K142" s="6" t="str">
        <f aca="false">IFERROR(IF(A142="","",SUMIFS(Movimientos!E:E, Movimientos!D:D, A142, Movimientos!C:C, "Reserva")-SUMIFS(Movimientos!E:E, Movimientos!D:D, A142, Movimientos!C:C, "Libera_Reserva")),"")</f>
        <v/>
      </c>
      <c r="L142" s="6" t="str">
        <f aca="false">IFERROR(IF(A142="","",J142-K142),"")</f>
        <v/>
      </c>
      <c r="M142" s="6" t="str">
        <f aca="false">IFERROR(IF(Productos!A142="","",Productos!G142),"")</f>
        <v/>
      </c>
      <c r="N142" s="6" t="str">
        <f aca="false">IFERROR(IF(A142="","",IF(L142&lt;M142,"BAJO STOCK","OK")),"")</f>
        <v/>
      </c>
    </row>
    <row r="143" customFormat="false" ht="15" hidden="false" customHeight="false" outlineLevel="0" collapsed="false">
      <c r="A143" s="0" t="str">
        <f aca="false">IFERROR(IF(Productos!A143="","",Productos!A143),"")</f>
        <v/>
      </c>
      <c r="B143" s="0" t="str">
        <f aca="false">IFERROR(IF(Productos!A143="","",Productos!B143),"")</f>
        <v/>
      </c>
      <c r="C143" s="0" t="str">
        <f aca="false">IFERROR(IF(Productos!A143="","",Productos!C143),"")</f>
        <v/>
      </c>
      <c r="D143" s="0" t="str">
        <f aca="false">IFERROR(IF(Productos!A143="","",Productos!E143),"")</f>
        <v/>
      </c>
      <c r="E143" s="6" t="str">
        <f aca="false">IFERROR(IF(A143="","",SUMIFS(Movimientos!E:E, Movimientos!D:D, A143, Movimientos!C:C, "Ingreso", Movimientos!G:G, "TIN")+SUMIFS(Movimientos!E:E, Movimientos!D:D, A143, Movimientos!C:C, "Traslado", Movimientos!G:G, "TIN")-SUMIFS(Movimientos!E:E, Movimientos!D:D, A143, Movimientos!C:C, "Traslado", Movimientos!F:F, "TIN")-SUMIFS(Movimientos!E:E, Movimientos!D:D, A143, Movimientos!C:C, "Egreso", Movimientos!F:F, "TIN")+SUMIFS(Movimientos!E:E, Movimientos!D:D, A143, Movimientos!C:C, "Ajuste", Movimientos!F:F, "TIN")),"")</f>
        <v/>
      </c>
      <c r="F143" s="6" t="str">
        <f aca="false">IFERROR(IF(A143="","",SUMIFS(Movimientos!E:E, Movimientos!D:D, A143, Movimientos!C:C, "Ingreso", Movimientos!G:G, "G1000")+SUMIFS(Movimientos!E:E, Movimientos!D:D, A143, Movimientos!C:C, "Traslado", Movimientos!G:G, "G1000")-SUMIFS(Movimientos!E:E, Movimientos!D:D, A143, Movimientos!C:C, "Traslado", Movimientos!F:F, "G1000")-SUMIFS(Movimientos!E:E, Movimientos!D:D, A143, Movimientos!C:C, "Egreso", Movimientos!F:F, "G1000")+SUMIFS(Movimientos!E:E, Movimientos!D:D, A143, Movimientos!C:C, "Ajuste", Movimientos!F:F, "G1000")),"")</f>
        <v/>
      </c>
      <c r="G143" s="6" t="str">
        <f aca="false">IFERROR(IF(A143="","",SUMIFS(Movimientos!E:E, Movimientos!D:D, A143, Movimientos!C:C, "Ingreso", Movimientos!G:G, "G710")+SUMIFS(Movimientos!E:E, Movimientos!D:D, A143, Movimientos!C:C, "Traslado", Movimientos!G:G, "G710")-SUMIFS(Movimientos!E:E, Movimientos!D:D, A143, Movimientos!C:C, "Traslado", Movimientos!F:F, "G710")-SUMIFS(Movimientos!E:E, Movimientos!D:D, A143, Movimientos!C:C, "Egreso", Movimientos!F:F, "G710")+SUMIFS(Movimientos!E:E, Movimientos!D:D, A143, Movimientos!C:C, "Ajuste", Movimientos!F:F, "G710")),"")</f>
        <v/>
      </c>
      <c r="H143" s="6" t="str">
        <f aca="false">IFERROR(IF(A143="","",SUMIFS(Movimientos!E:E, Movimientos!D:D, A143, Movimientos!C:C, "Ingreso", Movimientos!G:G, "G5000")+SUMIFS(Movimientos!E:E, Movimientos!D:D, A143, Movimientos!C:C, "Traslado", Movimientos!G:G, "G5000")-SUMIFS(Movimientos!E:E, Movimientos!D:D, A143, Movimientos!C:C, "Traslado", Movimientos!F:F, "G5000")-SUMIFS(Movimientos!E:E, Movimientos!D:D, A143, Movimientos!C:C, "Egreso", Movimientos!F:F, "G5000")+SUMIFS(Movimientos!E:E, Movimientos!D:D, A143, Movimientos!C:C, "Ajuste", Movimientos!F:F, "G5000")),"")</f>
        <v/>
      </c>
      <c r="I143" s="6" t="str">
        <f aca="false">IFERROR(IF(A143="","",SUMIFS(Movimientos!E:E, Movimientos!D:D, A143, Movimientos!C:C, "Ingreso", Movimientos!G:G, "G3")+SUMIFS(Movimientos!E:E, Movimientos!D:D, A143, Movimientos!C:C, "Traslado", Movimientos!G:G, "G3")-SUMIFS(Movimientos!E:E, Movimientos!D:D, A143, Movimientos!C:C, "Traslado", Movimientos!F:F, "G3")-SUMIFS(Movimientos!E:E, Movimientos!D:D, A143, Movimientos!C:C, "Egreso", Movimientos!F:F, "G3")+SUMIFS(Movimientos!E:E, Movimientos!D:D, A143, Movimientos!C:C, "Ajuste", Movimientos!F:F, "G3")),"")</f>
        <v/>
      </c>
      <c r="J143" s="6" t="str">
        <f aca="false">IFERROR(IF(A143="","",SUM(E143:I143)),"")</f>
        <v/>
      </c>
      <c r="K143" s="6" t="str">
        <f aca="false">IFERROR(IF(A143="","",SUMIFS(Movimientos!E:E, Movimientos!D:D, A143, Movimientos!C:C, "Reserva")-SUMIFS(Movimientos!E:E, Movimientos!D:D, A143, Movimientos!C:C, "Libera_Reserva")),"")</f>
        <v/>
      </c>
      <c r="L143" s="6" t="str">
        <f aca="false">IFERROR(IF(A143="","",J143-K143),"")</f>
        <v/>
      </c>
      <c r="M143" s="6" t="str">
        <f aca="false">IFERROR(IF(Productos!A143="","",Productos!G143),"")</f>
        <v/>
      </c>
      <c r="N143" s="6" t="str">
        <f aca="false">IFERROR(IF(A143="","",IF(L143&lt;M143,"BAJO STOCK","OK")),"")</f>
        <v/>
      </c>
    </row>
    <row r="144" customFormat="false" ht="15" hidden="false" customHeight="false" outlineLevel="0" collapsed="false">
      <c r="A144" s="0" t="str">
        <f aca="false">IFERROR(IF(Productos!A144="","",Productos!A144),"")</f>
        <v/>
      </c>
      <c r="B144" s="0" t="str">
        <f aca="false">IFERROR(IF(Productos!A144="","",Productos!B144),"")</f>
        <v/>
      </c>
      <c r="C144" s="0" t="str">
        <f aca="false">IFERROR(IF(Productos!A144="","",Productos!C144),"")</f>
        <v/>
      </c>
      <c r="D144" s="0" t="str">
        <f aca="false">IFERROR(IF(Productos!A144="","",Productos!E144),"")</f>
        <v/>
      </c>
      <c r="E144" s="6" t="str">
        <f aca="false">IFERROR(IF(A144="","",SUMIFS(Movimientos!E:E, Movimientos!D:D, A144, Movimientos!C:C, "Ingreso", Movimientos!G:G, "TIN")+SUMIFS(Movimientos!E:E, Movimientos!D:D, A144, Movimientos!C:C, "Traslado", Movimientos!G:G, "TIN")-SUMIFS(Movimientos!E:E, Movimientos!D:D, A144, Movimientos!C:C, "Traslado", Movimientos!F:F, "TIN")-SUMIFS(Movimientos!E:E, Movimientos!D:D, A144, Movimientos!C:C, "Egreso", Movimientos!F:F, "TIN")+SUMIFS(Movimientos!E:E, Movimientos!D:D, A144, Movimientos!C:C, "Ajuste", Movimientos!F:F, "TIN")),"")</f>
        <v/>
      </c>
      <c r="F144" s="6" t="str">
        <f aca="false">IFERROR(IF(A144="","",SUMIFS(Movimientos!E:E, Movimientos!D:D, A144, Movimientos!C:C, "Ingreso", Movimientos!G:G, "G1000")+SUMIFS(Movimientos!E:E, Movimientos!D:D, A144, Movimientos!C:C, "Traslado", Movimientos!G:G, "G1000")-SUMIFS(Movimientos!E:E, Movimientos!D:D, A144, Movimientos!C:C, "Traslado", Movimientos!F:F, "G1000")-SUMIFS(Movimientos!E:E, Movimientos!D:D, A144, Movimientos!C:C, "Egreso", Movimientos!F:F, "G1000")+SUMIFS(Movimientos!E:E, Movimientos!D:D, A144, Movimientos!C:C, "Ajuste", Movimientos!F:F, "G1000")),"")</f>
        <v/>
      </c>
      <c r="G144" s="6" t="str">
        <f aca="false">IFERROR(IF(A144="","",SUMIFS(Movimientos!E:E, Movimientos!D:D, A144, Movimientos!C:C, "Ingreso", Movimientos!G:G, "G710")+SUMIFS(Movimientos!E:E, Movimientos!D:D, A144, Movimientos!C:C, "Traslado", Movimientos!G:G, "G710")-SUMIFS(Movimientos!E:E, Movimientos!D:D, A144, Movimientos!C:C, "Traslado", Movimientos!F:F, "G710")-SUMIFS(Movimientos!E:E, Movimientos!D:D, A144, Movimientos!C:C, "Egreso", Movimientos!F:F, "G710")+SUMIFS(Movimientos!E:E, Movimientos!D:D, A144, Movimientos!C:C, "Ajuste", Movimientos!F:F, "G710")),"")</f>
        <v/>
      </c>
      <c r="H144" s="6" t="str">
        <f aca="false">IFERROR(IF(A144="","",SUMIFS(Movimientos!E:E, Movimientos!D:D, A144, Movimientos!C:C, "Ingreso", Movimientos!G:G, "G5000")+SUMIFS(Movimientos!E:E, Movimientos!D:D, A144, Movimientos!C:C, "Traslado", Movimientos!G:G, "G5000")-SUMIFS(Movimientos!E:E, Movimientos!D:D, A144, Movimientos!C:C, "Traslado", Movimientos!F:F, "G5000")-SUMIFS(Movimientos!E:E, Movimientos!D:D, A144, Movimientos!C:C, "Egreso", Movimientos!F:F, "G5000")+SUMIFS(Movimientos!E:E, Movimientos!D:D, A144, Movimientos!C:C, "Ajuste", Movimientos!F:F, "G5000")),"")</f>
        <v/>
      </c>
      <c r="I144" s="6" t="str">
        <f aca="false">IFERROR(IF(A144="","",SUMIFS(Movimientos!E:E, Movimientos!D:D, A144, Movimientos!C:C, "Ingreso", Movimientos!G:G, "G3")+SUMIFS(Movimientos!E:E, Movimientos!D:D, A144, Movimientos!C:C, "Traslado", Movimientos!G:G, "G3")-SUMIFS(Movimientos!E:E, Movimientos!D:D, A144, Movimientos!C:C, "Traslado", Movimientos!F:F, "G3")-SUMIFS(Movimientos!E:E, Movimientos!D:D, A144, Movimientos!C:C, "Egreso", Movimientos!F:F, "G3")+SUMIFS(Movimientos!E:E, Movimientos!D:D, A144, Movimientos!C:C, "Ajuste", Movimientos!F:F, "G3")),"")</f>
        <v/>
      </c>
      <c r="J144" s="6" t="str">
        <f aca="false">IFERROR(IF(A144="","",SUM(E144:I144)),"")</f>
        <v/>
      </c>
      <c r="K144" s="6" t="str">
        <f aca="false">IFERROR(IF(A144="","",SUMIFS(Movimientos!E:E, Movimientos!D:D, A144, Movimientos!C:C, "Reserva")-SUMIFS(Movimientos!E:E, Movimientos!D:D, A144, Movimientos!C:C, "Libera_Reserva")),"")</f>
        <v/>
      </c>
      <c r="L144" s="6" t="str">
        <f aca="false">IFERROR(IF(A144="","",J144-K144),"")</f>
        <v/>
      </c>
      <c r="M144" s="6" t="str">
        <f aca="false">IFERROR(IF(Productos!A144="","",Productos!G144),"")</f>
        <v/>
      </c>
      <c r="N144" s="6" t="str">
        <f aca="false">IFERROR(IF(A144="","",IF(L144&lt;M144,"BAJO STOCK","OK")),"")</f>
        <v/>
      </c>
    </row>
    <row r="145" customFormat="false" ht="15" hidden="false" customHeight="false" outlineLevel="0" collapsed="false">
      <c r="A145" s="0" t="str">
        <f aca="false">IFERROR(IF(Productos!A145="","",Productos!A145),"")</f>
        <v/>
      </c>
      <c r="B145" s="0" t="str">
        <f aca="false">IFERROR(IF(Productos!A145="","",Productos!B145),"")</f>
        <v/>
      </c>
      <c r="C145" s="0" t="str">
        <f aca="false">IFERROR(IF(Productos!A145="","",Productos!C145),"")</f>
        <v/>
      </c>
      <c r="D145" s="0" t="str">
        <f aca="false">IFERROR(IF(Productos!A145="","",Productos!E145),"")</f>
        <v/>
      </c>
      <c r="E145" s="6" t="str">
        <f aca="false">IFERROR(IF(A145="","",SUMIFS(Movimientos!E:E, Movimientos!D:D, A145, Movimientos!C:C, "Ingreso", Movimientos!G:G, "TIN")+SUMIFS(Movimientos!E:E, Movimientos!D:D, A145, Movimientos!C:C, "Traslado", Movimientos!G:G, "TIN")-SUMIFS(Movimientos!E:E, Movimientos!D:D, A145, Movimientos!C:C, "Traslado", Movimientos!F:F, "TIN")-SUMIFS(Movimientos!E:E, Movimientos!D:D, A145, Movimientos!C:C, "Egreso", Movimientos!F:F, "TIN")+SUMIFS(Movimientos!E:E, Movimientos!D:D, A145, Movimientos!C:C, "Ajuste", Movimientos!F:F, "TIN")),"")</f>
        <v/>
      </c>
      <c r="F145" s="6" t="str">
        <f aca="false">IFERROR(IF(A145="","",SUMIFS(Movimientos!E:E, Movimientos!D:D, A145, Movimientos!C:C, "Ingreso", Movimientos!G:G, "G1000")+SUMIFS(Movimientos!E:E, Movimientos!D:D, A145, Movimientos!C:C, "Traslado", Movimientos!G:G, "G1000")-SUMIFS(Movimientos!E:E, Movimientos!D:D, A145, Movimientos!C:C, "Traslado", Movimientos!F:F, "G1000")-SUMIFS(Movimientos!E:E, Movimientos!D:D, A145, Movimientos!C:C, "Egreso", Movimientos!F:F, "G1000")+SUMIFS(Movimientos!E:E, Movimientos!D:D, A145, Movimientos!C:C, "Ajuste", Movimientos!F:F, "G1000")),"")</f>
        <v/>
      </c>
      <c r="G145" s="6" t="str">
        <f aca="false">IFERROR(IF(A145="","",SUMIFS(Movimientos!E:E, Movimientos!D:D, A145, Movimientos!C:C, "Ingreso", Movimientos!G:G, "G710")+SUMIFS(Movimientos!E:E, Movimientos!D:D, A145, Movimientos!C:C, "Traslado", Movimientos!G:G, "G710")-SUMIFS(Movimientos!E:E, Movimientos!D:D, A145, Movimientos!C:C, "Traslado", Movimientos!F:F, "G710")-SUMIFS(Movimientos!E:E, Movimientos!D:D, A145, Movimientos!C:C, "Egreso", Movimientos!F:F, "G710")+SUMIFS(Movimientos!E:E, Movimientos!D:D, A145, Movimientos!C:C, "Ajuste", Movimientos!F:F, "G710")),"")</f>
        <v/>
      </c>
      <c r="H145" s="6" t="str">
        <f aca="false">IFERROR(IF(A145="","",SUMIFS(Movimientos!E:E, Movimientos!D:D, A145, Movimientos!C:C, "Ingreso", Movimientos!G:G, "G5000")+SUMIFS(Movimientos!E:E, Movimientos!D:D, A145, Movimientos!C:C, "Traslado", Movimientos!G:G, "G5000")-SUMIFS(Movimientos!E:E, Movimientos!D:D, A145, Movimientos!C:C, "Traslado", Movimientos!F:F, "G5000")-SUMIFS(Movimientos!E:E, Movimientos!D:D, A145, Movimientos!C:C, "Egreso", Movimientos!F:F, "G5000")+SUMIFS(Movimientos!E:E, Movimientos!D:D, A145, Movimientos!C:C, "Ajuste", Movimientos!F:F, "G5000")),"")</f>
        <v/>
      </c>
      <c r="I145" s="6" t="str">
        <f aca="false">IFERROR(IF(A145="","",SUMIFS(Movimientos!E:E, Movimientos!D:D, A145, Movimientos!C:C, "Ingreso", Movimientos!G:G, "G3")+SUMIFS(Movimientos!E:E, Movimientos!D:D, A145, Movimientos!C:C, "Traslado", Movimientos!G:G, "G3")-SUMIFS(Movimientos!E:E, Movimientos!D:D, A145, Movimientos!C:C, "Traslado", Movimientos!F:F, "G3")-SUMIFS(Movimientos!E:E, Movimientos!D:D, A145, Movimientos!C:C, "Egreso", Movimientos!F:F, "G3")+SUMIFS(Movimientos!E:E, Movimientos!D:D, A145, Movimientos!C:C, "Ajuste", Movimientos!F:F, "G3")),"")</f>
        <v/>
      </c>
      <c r="J145" s="6" t="str">
        <f aca="false">IFERROR(IF(A145="","",SUM(E145:I145)),"")</f>
        <v/>
      </c>
      <c r="K145" s="6" t="str">
        <f aca="false">IFERROR(IF(A145="","",SUMIFS(Movimientos!E:E, Movimientos!D:D, A145, Movimientos!C:C, "Reserva")-SUMIFS(Movimientos!E:E, Movimientos!D:D, A145, Movimientos!C:C, "Libera_Reserva")),"")</f>
        <v/>
      </c>
      <c r="L145" s="6" t="str">
        <f aca="false">IFERROR(IF(A145="","",J145-K145),"")</f>
        <v/>
      </c>
      <c r="M145" s="6" t="str">
        <f aca="false">IFERROR(IF(Productos!A145="","",Productos!G145),"")</f>
        <v/>
      </c>
      <c r="N145" s="6" t="str">
        <f aca="false">IFERROR(IF(A145="","",IF(L145&lt;M145,"BAJO STOCK","OK")),"")</f>
        <v/>
      </c>
    </row>
    <row r="146" customFormat="false" ht="15" hidden="false" customHeight="false" outlineLevel="0" collapsed="false">
      <c r="A146" s="0" t="str">
        <f aca="false">IFERROR(IF(Productos!A146="","",Productos!A146),"")</f>
        <v/>
      </c>
      <c r="B146" s="0" t="str">
        <f aca="false">IFERROR(IF(Productos!A146="","",Productos!B146),"")</f>
        <v/>
      </c>
      <c r="C146" s="0" t="str">
        <f aca="false">IFERROR(IF(Productos!A146="","",Productos!C146),"")</f>
        <v/>
      </c>
      <c r="D146" s="0" t="str">
        <f aca="false">IFERROR(IF(Productos!A146="","",Productos!E146),"")</f>
        <v/>
      </c>
      <c r="E146" s="6" t="str">
        <f aca="false">IFERROR(IF(A146="","",SUMIFS(Movimientos!E:E, Movimientos!D:D, A146, Movimientos!C:C, "Ingreso", Movimientos!G:G, "TIN")+SUMIFS(Movimientos!E:E, Movimientos!D:D, A146, Movimientos!C:C, "Traslado", Movimientos!G:G, "TIN")-SUMIFS(Movimientos!E:E, Movimientos!D:D, A146, Movimientos!C:C, "Traslado", Movimientos!F:F, "TIN")-SUMIFS(Movimientos!E:E, Movimientos!D:D, A146, Movimientos!C:C, "Egreso", Movimientos!F:F, "TIN")+SUMIFS(Movimientos!E:E, Movimientos!D:D, A146, Movimientos!C:C, "Ajuste", Movimientos!F:F, "TIN")),"")</f>
        <v/>
      </c>
      <c r="F146" s="6" t="str">
        <f aca="false">IFERROR(IF(A146="","",SUMIFS(Movimientos!E:E, Movimientos!D:D, A146, Movimientos!C:C, "Ingreso", Movimientos!G:G, "G1000")+SUMIFS(Movimientos!E:E, Movimientos!D:D, A146, Movimientos!C:C, "Traslado", Movimientos!G:G, "G1000")-SUMIFS(Movimientos!E:E, Movimientos!D:D, A146, Movimientos!C:C, "Traslado", Movimientos!F:F, "G1000")-SUMIFS(Movimientos!E:E, Movimientos!D:D, A146, Movimientos!C:C, "Egreso", Movimientos!F:F, "G1000")+SUMIFS(Movimientos!E:E, Movimientos!D:D, A146, Movimientos!C:C, "Ajuste", Movimientos!F:F, "G1000")),"")</f>
        <v/>
      </c>
      <c r="G146" s="6" t="str">
        <f aca="false">IFERROR(IF(A146="","",SUMIFS(Movimientos!E:E, Movimientos!D:D, A146, Movimientos!C:C, "Ingreso", Movimientos!G:G, "G710")+SUMIFS(Movimientos!E:E, Movimientos!D:D, A146, Movimientos!C:C, "Traslado", Movimientos!G:G, "G710")-SUMIFS(Movimientos!E:E, Movimientos!D:D, A146, Movimientos!C:C, "Traslado", Movimientos!F:F, "G710")-SUMIFS(Movimientos!E:E, Movimientos!D:D, A146, Movimientos!C:C, "Egreso", Movimientos!F:F, "G710")+SUMIFS(Movimientos!E:E, Movimientos!D:D, A146, Movimientos!C:C, "Ajuste", Movimientos!F:F, "G710")),"")</f>
        <v/>
      </c>
      <c r="H146" s="6" t="str">
        <f aca="false">IFERROR(IF(A146="","",SUMIFS(Movimientos!E:E, Movimientos!D:D, A146, Movimientos!C:C, "Ingreso", Movimientos!G:G, "G5000")+SUMIFS(Movimientos!E:E, Movimientos!D:D, A146, Movimientos!C:C, "Traslado", Movimientos!G:G, "G5000")-SUMIFS(Movimientos!E:E, Movimientos!D:D, A146, Movimientos!C:C, "Traslado", Movimientos!F:F, "G5000")-SUMIFS(Movimientos!E:E, Movimientos!D:D, A146, Movimientos!C:C, "Egreso", Movimientos!F:F, "G5000")+SUMIFS(Movimientos!E:E, Movimientos!D:D, A146, Movimientos!C:C, "Ajuste", Movimientos!F:F, "G5000")),"")</f>
        <v/>
      </c>
      <c r="I146" s="6" t="str">
        <f aca="false">IFERROR(IF(A146="","",SUMIFS(Movimientos!E:E, Movimientos!D:D, A146, Movimientos!C:C, "Ingreso", Movimientos!G:G, "G3")+SUMIFS(Movimientos!E:E, Movimientos!D:D, A146, Movimientos!C:C, "Traslado", Movimientos!G:G, "G3")-SUMIFS(Movimientos!E:E, Movimientos!D:D, A146, Movimientos!C:C, "Traslado", Movimientos!F:F, "G3")-SUMIFS(Movimientos!E:E, Movimientos!D:D, A146, Movimientos!C:C, "Egreso", Movimientos!F:F, "G3")+SUMIFS(Movimientos!E:E, Movimientos!D:D, A146, Movimientos!C:C, "Ajuste", Movimientos!F:F, "G3")),"")</f>
        <v/>
      </c>
      <c r="J146" s="6" t="str">
        <f aca="false">IFERROR(IF(A146="","",SUM(E146:I146)),"")</f>
        <v/>
      </c>
      <c r="K146" s="6" t="str">
        <f aca="false">IFERROR(IF(A146="","",SUMIFS(Movimientos!E:E, Movimientos!D:D, A146, Movimientos!C:C, "Reserva")-SUMIFS(Movimientos!E:E, Movimientos!D:D, A146, Movimientos!C:C, "Libera_Reserva")),"")</f>
        <v/>
      </c>
      <c r="L146" s="6" t="str">
        <f aca="false">IFERROR(IF(A146="","",J146-K146),"")</f>
        <v/>
      </c>
      <c r="M146" s="6" t="str">
        <f aca="false">IFERROR(IF(Productos!A146="","",Productos!G146),"")</f>
        <v/>
      </c>
      <c r="N146" s="6" t="str">
        <f aca="false">IFERROR(IF(A146="","",IF(L146&lt;M146,"BAJO STOCK","OK")),"")</f>
        <v/>
      </c>
    </row>
    <row r="147" customFormat="false" ht="15" hidden="false" customHeight="false" outlineLevel="0" collapsed="false">
      <c r="A147" s="0" t="str">
        <f aca="false">IFERROR(IF(Productos!A147="","",Productos!A147),"")</f>
        <v/>
      </c>
      <c r="B147" s="0" t="str">
        <f aca="false">IFERROR(IF(Productos!A147="","",Productos!B147),"")</f>
        <v/>
      </c>
      <c r="C147" s="0" t="str">
        <f aca="false">IFERROR(IF(Productos!A147="","",Productos!C147),"")</f>
        <v/>
      </c>
      <c r="D147" s="0" t="str">
        <f aca="false">IFERROR(IF(Productos!A147="","",Productos!E147),"")</f>
        <v/>
      </c>
      <c r="E147" s="6" t="str">
        <f aca="false">IFERROR(IF(A147="","",SUMIFS(Movimientos!E:E, Movimientos!D:D, A147, Movimientos!C:C, "Ingreso", Movimientos!G:G, "TIN")+SUMIFS(Movimientos!E:E, Movimientos!D:D, A147, Movimientos!C:C, "Traslado", Movimientos!G:G, "TIN")-SUMIFS(Movimientos!E:E, Movimientos!D:D, A147, Movimientos!C:C, "Traslado", Movimientos!F:F, "TIN")-SUMIFS(Movimientos!E:E, Movimientos!D:D, A147, Movimientos!C:C, "Egreso", Movimientos!F:F, "TIN")+SUMIFS(Movimientos!E:E, Movimientos!D:D, A147, Movimientos!C:C, "Ajuste", Movimientos!F:F, "TIN")),"")</f>
        <v/>
      </c>
      <c r="F147" s="6" t="str">
        <f aca="false">IFERROR(IF(A147="","",SUMIFS(Movimientos!E:E, Movimientos!D:D, A147, Movimientos!C:C, "Ingreso", Movimientos!G:G, "G1000")+SUMIFS(Movimientos!E:E, Movimientos!D:D, A147, Movimientos!C:C, "Traslado", Movimientos!G:G, "G1000")-SUMIFS(Movimientos!E:E, Movimientos!D:D, A147, Movimientos!C:C, "Traslado", Movimientos!F:F, "G1000")-SUMIFS(Movimientos!E:E, Movimientos!D:D, A147, Movimientos!C:C, "Egreso", Movimientos!F:F, "G1000")+SUMIFS(Movimientos!E:E, Movimientos!D:D, A147, Movimientos!C:C, "Ajuste", Movimientos!F:F, "G1000")),"")</f>
        <v/>
      </c>
      <c r="G147" s="6" t="str">
        <f aca="false">IFERROR(IF(A147="","",SUMIFS(Movimientos!E:E, Movimientos!D:D, A147, Movimientos!C:C, "Ingreso", Movimientos!G:G, "G710")+SUMIFS(Movimientos!E:E, Movimientos!D:D, A147, Movimientos!C:C, "Traslado", Movimientos!G:G, "G710")-SUMIFS(Movimientos!E:E, Movimientos!D:D, A147, Movimientos!C:C, "Traslado", Movimientos!F:F, "G710")-SUMIFS(Movimientos!E:E, Movimientos!D:D, A147, Movimientos!C:C, "Egreso", Movimientos!F:F, "G710")+SUMIFS(Movimientos!E:E, Movimientos!D:D, A147, Movimientos!C:C, "Ajuste", Movimientos!F:F, "G710")),"")</f>
        <v/>
      </c>
      <c r="H147" s="6" t="str">
        <f aca="false">IFERROR(IF(A147="","",SUMIFS(Movimientos!E:E, Movimientos!D:D, A147, Movimientos!C:C, "Ingreso", Movimientos!G:G, "G5000")+SUMIFS(Movimientos!E:E, Movimientos!D:D, A147, Movimientos!C:C, "Traslado", Movimientos!G:G, "G5000")-SUMIFS(Movimientos!E:E, Movimientos!D:D, A147, Movimientos!C:C, "Traslado", Movimientos!F:F, "G5000")-SUMIFS(Movimientos!E:E, Movimientos!D:D, A147, Movimientos!C:C, "Egreso", Movimientos!F:F, "G5000")+SUMIFS(Movimientos!E:E, Movimientos!D:D, A147, Movimientos!C:C, "Ajuste", Movimientos!F:F, "G5000")),"")</f>
        <v/>
      </c>
      <c r="I147" s="6" t="str">
        <f aca="false">IFERROR(IF(A147="","",SUMIFS(Movimientos!E:E, Movimientos!D:D, A147, Movimientos!C:C, "Ingreso", Movimientos!G:G, "G3")+SUMIFS(Movimientos!E:E, Movimientos!D:D, A147, Movimientos!C:C, "Traslado", Movimientos!G:G, "G3")-SUMIFS(Movimientos!E:E, Movimientos!D:D, A147, Movimientos!C:C, "Traslado", Movimientos!F:F, "G3")-SUMIFS(Movimientos!E:E, Movimientos!D:D, A147, Movimientos!C:C, "Egreso", Movimientos!F:F, "G3")+SUMIFS(Movimientos!E:E, Movimientos!D:D, A147, Movimientos!C:C, "Ajuste", Movimientos!F:F, "G3")),"")</f>
        <v/>
      </c>
      <c r="J147" s="6" t="str">
        <f aca="false">IFERROR(IF(A147="","",SUM(E147:I147)),"")</f>
        <v/>
      </c>
      <c r="K147" s="6" t="str">
        <f aca="false">IFERROR(IF(A147="","",SUMIFS(Movimientos!E:E, Movimientos!D:D, A147, Movimientos!C:C, "Reserva")-SUMIFS(Movimientos!E:E, Movimientos!D:D, A147, Movimientos!C:C, "Libera_Reserva")),"")</f>
        <v/>
      </c>
      <c r="L147" s="6" t="str">
        <f aca="false">IFERROR(IF(A147="","",J147-K147),"")</f>
        <v/>
      </c>
      <c r="M147" s="6" t="str">
        <f aca="false">IFERROR(IF(Productos!A147="","",Productos!G147),"")</f>
        <v/>
      </c>
      <c r="N147" s="6" t="str">
        <f aca="false">IFERROR(IF(A147="","",IF(L147&lt;M147,"BAJO STOCK","OK")),"")</f>
        <v/>
      </c>
    </row>
    <row r="148" customFormat="false" ht="15" hidden="false" customHeight="false" outlineLevel="0" collapsed="false">
      <c r="A148" s="0" t="str">
        <f aca="false">IFERROR(IF(Productos!A148="","",Productos!A148),"")</f>
        <v/>
      </c>
      <c r="B148" s="0" t="str">
        <f aca="false">IFERROR(IF(Productos!A148="","",Productos!B148),"")</f>
        <v/>
      </c>
      <c r="C148" s="0" t="str">
        <f aca="false">IFERROR(IF(Productos!A148="","",Productos!C148),"")</f>
        <v/>
      </c>
      <c r="D148" s="0" t="str">
        <f aca="false">IFERROR(IF(Productos!A148="","",Productos!E148),"")</f>
        <v/>
      </c>
      <c r="E148" s="6" t="str">
        <f aca="false">IFERROR(IF(A148="","",SUMIFS(Movimientos!E:E, Movimientos!D:D, A148, Movimientos!C:C, "Ingreso", Movimientos!G:G, "TIN")+SUMIFS(Movimientos!E:E, Movimientos!D:D, A148, Movimientos!C:C, "Traslado", Movimientos!G:G, "TIN")-SUMIFS(Movimientos!E:E, Movimientos!D:D, A148, Movimientos!C:C, "Traslado", Movimientos!F:F, "TIN")-SUMIFS(Movimientos!E:E, Movimientos!D:D, A148, Movimientos!C:C, "Egreso", Movimientos!F:F, "TIN")+SUMIFS(Movimientos!E:E, Movimientos!D:D, A148, Movimientos!C:C, "Ajuste", Movimientos!F:F, "TIN")),"")</f>
        <v/>
      </c>
      <c r="F148" s="6" t="str">
        <f aca="false">IFERROR(IF(A148="","",SUMIFS(Movimientos!E:E, Movimientos!D:D, A148, Movimientos!C:C, "Ingreso", Movimientos!G:G, "G1000")+SUMIFS(Movimientos!E:E, Movimientos!D:D, A148, Movimientos!C:C, "Traslado", Movimientos!G:G, "G1000")-SUMIFS(Movimientos!E:E, Movimientos!D:D, A148, Movimientos!C:C, "Traslado", Movimientos!F:F, "G1000")-SUMIFS(Movimientos!E:E, Movimientos!D:D, A148, Movimientos!C:C, "Egreso", Movimientos!F:F, "G1000")+SUMIFS(Movimientos!E:E, Movimientos!D:D, A148, Movimientos!C:C, "Ajuste", Movimientos!F:F, "G1000")),"")</f>
        <v/>
      </c>
      <c r="G148" s="6" t="str">
        <f aca="false">IFERROR(IF(A148="","",SUMIFS(Movimientos!E:E, Movimientos!D:D, A148, Movimientos!C:C, "Ingreso", Movimientos!G:G, "G710")+SUMIFS(Movimientos!E:E, Movimientos!D:D, A148, Movimientos!C:C, "Traslado", Movimientos!G:G, "G710")-SUMIFS(Movimientos!E:E, Movimientos!D:D, A148, Movimientos!C:C, "Traslado", Movimientos!F:F, "G710")-SUMIFS(Movimientos!E:E, Movimientos!D:D, A148, Movimientos!C:C, "Egreso", Movimientos!F:F, "G710")+SUMIFS(Movimientos!E:E, Movimientos!D:D, A148, Movimientos!C:C, "Ajuste", Movimientos!F:F, "G710")),"")</f>
        <v/>
      </c>
      <c r="H148" s="6" t="str">
        <f aca="false">IFERROR(IF(A148="","",SUMIFS(Movimientos!E:E, Movimientos!D:D, A148, Movimientos!C:C, "Ingreso", Movimientos!G:G, "G5000")+SUMIFS(Movimientos!E:E, Movimientos!D:D, A148, Movimientos!C:C, "Traslado", Movimientos!G:G, "G5000")-SUMIFS(Movimientos!E:E, Movimientos!D:D, A148, Movimientos!C:C, "Traslado", Movimientos!F:F, "G5000")-SUMIFS(Movimientos!E:E, Movimientos!D:D, A148, Movimientos!C:C, "Egreso", Movimientos!F:F, "G5000")+SUMIFS(Movimientos!E:E, Movimientos!D:D, A148, Movimientos!C:C, "Ajuste", Movimientos!F:F, "G5000")),"")</f>
        <v/>
      </c>
      <c r="I148" s="6" t="str">
        <f aca="false">IFERROR(IF(A148="","",SUMIFS(Movimientos!E:E, Movimientos!D:D, A148, Movimientos!C:C, "Ingreso", Movimientos!G:G, "G3")+SUMIFS(Movimientos!E:E, Movimientos!D:D, A148, Movimientos!C:C, "Traslado", Movimientos!G:G, "G3")-SUMIFS(Movimientos!E:E, Movimientos!D:D, A148, Movimientos!C:C, "Traslado", Movimientos!F:F, "G3")-SUMIFS(Movimientos!E:E, Movimientos!D:D, A148, Movimientos!C:C, "Egreso", Movimientos!F:F, "G3")+SUMIFS(Movimientos!E:E, Movimientos!D:D, A148, Movimientos!C:C, "Ajuste", Movimientos!F:F, "G3")),"")</f>
        <v/>
      </c>
      <c r="J148" s="6" t="str">
        <f aca="false">IFERROR(IF(A148="","",SUM(E148:I148)),"")</f>
        <v/>
      </c>
      <c r="K148" s="6" t="str">
        <f aca="false">IFERROR(IF(A148="","",SUMIFS(Movimientos!E:E, Movimientos!D:D, A148, Movimientos!C:C, "Reserva")-SUMIFS(Movimientos!E:E, Movimientos!D:D, A148, Movimientos!C:C, "Libera_Reserva")),"")</f>
        <v/>
      </c>
      <c r="L148" s="6" t="str">
        <f aca="false">IFERROR(IF(A148="","",J148-K148),"")</f>
        <v/>
      </c>
      <c r="M148" s="6" t="str">
        <f aca="false">IFERROR(IF(Productos!A148="","",Productos!G148),"")</f>
        <v/>
      </c>
      <c r="N148" s="6" t="str">
        <f aca="false">IFERROR(IF(A148="","",IF(L148&lt;M148,"BAJO STOCK","OK")),"")</f>
        <v/>
      </c>
    </row>
    <row r="149" customFormat="false" ht="15" hidden="false" customHeight="false" outlineLevel="0" collapsed="false">
      <c r="A149" s="0" t="str">
        <f aca="false">IFERROR(IF(Productos!A149="","",Productos!A149),"")</f>
        <v/>
      </c>
      <c r="B149" s="0" t="str">
        <f aca="false">IFERROR(IF(Productos!A149="","",Productos!B149),"")</f>
        <v/>
      </c>
      <c r="C149" s="0" t="str">
        <f aca="false">IFERROR(IF(Productos!A149="","",Productos!C149),"")</f>
        <v/>
      </c>
      <c r="D149" s="0" t="str">
        <f aca="false">IFERROR(IF(Productos!A149="","",Productos!E149),"")</f>
        <v/>
      </c>
      <c r="E149" s="6" t="str">
        <f aca="false">IFERROR(IF(A149="","",SUMIFS(Movimientos!E:E, Movimientos!D:D, A149, Movimientos!C:C, "Ingreso", Movimientos!G:G, "TIN")+SUMIFS(Movimientos!E:E, Movimientos!D:D, A149, Movimientos!C:C, "Traslado", Movimientos!G:G, "TIN")-SUMIFS(Movimientos!E:E, Movimientos!D:D, A149, Movimientos!C:C, "Traslado", Movimientos!F:F, "TIN")-SUMIFS(Movimientos!E:E, Movimientos!D:D, A149, Movimientos!C:C, "Egreso", Movimientos!F:F, "TIN")+SUMIFS(Movimientos!E:E, Movimientos!D:D, A149, Movimientos!C:C, "Ajuste", Movimientos!F:F, "TIN")),"")</f>
        <v/>
      </c>
      <c r="F149" s="6" t="str">
        <f aca="false">IFERROR(IF(A149="","",SUMIFS(Movimientos!E:E, Movimientos!D:D, A149, Movimientos!C:C, "Ingreso", Movimientos!G:G, "G1000")+SUMIFS(Movimientos!E:E, Movimientos!D:D, A149, Movimientos!C:C, "Traslado", Movimientos!G:G, "G1000")-SUMIFS(Movimientos!E:E, Movimientos!D:D, A149, Movimientos!C:C, "Traslado", Movimientos!F:F, "G1000")-SUMIFS(Movimientos!E:E, Movimientos!D:D, A149, Movimientos!C:C, "Egreso", Movimientos!F:F, "G1000")+SUMIFS(Movimientos!E:E, Movimientos!D:D, A149, Movimientos!C:C, "Ajuste", Movimientos!F:F, "G1000")),"")</f>
        <v/>
      </c>
      <c r="G149" s="6" t="str">
        <f aca="false">IFERROR(IF(A149="","",SUMIFS(Movimientos!E:E, Movimientos!D:D, A149, Movimientos!C:C, "Ingreso", Movimientos!G:G, "G710")+SUMIFS(Movimientos!E:E, Movimientos!D:D, A149, Movimientos!C:C, "Traslado", Movimientos!G:G, "G710")-SUMIFS(Movimientos!E:E, Movimientos!D:D, A149, Movimientos!C:C, "Traslado", Movimientos!F:F, "G710")-SUMIFS(Movimientos!E:E, Movimientos!D:D, A149, Movimientos!C:C, "Egreso", Movimientos!F:F, "G710")+SUMIFS(Movimientos!E:E, Movimientos!D:D, A149, Movimientos!C:C, "Ajuste", Movimientos!F:F, "G710")),"")</f>
        <v/>
      </c>
      <c r="H149" s="6" t="str">
        <f aca="false">IFERROR(IF(A149="","",SUMIFS(Movimientos!E:E, Movimientos!D:D, A149, Movimientos!C:C, "Ingreso", Movimientos!G:G, "G5000")+SUMIFS(Movimientos!E:E, Movimientos!D:D, A149, Movimientos!C:C, "Traslado", Movimientos!G:G, "G5000")-SUMIFS(Movimientos!E:E, Movimientos!D:D, A149, Movimientos!C:C, "Traslado", Movimientos!F:F, "G5000")-SUMIFS(Movimientos!E:E, Movimientos!D:D, A149, Movimientos!C:C, "Egreso", Movimientos!F:F, "G5000")+SUMIFS(Movimientos!E:E, Movimientos!D:D, A149, Movimientos!C:C, "Ajuste", Movimientos!F:F, "G5000")),"")</f>
        <v/>
      </c>
      <c r="I149" s="6" t="str">
        <f aca="false">IFERROR(IF(A149="","",SUMIFS(Movimientos!E:E, Movimientos!D:D, A149, Movimientos!C:C, "Ingreso", Movimientos!G:G, "G3")+SUMIFS(Movimientos!E:E, Movimientos!D:D, A149, Movimientos!C:C, "Traslado", Movimientos!G:G, "G3")-SUMIFS(Movimientos!E:E, Movimientos!D:D, A149, Movimientos!C:C, "Traslado", Movimientos!F:F, "G3")-SUMIFS(Movimientos!E:E, Movimientos!D:D, A149, Movimientos!C:C, "Egreso", Movimientos!F:F, "G3")+SUMIFS(Movimientos!E:E, Movimientos!D:D, A149, Movimientos!C:C, "Ajuste", Movimientos!F:F, "G3")),"")</f>
        <v/>
      </c>
      <c r="J149" s="6" t="str">
        <f aca="false">IFERROR(IF(A149="","",SUM(E149:I149)),"")</f>
        <v/>
      </c>
      <c r="K149" s="6" t="str">
        <f aca="false">IFERROR(IF(A149="","",SUMIFS(Movimientos!E:E, Movimientos!D:D, A149, Movimientos!C:C, "Reserva")-SUMIFS(Movimientos!E:E, Movimientos!D:D, A149, Movimientos!C:C, "Libera_Reserva")),"")</f>
        <v/>
      </c>
      <c r="L149" s="6" t="str">
        <f aca="false">IFERROR(IF(A149="","",J149-K149),"")</f>
        <v/>
      </c>
      <c r="M149" s="6" t="str">
        <f aca="false">IFERROR(IF(Productos!A149="","",Productos!G149),"")</f>
        <v/>
      </c>
      <c r="N149" s="6" t="str">
        <f aca="false">IFERROR(IF(A149="","",IF(L149&lt;M149,"BAJO STOCK","OK")),"")</f>
        <v/>
      </c>
    </row>
    <row r="150" customFormat="false" ht="15" hidden="false" customHeight="false" outlineLevel="0" collapsed="false">
      <c r="A150" s="0" t="str">
        <f aca="false">IFERROR(IF(Productos!A150="","",Productos!A150),"")</f>
        <v/>
      </c>
      <c r="B150" s="0" t="str">
        <f aca="false">IFERROR(IF(Productos!A150="","",Productos!B150),"")</f>
        <v/>
      </c>
      <c r="C150" s="0" t="str">
        <f aca="false">IFERROR(IF(Productos!A150="","",Productos!C150),"")</f>
        <v/>
      </c>
      <c r="D150" s="0" t="str">
        <f aca="false">IFERROR(IF(Productos!A150="","",Productos!E150),"")</f>
        <v/>
      </c>
      <c r="E150" s="6" t="str">
        <f aca="false">IFERROR(IF(A150="","",SUMIFS(Movimientos!E:E, Movimientos!D:D, A150, Movimientos!C:C, "Ingreso", Movimientos!G:G, "TIN")+SUMIFS(Movimientos!E:E, Movimientos!D:D, A150, Movimientos!C:C, "Traslado", Movimientos!G:G, "TIN")-SUMIFS(Movimientos!E:E, Movimientos!D:D, A150, Movimientos!C:C, "Traslado", Movimientos!F:F, "TIN")-SUMIFS(Movimientos!E:E, Movimientos!D:D, A150, Movimientos!C:C, "Egreso", Movimientos!F:F, "TIN")+SUMIFS(Movimientos!E:E, Movimientos!D:D, A150, Movimientos!C:C, "Ajuste", Movimientos!F:F, "TIN")),"")</f>
        <v/>
      </c>
      <c r="F150" s="6" t="str">
        <f aca="false">IFERROR(IF(A150="","",SUMIFS(Movimientos!E:E, Movimientos!D:D, A150, Movimientos!C:C, "Ingreso", Movimientos!G:G, "G1000")+SUMIFS(Movimientos!E:E, Movimientos!D:D, A150, Movimientos!C:C, "Traslado", Movimientos!G:G, "G1000")-SUMIFS(Movimientos!E:E, Movimientos!D:D, A150, Movimientos!C:C, "Traslado", Movimientos!F:F, "G1000")-SUMIFS(Movimientos!E:E, Movimientos!D:D, A150, Movimientos!C:C, "Egreso", Movimientos!F:F, "G1000")+SUMIFS(Movimientos!E:E, Movimientos!D:D, A150, Movimientos!C:C, "Ajuste", Movimientos!F:F, "G1000")),"")</f>
        <v/>
      </c>
      <c r="G150" s="6" t="str">
        <f aca="false">IFERROR(IF(A150="","",SUMIFS(Movimientos!E:E, Movimientos!D:D, A150, Movimientos!C:C, "Ingreso", Movimientos!G:G, "G710")+SUMIFS(Movimientos!E:E, Movimientos!D:D, A150, Movimientos!C:C, "Traslado", Movimientos!G:G, "G710")-SUMIFS(Movimientos!E:E, Movimientos!D:D, A150, Movimientos!C:C, "Traslado", Movimientos!F:F, "G710")-SUMIFS(Movimientos!E:E, Movimientos!D:D, A150, Movimientos!C:C, "Egreso", Movimientos!F:F, "G710")+SUMIFS(Movimientos!E:E, Movimientos!D:D, A150, Movimientos!C:C, "Ajuste", Movimientos!F:F, "G710")),"")</f>
        <v/>
      </c>
      <c r="H150" s="6" t="str">
        <f aca="false">IFERROR(IF(A150="","",SUMIFS(Movimientos!E:E, Movimientos!D:D, A150, Movimientos!C:C, "Ingreso", Movimientos!G:G, "G5000")+SUMIFS(Movimientos!E:E, Movimientos!D:D, A150, Movimientos!C:C, "Traslado", Movimientos!G:G, "G5000")-SUMIFS(Movimientos!E:E, Movimientos!D:D, A150, Movimientos!C:C, "Traslado", Movimientos!F:F, "G5000")-SUMIFS(Movimientos!E:E, Movimientos!D:D, A150, Movimientos!C:C, "Egreso", Movimientos!F:F, "G5000")+SUMIFS(Movimientos!E:E, Movimientos!D:D, A150, Movimientos!C:C, "Ajuste", Movimientos!F:F, "G5000")),"")</f>
        <v/>
      </c>
      <c r="I150" s="6" t="str">
        <f aca="false">IFERROR(IF(A150="","",SUMIFS(Movimientos!E:E, Movimientos!D:D, A150, Movimientos!C:C, "Ingreso", Movimientos!G:G, "G3")+SUMIFS(Movimientos!E:E, Movimientos!D:D, A150, Movimientos!C:C, "Traslado", Movimientos!G:G, "G3")-SUMIFS(Movimientos!E:E, Movimientos!D:D, A150, Movimientos!C:C, "Traslado", Movimientos!F:F, "G3")-SUMIFS(Movimientos!E:E, Movimientos!D:D, A150, Movimientos!C:C, "Egreso", Movimientos!F:F, "G3")+SUMIFS(Movimientos!E:E, Movimientos!D:D, A150, Movimientos!C:C, "Ajuste", Movimientos!F:F, "G3")),"")</f>
        <v/>
      </c>
      <c r="J150" s="6" t="str">
        <f aca="false">IFERROR(IF(A150="","",SUM(E150:I150)),"")</f>
        <v/>
      </c>
      <c r="K150" s="6" t="str">
        <f aca="false">IFERROR(IF(A150="","",SUMIFS(Movimientos!E:E, Movimientos!D:D, A150, Movimientos!C:C, "Reserva")-SUMIFS(Movimientos!E:E, Movimientos!D:D, A150, Movimientos!C:C, "Libera_Reserva")),"")</f>
        <v/>
      </c>
      <c r="L150" s="6" t="str">
        <f aca="false">IFERROR(IF(A150="","",J150-K150),"")</f>
        <v/>
      </c>
      <c r="M150" s="6" t="str">
        <f aca="false">IFERROR(IF(Productos!A150="","",Productos!G150),"")</f>
        <v/>
      </c>
      <c r="N150" s="6" t="str">
        <f aca="false">IFERROR(IF(A150="","",IF(L150&lt;M150,"BAJO STOCK","OK")),"")</f>
        <v/>
      </c>
    </row>
    <row r="151" customFormat="false" ht="15" hidden="false" customHeight="false" outlineLevel="0" collapsed="false">
      <c r="A151" s="0" t="str">
        <f aca="false">IFERROR(IF(Productos!A151="","",Productos!A151),"")</f>
        <v/>
      </c>
      <c r="B151" s="0" t="str">
        <f aca="false">IFERROR(IF(Productos!A151="","",Productos!B151),"")</f>
        <v/>
      </c>
      <c r="C151" s="0" t="str">
        <f aca="false">IFERROR(IF(Productos!A151="","",Productos!C151),"")</f>
        <v/>
      </c>
      <c r="D151" s="0" t="str">
        <f aca="false">IFERROR(IF(Productos!A151="","",Productos!E151),"")</f>
        <v/>
      </c>
      <c r="E151" s="6" t="str">
        <f aca="false">IFERROR(IF(A151="","",SUMIFS(Movimientos!E:E, Movimientos!D:D, A151, Movimientos!C:C, "Ingreso", Movimientos!G:G, "TIN")+SUMIFS(Movimientos!E:E, Movimientos!D:D, A151, Movimientos!C:C, "Traslado", Movimientos!G:G, "TIN")-SUMIFS(Movimientos!E:E, Movimientos!D:D, A151, Movimientos!C:C, "Traslado", Movimientos!F:F, "TIN")-SUMIFS(Movimientos!E:E, Movimientos!D:D, A151, Movimientos!C:C, "Egreso", Movimientos!F:F, "TIN")+SUMIFS(Movimientos!E:E, Movimientos!D:D, A151, Movimientos!C:C, "Ajuste", Movimientos!F:F, "TIN")),"")</f>
        <v/>
      </c>
      <c r="F151" s="6" t="str">
        <f aca="false">IFERROR(IF(A151="","",SUMIFS(Movimientos!E:E, Movimientos!D:D, A151, Movimientos!C:C, "Ingreso", Movimientos!G:G, "G1000")+SUMIFS(Movimientos!E:E, Movimientos!D:D, A151, Movimientos!C:C, "Traslado", Movimientos!G:G, "G1000")-SUMIFS(Movimientos!E:E, Movimientos!D:D, A151, Movimientos!C:C, "Traslado", Movimientos!F:F, "G1000")-SUMIFS(Movimientos!E:E, Movimientos!D:D, A151, Movimientos!C:C, "Egreso", Movimientos!F:F, "G1000")+SUMIFS(Movimientos!E:E, Movimientos!D:D, A151, Movimientos!C:C, "Ajuste", Movimientos!F:F, "G1000")),"")</f>
        <v/>
      </c>
      <c r="G151" s="6" t="str">
        <f aca="false">IFERROR(IF(A151="","",SUMIFS(Movimientos!E:E, Movimientos!D:D, A151, Movimientos!C:C, "Ingreso", Movimientos!G:G, "G710")+SUMIFS(Movimientos!E:E, Movimientos!D:D, A151, Movimientos!C:C, "Traslado", Movimientos!G:G, "G710")-SUMIFS(Movimientos!E:E, Movimientos!D:D, A151, Movimientos!C:C, "Traslado", Movimientos!F:F, "G710")-SUMIFS(Movimientos!E:E, Movimientos!D:D, A151, Movimientos!C:C, "Egreso", Movimientos!F:F, "G710")+SUMIFS(Movimientos!E:E, Movimientos!D:D, A151, Movimientos!C:C, "Ajuste", Movimientos!F:F, "G710")),"")</f>
        <v/>
      </c>
      <c r="H151" s="6" t="str">
        <f aca="false">IFERROR(IF(A151="","",SUMIFS(Movimientos!E:E, Movimientos!D:D, A151, Movimientos!C:C, "Ingreso", Movimientos!G:G, "G5000")+SUMIFS(Movimientos!E:E, Movimientos!D:D, A151, Movimientos!C:C, "Traslado", Movimientos!G:G, "G5000")-SUMIFS(Movimientos!E:E, Movimientos!D:D, A151, Movimientos!C:C, "Traslado", Movimientos!F:F, "G5000")-SUMIFS(Movimientos!E:E, Movimientos!D:D, A151, Movimientos!C:C, "Egreso", Movimientos!F:F, "G5000")+SUMIFS(Movimientos!E:E, Movimientos!D:D, A151, Movimientos!C:C, "Ajuste", Movimientos!F:F, "G5000")),"")</f>
        <v/>
      </c>
      <c r="I151" s="6" t="str">
        <f aca="false">IFERROR(IF(A151="","",SUMIFS(Movimientos!E:E, Movimientos!D:D, A151, Movimientos!C:C, "Ingreso", Movimientos!G:G, "G3")+SUMIFS(Movimientos!E:E, Movimientos!D:D, A151, Movimientos!C:C, "Traslado", Movimientos!G:G, "G3")-SUMIFS(Movimientos!E:E, Movimientos!D:D, A151, Movimientos!C:C, "Traslado", Movimientos!F:F, "G3")-SUMIFS(Movimientos!E:E, Movimientos!D:D, A151, Movimientos!C:C, "Egreso", Movimientos!F:F, "G3")+SUMIFS(Movimientos!E:E, Movimientos!D:D, A151, Movimientos!C:C, "Ajuste", Movimientos!F:F, "G3")),"")</f>
        <v/>
      </c>
      <c r="J151" s="6" t="str">
        <f aca="false">IFERROR(IF(A151="","",SUM(E151:I151)),"")</f>
        <v/>
      </c>
      <c r="K151" s="6" t="str">
        <f aca="false">IFERROR(IF(A151="","",SUMIFS(Movimientos!E:E, Movimientos!D:D, A151, Movimientos!C:C, "Reserva")-SUMIFS(Movimientos!E:E, Movimientos!D:D, A151, Movimientos!C:C, "Libera_Reserva")),"")</f>
        <v/>
      </c>
      <c r="L151" s="6" t="str">
        <f aca="false">IFERROR(IF(A151="","",J151-K151),"")</f>
        <v/>
      </c>
      <c r="M151" s="6" t="str">
        <f aca="false">IFERROR(IF(Productos!A151="","",Productos!G151),"")</f>
        <v/>
      </c>
      <c r="N151" s="6" t="str">
        <f aca="false">IFERROR(IF(A151="","",IF(L151&lt;M151,"BAJO STOCK","OK")),"")</f>
        <v/>
      </c>
    </row>
    <row r="152" customFormat="false" ht="15" hidden="false" customHeight="false" outlineLevel="0" collapsed="false">
      <c r="A152" s="0" t="str">
        <f aca="false">IFERROR(IF(Productos!A152="","",Productos!A152),"")</f>
        <v/>
      </c>
      <c r="B152" s="0" t="str">
        <f aca="false">IFERROR(IF(Productos!A152="","",Productos!B152),"")</f>
        <v/>
      </c>
      <c r="C152" s="0" t="str">
        <f aca="false">IFERROR(IF(Productos!A152="","",Productos!C152),"")</f>
        <v/>
      </c>
      <c r="D152" s="0" t="str">
        <f aca="false">IFERROR(IF(Productos!A152="","",Productos!E152),"")</f>
        <v/>
      </c>
      <c r="E152" s="6" t="str">
        <f aca="false">IFERROR(IF(A152="","",SUMIFS(Movimientos!E:E, Movimientos!D:D, A152, Movimientos!C:C, "Ingreso", Movimientos!G:G, "TIN")+SUMIFS(Movimientos!E:E, Movimientos!D:D, A152, Movimientos!C:C, "Traslado", Movimientos!G:G, "TIN")-SUMIFS(Movimientos!E:E, Movimientos!D:D, A152, Movimientos!C:C, "Traslado", Movimientos!F:F, "TIN")-SUMIFS(Movimientos!E:E, Movimientos!D:D, A152, Movimientos!C:C, "Egreso", Movimientos!F:F, "TIN")+SUMIFS(Movimientos!E:E, Movimientos!D:D, A152, Movimientos!C:C, "Ajuste", Movimientos!F:F, "TIN")),"")</f>
        <v/>
      </c>
      <c r="F152" s="6" t="str">
        <f aca="false">IFERROR(IF(A152="","",SUMIFS(Movimientos!E:E, Movimientos!D:D, A152, Movimientos!C:C, "Ingreso", Movimientos!G:G, "G1000")+SUMIFS(Movimientos!E:E, Movimientos!D:D, A152, Movimientos!C:C, "Traslado", Movimientos!G:G, "G1000")-SUMIFS(Movimientos!E:E, Movimientos!D:D, A152, Movimientos!C:C, "Traslado", Movimientos!F:F, "G1000")-SUMIFS(Movimientos!E:E, Movimientos!D:D, A152, Movimientos!C:C, "Egreso", Movimientos!F:F, "G1000")+SUMIFS(Movimientos!E:E, Movimientos!D:D, A152, Movimientos!C:C, "Ajuste", Movimientos!F:F, "G1000")),"")</f>
        <v/>
      </c>
      <c r="G152" s="6" t="str">
        <f aca="false">IFERROR(IF(A152="","",SUMIFS(Movimientos!E:E, Movimientos!D:D, A152, Movimientos!C:C, "Ingreso", Movimientos!G:G, "G710")+SUMIFS(Movimientos!E:E, Movimientos!D:D, A152, Movimientos!C:C, "Traslado", Movimientos!G:G, "G710")-SUMIFS(Movimientos!E:E, Movimientos!D:D, A152, Movimientos!C:C, "Traslado", Movimientos!F:F, "G710")-SUMIFS(Movimientos!E:E, Movimientos!D:D, A152, Movimientos!C:C, "Egreso", Movimientos!F:F, "G710")+SUMIFS(Movimientos!E:E, Movimientos!D:D, A152, Movimientos!C:C, "Ajuste", Movimientos!F:F, "G710")),"")</f>
        <v/>
      </c>
      <c r="H152" s="6" t="str">
        <f aca="false">IFERROR(IF(A152="","",SUMIFS(Movimientos!E:E, Movimientos!D:D, A152, Movimientos!C:C, "Ingreso", Movimientos!G:G, "G5000")+SUMIFS(Movimientos!E:E, Movimientos!D:D, A152, Movimientos!C:C, "Traslado", Movimientos!G:G, "G5000")-SUMIFS(Movimientos!E:E, Movimientos!D:D, A152, Movimientos!C:C, "Traslado", Movimientos!F:F, "G5000")-SUMIFS(Movimientos!E:E, Movimientos!D:D, A152, Movimientos!C:C, "Egreso", Movimientos!F:F, "G5000")+SUMIFS(Movimientos!E:E, Movimientos!D:D, A152, Movimientos!C:C, "Ajuste", Movimientos!F:F, "G5000")),"")</f>
        <v/>
      </c>
      <c r="I152" s="6" t="str">
        <f aca="false">IFERROR(IF(A152="","",SUMIFS(Movimientos!E:E, Movimientos!D:D, A152, Movimientos!C:C, "Ingreso", Movimientos!G:G, "G3")+SUMIFS(Movimientos!E:E, Movimientos!D:D, A152, Movimientos!C:C, "Traslado", Movimientos!G:G, "G3")-SUMIFS(Movimientos!E:E, Movimientos!D:D, A152, Movimientos!C:C, "Traslado", Movimientos!F:F, "G3")-SUMIFS(Movimientos!E:E, Movimientos!D:D, A152, Movimientos!C:C, "Egreso", Movimientos!F:F, "G3")+SUMIFS(Movimientos!E:E, Movimientos!D:D, A152, Movimientos!C:C, "Ajuste", Movimientos!F:F, "G3")),"")</f>
        <v/>
      </c>
      <c r="J152" s="6" t="str">
        <f aca="false">IFERROR(IF(A152="","",SUM(E152:I152)),"")</f>
        <v/>
      </c>
      <c r="K152" s="6" t="str">
        <f aca="false">IFERROR(IF(A152="","",SUMIFS(Movimientos!E:E, Movimientos!D:D, A152, Movimientos!C:C, "Reserva")-SUMIFS(Movimientos!E:E, Movimientos!D:D, A152, Movimientos!C:C, "Libera_Reserva")),"")</f>
        <v/>
      </c>
      <c r="L152" s="6" t="str">
        <f aca="false">IFERROR(IF(A152="","",J152-K152),"")</f>
        <v/>
      </c>
      <c r="M152" s="6" t="str">
        <f aca="false">IFERROR(IF(Productos!A152="","",Productos!G152),"")</f>
        <v/>
      </c>
      <c r="N152" s="6" t="str">
        <f aca="false">IFERROR(IF(A152="","",IF(L152&lt;M152,"BAJO STOCK","OK")),"")</f>
        <v/>
      </c>
    </row>
    <row r="153" customFormat="false" ht="15" hidden="false" customHeight="false" outlineLevel="0" collapsed="false">
      <c r="A153" s="0" t="str">
        <f aca="false">IFERROR(IF(Productos!A153="","",Productos!A153),"")</f>
        <v/>
      </c>
      <c r="B153" s="0" t="str">
        <f aca="false">IFERROR(IF(Productos!A153="","",Productos!B153),"")</f>
        <v/>
      </c>
      <c r="C153" s="0" t="str">
        <f aca="false">IFERROR(IF(Productos!A153="","",Productos!C153),"")</f>
        <v/>
      </c>
      <c r="D153" s="0" t="str">
        <f aca="false">IFERROR(IF(Productos!A153="","",Productos!E153),"")</f>
        <v/>
      </c>
      <c r="E153" s="6" t="str">
        <f aca="false">IFERROR(IF(A153="","",SUMIFS(Movimientos!E:E, Movimientos!D:D, A153, Movimientos!C:C, "Ingreso", Movimientos!G:G, "TIN")+SUMIFS(Movimientos!E:E, Movimientos!D:D, A153, Movimientos!C:C, "Traslado", Movimientos!G:G, "TIN")-SUMIFS(Movimientos!E:E, Movimientos!D:D, A153, Movimientos!C:C, "Traslado", Movimientos!F:F, "TIN")-SUMIFS(Movimientos!E:E, Movimientos!D:D, A153, Movimientos!C:C, "Egreso", Movimientos!F:F, "TIN")+SUMIFS(Movimientos!E:E, Movimientos!D:D, A153, Movimientos!C:C, "Ajuste", Movimientos!F:F, "TIN")),"")</f>
        <v/>
      </c>
      <c r="F153" s="6" t="str">
        <f aca="false">IFERROR(IF(A153="","",SUMIFS(Movimientos!E:E, Movimientos!D:D, A153, Movimientos!C:C, "Ingreso", Movimientos!G:G, "G1000")+SUMIFS(Movimientos!E:E, Movimientos!D:D, A153, Movimientos!C:C, "Traslado", Movimientos!G:G, "G1000")-SUMIFS(Movimientos!E:E, Movimientos!D:D, A153, Movimientos!C:C, "Traslado", Movimientos!F:F, "G1000")-SUMIFS(Movimientos!E:E, Movimientos!D:D, A153, Movimientos!C:C, "Egreso", Movimientos!F:F, "G1000")+SUMIFS(Movimientos!E:E, Movimientos!D:D, A153, Movimientos!C:C, "Ajuste", Movimientos!F:F, "G1000")),"")</f>
        <v/>
      </c>
      <c r="G153" s="6" t="str">
        <f aca="false">IFERROR(IF(A153="","",SUMIFS(Movimientos!E:E, Movimientos!D:D, A153, Movimientos!C:C, "Ingreso", Movimientos!G:G, "G710")+SUMIFS(Movimientos!E:E, Movimientos!D:D, A153, Movimientos!C:C, "Traslado", Movimientos!G:G, "G710")-SUMIFS(Movimientos!E:E, Movimientos!D:D, A153, Movimientos!C:C, "Traslado", Movimientos!F:F, "G710")-SUMIFS(Movimientos!E:E, Movimientos!D:D, A153, Movimientos!C:C, "Egreso", Movimientos!F:F, "G710")+SUMIFS(Movimientos!E:E, Movimientos!D:D, A153, Movimientos!C:C, "Ajuste", Movimientos!F:F, "G710")),"")</f>
        <v/>
      </c>
      <c r="H153" s="6" t="str">
        <f aca="false">IFERROR(IF(A153="","",SUMIFS(Movimientos!E:E, Movimientos!D:D, A153, Movimientos!C:C, "Ingreso", Movimientos!G:G, "G5000")+SUMIFS(Movimientos!E:E, Movimientos!D:D, A153, Movimientos!C:C, "Traslado", Movimientos!G:G, "G5000")-SUMIFS(Movimientos!E:E, Movimientos!D:D, A153, Movimientos!C:C, "Traslado", Movimientos!F:F, "G5000")-SUMIFS(Movimientos!E:E, Movimientos!D:D, A153, Movimientos!C:C, "Egreso", Movimientos!F:F, "G5000")+SUMIFS(Movimientos!E:E, Movimientos!D:D, A153, Movimientos!C:C, "Ajuste", Movimientos!F:F, "G5000")),"")</f>
        <v/>
      </c>
      <c r="I153" s="6" t="str">
        <f aca="false">IFERROR(IF(A153="","",SUMIFS(Movimientos!E:E, Movimientos!D:D, A153, Movimientos!C:C, "Ingreso", Movimientos!G:G, "G3")+SUMIFS(Movimientos!E:E, Movimientos!D:D, A153, Movimientos!C:C, "Traslado", Movimientos!G:G, "G3")-SUMIFS(Movimientos!E:E, Movimientos!D:D, A153, Movimientos!C:C, "Traslado", Movimientos!F:F, "G3")-SUMIFS(Movimientos!E:E, Movimientos!D:D, A153, Movimientos!C:C, "Egreso", Movimientos!F:F, "G3")+SUMIFS(Movimientos!E:E, Movimientos!D:D, A153, Movimientos!C:C, "Ajuste", Movimientos!F:F, "G3")),"")</f>
        <v/>
      </c>
      <c r="J153" s="6" t="str">
        <f aca="false">IFERROR(IF(A153="","",SUM(E153:I153)),"")</f>
        <v/>
      </c>
      <c r="K153" s="6" t="str">
        <f aca="false">IFERROR(IF(A153="","",SUMIFS(Movimientos!E:E, Movimientos!D:D, A153, Movimientos!C:C, "Reserva")-SUMIFS(Movimientos!E:E, Movimientos!D:D, A153, Movimientos!C:C, "Libera_Reserva")),"")</f>
        <v/>
      </c>
      <c r="L153" s="6" t="str">
        <f aca="false">IFERROR(IF(A153="","",J153-K153),"")</f>
        <v/>
      </c>
      <c r="M153" s="6" t="str">
        <f aca="false">IFERROR(IF(Productos!A153="","",Productos!G153),"")</f>
        <v/>
      </c>
      <c r="N153" s="6" t="str">
        <f aca="false">IFERROR(IF(A153="","",IF(L153&lt;M153,"BAJO STOCK","OK")),"")</f>
        <v/>
      </c>
    </row>
    <row r="154" customFormat="false" ht="15" hidden="false" customHeight="false" outlineLevel="0" collapsed="false">
      <c r="A154" s="0" t="str">
        <f aca="false">IFERROR(IF(Productos!A154="","",Productos!A154),"")</f>
        <v/>
      </c>
      <c r="B154" s="0" t="str">
        <f aca="false">IFERROR(IF(Productos!A154="","",Productos!B154),"")</f>
        <v/>
      </c>
      <c r="C154" s="0" t="str">
        <f aca="false">IFERROR(IF(Productos!A154="","",Productos!C154),"")</f>
        <v/>
      </c>
      <c r="D154" s="0" t="str">
        <f aca="false">IFERROR(IF(Productos!A154="","",Productos!E154),"")</f>
        <v/>
      </c>
      <c r="E154" s="6" t="str">
        <f aca="false">IFERROR(IF(A154="","",SUMIFS(Movimientos!E:E, Movimientos!D:D, A154, Movimientos!C:C, "Ingreso", Movimientos!G:G, "TIN")+SUMIFS(Movimientos!E:E, Movimientos!D:D, A154, Movimientos!C:C, "Traslado", Movimientos!G:G, "TIN")-SUMIFS(Movimientos!E:E, Movimientos!D:D, A154, Movimientos!C:C, "Traslado", Movimientos!F:F, "TIN")-SUMIFS(Movimientos!E:E, Movimientos!D:D, A154, Movimientos!C:C, "Egreso", Movimientos!F:F, "TIN")+SUMIFS(Movimientos!E:E, Movimientos!D:D, A154, Movimientos!C:C, "Ajuste", Movimientos!F:F, "TIN")),"")</f>
        <v/>
      </c>
      <c r="F154" s="6" t="str">
        <f aca="false">IFERROR(IF(A154="","",SUMIFS(Movimientos!E:E, Movimientos!D:D, A154, Movimientos!C:C, "Ingreso", Movimientos!G:G, "G1000")+SUMIFS(Movimientos!E:E, Movimientos!D:D, A154, Movimientos!C:C, "Traslado", Movimientos!G:G, "G1000")-SUMIFS(Movimientos!E:E, Movimientos!D:D, A154, Movimientos!C:C, "Traslado", Movimientos!F:F, "G1000")-SUMIFS(Movimientos!E:E, Movimientos!D:D, A154, Movimientos!C:C, "Egreso", Movimientos!F:F, "G1000")+SUMIFS(Movimientos!E:E, Movimientos!D:D, A154, Movimientos!C:C, "Ajuste", Movimientos!F:F, "G1000")),"")</f>
        <v/>
      </c>
      <c r="G154" s="6" t="str">
        <f aca="false">IFERROR(IF(A154="","",SUMIFS(Movimientos!E:E, Movimientos!D:D, A154, Movimientos!C:C, "Ingreso", Movimientos!G:G, "G710")+SUMIFS(Movimientos!E:E, Movimientos!D:D, A154, Movimientos!C:C, "Traslado", Movimientos!G:G, "G710")-SUMIFS(Movimientos!E:E, Movimientos!D:D, A154, Movimientos!C:C, "Traslado", Movimientos!F:F, "G710")-SUMIFS(Movimientos!E:E, Movimientos!D:D, A154, Movimientos!C:C, "Egreso", Movimientos!F:F, "G710")+SUMIFS(Movimientos!E:E, Movimientos!D:D, A154, Movimientos!C:C, "Ajuste", Movimientos!F:F, "G710")),"")</f>
        <v/>
      </c>
      <c r="H154" s="6" t="str">
        <f aca="false">IFERROR(IF(A154="","",SUMIFS(Movimientos!E:E, Movimientos!D:D, A154, Movimientos!C:C, "Ingreso", Movimientos!G:G, "G5000")+SUMIFS(Movimientos!E:E, Movimientos!D:D, A154, Movimientos!C:C, "Traslado", Movimientos!G:G, "G5000")-SUMIFS(Movimientos!E:E, Movimientos!D:D, A154, Movimientos!C:C, "Traslado", Movimientos!F:F, "G5000")-SUMIFS(Movimientos!E:E, Movimientos!D:D, A154, Movimientos!C:C, "Egreso", Movimientos!F:F, "G5000")+SUMIFS(Movimientos!E:E, Movimientos!D:D, A154, Movimientos!C:C, "Ajuste", Movimientos!F:F, "G5000")),"")</f>
        <v/>
      </c>
      <c r="I154" s="6" t="str">
        <f aca="false">IFERROR(IF(A154="","",SUMIFS(Movimientos!E:E, Movimientos!D:D, A154, Movimientos!C:C, "Ingreso", Movimientos!G:G, "G3")+SUMIFS(Movimientos!E:E, Movimientos!D:D, A154, Movimientos!C:C, "Traslado", Movimientos!G:G, "G3")-SUMIFS(Movimientos!E:E, Movimientos!D:D, A154, Movimientos!C:C, "Traslado", Movimientos!F:F, "G3")-SUMIFS(Movimientos!E:E, Movimientos!D:D, A154, Movimientos!C:C, "Egreso", Movimientos!F:F, "G3")+SUMIFS(Movimientos!E:E, Movimientos!D:D, A154, Movimientos!C:C, "Ajuste", Movimientos!F:F, "G3")),"")</f>
        <v/>
      </c>
      <c r="J154" s="6" t="str">
        <f aca="false">IFERROR(IF(A154="","",SUM(E154:I154)),"")</f>
        <v/>
      </c>
      <c r="K154" s="6" t="str">
        <f aca="false">IFERROR(IF(A154="","",SUMIFS(Movimientos!E:E, Movimientos!D:D, A154, Movimientos!C:C, "Reserva")-SUMIFS(Movimientos!E:E, Movimientos!D:D, A154, Movimientos!C:C, "Libera_Reserva")),"")</f>
        <v/>
      </c>
      <c r="L154" s="6" t="str">
        <f aca="false">IFERROR(IF(A154="","",J154-K154),"")</f>
        <v/>
      </c>
      <c r="M154" s="6" t="str">
        <f aca="false">IFERROR(IF(Productos!A154="","",Productos!G154),"")</f>
        <v/>
      </c>
      <c r="N154" s="6" t="str">
        <f aca="false">IFERROR(IF(A154="","",IF(L154&lt;M154,"BAJO STOCK","OK")),"")</f>
        <v/>
      </c>
    </row>
    <row r="155" customFormat="false" ht="15" hidden="false" customHeight="false" outlineLevel="0" collapsed="false">
      <c r="A155" s="0" t="str">
        <f aca="false">IFERROR(IF(Productos!A155="","",Productos!A155),"")</f>
        <v/>
      </c>
      <c r="B155" s="0" t="str">
        <f aca="false">IFERROR(IF(Productos!A155="","",Productos!B155),"")</f>
        <v/>
      </c>
      <c r="C155" s="0" t="str">
        <f aca="false">IFERROR(IF(Productos!A155="","",Productos!C155),"")</f>
        <v/>
      </c>
      <c r="D155" s="0" t="str">
        <f aca="false">IFERROR(IF(Productos!A155="","",Productos!E155),"")</f>
        <v/>
      </c>
      <c r="E155" s="6" t="str">
        <f aca="false">IFERROR(IF(A155="","",SUMIFS(Movimientos!E:E, Movimientos!D:D, A155, Movimientos!C:C, "Ingreso", Movimientos!G:G, "TIN")+SUMIFS(Movimientos!E:E, Movimientos!D:D, A155, Movimientos!C:C, "Traslado", Movimientos!G:G, "TIN")-SUMIFS(Movimientos!E:E, Movimientos!D:D, A155, Movimientos!C:C, "Traslado", Movimientos!F:F, "TIN")-SUMIFS(Movimientos!E:E, Movimientos!D:D, A155, Movimientos!C:C, "Egreso", Movimientos!F:F, "TIN")+SUMIFS(Movimientos!E:E, Movimientos!D:D, A155, Movimientos!C:C, "Ajuste", Movimientos!F:F, "TIN")),"")</f>
        <v/>
      </c>
      <c r="F155" s="6" t="str">
        <f aca="false">IFERROR(IF(A155="","",SUMIFS(Movimientos!E:E, Movimientos!D:D, A155, Movimientos!C:C, "Ingreso", Movimientos!G:G, "G1000")+SUMIFS(Movimientos!E:E, Movimientos!D:D, A155, Movimientos!C:C, "Traslado", Movimientos!G:G, "G1000")-SUMIFS(Movimientos!E:E, Movimientos!D:D, A155, Movimientos!C:C, "Traslado", Movimientos!F:F, "G1000")-SUMIFS(Movimientos!E:E, Movimientos!D:D, A155, Movimientos!C:C, "Egreso", Movimientos!F:F, "G1000")+SUMIFS(Movimientos!E:E, Movimientos!D:D, A155, Movimientos!C:C, "Ajuste", Movimientos!F:F, "G1000")),"")</f>
        <v/>
      </c>
      <c r="G155" s="6" t="str">
        <f aca="false">IFERROR(IF(A155="","",SUMIFS(Movimientos!E:E, Movimientos!D:D, A155, Movimientos!C:C, "Ingreso", Movimientos!G:G, "G710")+SUMIFS(Movimientos!E:E, Movimientos!D:D, A155, Movimientos!C:C, "Traslado", Movimientos!G:G, "G710")-SUMIFS(Movimientos!E:E, Movimientos!D:D, A155, Movimientos!C:C, "Traslado", Movimientos!F:F, "G710")-SUMIFS(Movimientos!E:E, Movimientos!D:D, A155, Movimientos!C:C, "Egreso", Movimientos!F:F, "G710")+SUMIFS(Movimientos!E:E, Movimientos!D:D, A155, Movimientos!C:C, "Ajuste", Movimientos!F:F, "G710")),"")</f>
        <v/>
      </c>
      <c r="H155" s="6" t="str">
        <f aca="false">IFERROR(IF(A155="","",SUMIFS(Movimientos!E:E, Movimientos!D:D, A155, Movimientos!C:C, "Ingreso", Movimientos!G:G, "G5000")+SUMIFS(Movimientos!E:E, Movimientos!D:D, A155, Movimientos!C:C, "Traslado", Movimientos!G:G, "G5000")-SUMIFS(Movimientos!E:E, Movimientos!D:D, A155, Movimientos!C:C, "Traslado", Movimientos!F:F, "G5000")-SUMIFS(Movimientos!E:E, Movimientos!D:D, A155, Movimientos!C:C, "Egreso", Movimientos!F:F, "G5000")+SUMIFS(Movimientos!E:E, Movimientos!D:D, A155, Movimientos!C:C, "Ajuste", Movimientos!F:F, "G5000")),"")</f>
        <v/>
      </c>
      <c r="I155" s="6" t="str">
        <f aca="false">IFERROR(IF(A155="","",SUMIFS(Movimientos!E:E, Movimientos!D:D, A155, Movimientos!C:C, "Ingreso", Movimientos!G:G, "G3")+SUMIFS(Movimientos!E:E, Movimientos!D:D, A155, Movimientos!C:C, "Traslado", Movimientos!G:G, "G3")-SUMIFS(Movimientos!E:E, Movimientos!D:D, A155, Movimientos!C:C, "Traslado", Movimientos!F:F, "G3")-SUMIFS(Movimientos!E:E, Movimientos!D:D, A155, Movimientos!C:C, "Egreso", Movimientos!F:F, "G3")+SUMIFS(Movimientos!E:E, Movimientos!D:D, A155, Movimientos!C:C, "Ajuste", Movimientos!F:F, "G3")),"")</f>
        <v/>
      </c>
      <c r="J155" s="6" t="str">
        <f aca="false">IFERROR(IF(A155="","",SUM(E155:I155)),"")</f>
        <v/>
      </c>
      <c r="K155" s="6" t="str">
        <f aca="false">IFERROR(IF(A155="","",SUMIFS(Movimientos!E:E, Movimientos!D:D, A155, Movimientos!C:C, "Reserva")-SUMIFS(Movimientos!E:E, Movimientos!D:D, A155, Movimientos!C:C, "Libera_Reserva")),"")</f>
        <v/>
      </c>
      <c r="L155" s="6" t="str">
        <f aca="false">IFERROR(IF(A155="","",J155-K155),"")</f>
        <v/>
      </c>
      <c r="M155" s="6" t="str">
        <f aca="false">IFERROR(IF(Productos!A155="","",Productos!G155),"")</f>
        <v/>
      </c>
      <c r="N155" s="6" t="str">
        <f aca="false">IFERROR(IF(A155="","",IF(L155&lt;M155,"BAJO STOCK","OK")),"")</f>
        <v/>
      </c>
    </row>
    <row r="156" customFormat="false" ht="15" hidden="false" customHeight="false" outlineLevel="0" collapsed="false">
      <c r="A156" s="0" t="str">
        <f aca="false">IFERROR(IF(Productos!A156="","",Productos!A156),"")</f>
        <v/>
      </c>
      <c r="B156" s="0" t="str">
        <f aca="false">IFERROR(IF(Productos!A156="","",Productos!B156),"")</f>
        <v/>
      </c>
      <c r="C156" s="0" t="str">
        <f aca="false">IFERROR(IF(Productos!A156="","",Productos!C156),"")</f>
        <v/>
      </c>
      <c r="D156" s="0" t="str">
        <f aca="false">IFERROR(IF(Productos!A156="","",Productos!E156),"")</f>
        <v/>
      </c>
      <c r="E156" s="6" t="str">
        <f aca="false">IFERROR(IF(A156="","",SUMIFS(Movimientos!E:E, Movimientos!D:D, A156, Movimientos!C:C, "Ingreso", Movimientos!G:G, "TIN")+SUMIFS(Movimientos!E:E, Movimientos!D:D, A156, Movimientos!C:C, "Traslado", Movimientos!G:G, "TIN")-SUMIFS(Movimientos!E:E, Movimientos!D:D, A156, Movimientos!C:C, "Traslado", Movimientos!F:F, "TIN")-SUMIFS(Movimientos!E:E, Movimientos!D:D, A156, Movimientos!C:C, "Egreso", Movimientos!F:F, "TIN")+SUMIFS(Movimientos!E:E, Movimientos!D:D, A156, Movimientos!C:C, "Ajuste", Movimientos!F:F, "TIN")),"")</f>
        <v/>
      </c>
      <c r="F156" s="6" t="str">
        <f aca="false">IFERROR(IF(A156="","",SUMIFS(Movimientos!E:E, Movimientos!D:D, A156, Movimientos!C:C, "Ingreso", Movimientos!G:G, "G1000")+SUMIFS(Movimientos!E:E, Movimientos!D:D, A156, Movimientos!C:C, "Traslado", Movimientos!G:G, "G1000")-SUMIFS(Movimientos!E:E, Movimientos!D:D, A156, Movimientos!C:C, "Traslado", Movimientos!F:F, "G1000")-SUMIFS(Movimientos!E:E, Movimientos!D:D, A156, Movimientos!C:C, "Egreso", Movimientos!F:F, "G1000")+SUMIFS(Movimientos!E:E, Movimientos!D:D, A156, Movimientos!C:C, "Ajuste", Movimientos!F:F, "G1000")),"")</f>
        <v/>
      </c>
      <c r="G156" s="6" t="str">
        <f aca="false">IFERROR(IF(A156="","",SUMIFS(Movimientos!E:E, Movimientos!D:D, A156, Movimientos!C:C, "Ingreso", Movimientos!G:G, "G710")+SUMIFS(Movimientos!E:E, Movimientos!D:D, A156, Movimientos!C:C, "Traslado", Movimientos!G:G, "G710")-SUMIFS(Movimientos!E:E, Movimientos!D:D, A156, Movimientos!C:C, "Traslado", Movimientos!F:F, "G710")-SUMIFS(Movimientos!E:E, Movimientos!D:D, A156, Movimientos!C:C, "Egreso", Movimientos!F:F, "G710")+SUMIFS(Movimientos!E:E, Movimientos!D:D, A156, Movimientos!C:C, "Ajuste", Movimientos!F:F, "G710")),"")</f>
        <v/>
      </c>
      <c r="H156" s="6" t="str">
        <f aca="false">IFERROR(IF(A156="","",SUMIFS(Movimientos!E:E, Movimientos!D:D, A156, Movimientos!C:C, "Ingreso", Movimientos!G:G, "G5000")+SUMIFS(Movimientos!E:E, Movimientos!D:D, A156, Movimientos!C:C, "Traslado", Movimientos!G:G, "G5000")-SUMIFS(Movimientos!E:E, Movimientos!D:D, A156, Movimientos!C:C, "Traslado", Movimientos!F:F, "G5000")-SUMIFS(Movimientos!E:E, Movimientos!D:D, A156, Movimientos!C:C, "Egreso", Movimientos!F:F, "G5000")+SUMIFS(Movimientos!E:E, Movimientos!D:D, A156, Movimientos!C:C, "Ajuste", Movimientos!F:F, "G5000")),"")</f>
        <v/>
      </c>
      <c r="I156" s="6" t="str">
        <f aca="false">IFERROR(IF(A156="","",SUMIFS(Movimientos!E:E, Movimientos!D:D, A156, Movimientos!C:C, "Ingreso", Movimientos!G:G, "G3")+SUMIFS(Movimientos!E:E, Movimientos!D:D, A156, Movimientos!C:C, "Traslado", Movimientos!G:G, "G3")-SUMIFS(Movimientos!E:E, Movimientos!D:D, A156, Movimientos!C:C, "Traslado", Movimientos!F:F, "G3")-SUMIFS(Movimientos!E:E, Movimientos!D:D, A156, Movimientos!C:C, "Egreso", Movimientos!F:F, "G3")+SUMIFS(Movimientos!E:E, Movimientos!D:D, A156, Movimientos!C:C, "Ajuste", Movimientos!F:F, "G3")),"")</f>
        <v/>
      </c>
      <c r="J156" s="6" t="str">
        <f aca="false">IFERROR(IF(A156="","",SUM(E156:I156)),"")</f>
        <v/>
      </c>
      <c r="K156" s="6" t="str">
        <f aca="false">IFERROR(IF(A156="","",SUMIFS(Movimientos!E:E, Movimientos!D:D, A156, Movimientos!C:C, "Reserva")-SUMIFS(Movimientos!E:E, Movimientos!D:D, A156, Movimientos!C:C, "Libera_Reserva")),"")</f>
        <v/>
      </c>
      <c r="L156" s="6" t="str">
        <f aca="false">IFERROR(IF(A156="","",J156-K156),"")</f>
        <v/>
      </c>
      <c r="M156" s="6" t="str">
        <f aca="false">IFERROR(IF(Productos!A156="","",Productos!G156),"")</f>
        <v/>
      </c>
      <c r="N156" s="6" t="str">
        <f aca="false">IFERROR(IF(A156="","",IF(L156&lt;M156,"BAJO STOCK","OK")),"")</f>
        <v/>
      </c>
    </row>
    <row r="157" customFormat="false" ht="15" hidden="false" customHeight="false" outlineLevel="0" collapsed="false">
      <c r="A157" s="0" t="str">
        <f aca="false">IFERROR(IF(Productos!A157="","",Productos!A157),"")</f>
        <v/>
      </c>
      <c r="B157" s="0" t="str">
        <f aca="false">IFERROR(IF(Productos!A157="","",Productos!B157),"")</f>
        <v/>
      </c>
      <c r="C157" s="0" t="str">
        <f aca="false">IFERROR(IF(Productos!A157="","",Productos!C157),"")</f>
        <v/>
      </c>
      <c r="D157" s="0" t="str">
        <f aca="false">IFERROR(IF(Productos!A157="","",Productos!E157),"")</f>
        <v/>
      </c>
      <c r="E157" s="6" t="str">
        <f aca="false">IFERROR(IF(A157="","",SUMIFS(Movimientos!E:E, Movimientos!D:D, A157, Movimientos!C:C, "Ingreso", Movimientos!G:G, "TIN")+SUMIFS(Movimientos!E:E, Movimientos!D:D, A157, Movimientos!C:C, "Traslado", Movimientos!G:G, "TIN")-SUMIFS(Movimientos!E:E, Movimientos!D:D, A157, Movimientos!C:C, "Traslado", Movimientos!F:F, "TIN")-SUMIFS(Movimientos!E:E, Movimientos!D:D, A157, Movimientos!C:C, "Egreso", Movimientos!F:F, "TIN")+SUMIFS(Movimientos!E:E, Movimientos!D:D, A157, Movimientos!C:C, "Ajuste", Movimientos!F:F, "TIN")),"")</f>
        <v/>
      </c>
      <c r="F157" s="6" t="str">
        <f aca="false">IFERROR(IF(A157="","",SUMIFS(Movimientos!E:E, Movimientos!D:D, A157, Movimientos!C:C, "Ingreso", Movimientos!G:G, "G1000")+SUMIFS(Movimientos!E:E, Movimientos!D:D, A157, Movimientos!C:C, "Traslado", Movimientos!G:G, "G1000")-SUMIFS(Movimientos!E:E, Movimientos!D:D, A157, Movimientos!C:C, "Traslado", Movimientos!F:F, "G1000")-SUMIFS(Movimientos!E:E, Movimientos!D:D, A157, Movimientos!C:C, "Egreso", Movimientos!F:F, "G1000")+SUMIFS(Movimientos!E:E, Movimientos!D:D, A157, Movimientos!C:C, "Ajuste", Movimientos!F:F, "G1000")),"")</f>
        <v/>
      </c>
      <c r="G157" s="6" t="str">
        <f aca="false">IFERROR(IF(A157="","",SUMIFS(Movimientos!E:E, Movimientos!D:D, A157, Movimientos!C:C, "Ingreso", Movimientos!G:G, "G710")+SUMIFS(Movimientos!E:E, Movimientos!D:D, A157, Movimientos!C:C, "Traslado", Movimientos!G:G, "G710")-SUMIFS(Movimientos!E:E, Movimientos!D:D, A157, Movimientos!C:C, "Traslado", Movimientos!F:F, "G710")-SUMIFS(Movimientos!E:E, Movimientos!D:D, A157, Movimientos!C:C, "Egreso", Movimientos!F:F, "G710")+SUMIFS(Movimientos!E:E, Movimientos!D:D, A157, Movimientos!C:C, "Ajuste", Movimientos!F:F, "G710")),"")</f>
        <v/>
      </c>
      <c r="H157" s="6" t="str">
        <f aca="false">IFERROR(IF(A157="","",SUMIFS(Movimientos!E:E, Movimientos!D:D, A157, Movimientos!C:C, "Ingreso", Movimientos!G:G, "G5000")+SUMIFS(Movimientos!E:E, Movimientos!D:D, A157, Movimientos!C:C, "Traslado", Movimientos!G:G, "G5000")-SUMIFS(Movimientos!E:E, Movimientos!D:D, A157, Movimientos!C:C, "Traslado", Movimientos!F:F, "G5000")-SUMIFS(Movimientos!E:E, Movimientos!D:D, A157, Movimientos!C:C, "Egreso", Movimientos!F:F, "G5000")+SUMIFS(Movimientos!E:E, Movimientos!D:D, A157, Movimientos!C:C, "Ajuste", Movimientos!F:F, "G5000")),"")</f>
        <v/>
      </c>
      <c r="I157" s="6" t="str">
        <f aca="false">IFERROR(IF(A157="","",SUMIFS(Movimientos!E:E, Movimientos!D:D, A157, Movimientos!C:C, "Ingreso", Movimientos!G:G, "G3")+SUMIFS(Movimientos!E:E, Movimientos!D:D, A157, Movimientos!C:C, "Traslado", Movimientos!G:G, "G3")-SUMIFS(Movimientos!E:E, Movimientos!D:D, A157, Movimientos!C:C, "Traslado", Movimientos!F:F, "G3")-SUMIFS(Movimientos!E:E, Movimientos!D:D, A157, Movimientos!C:C, "Egreso", Movimientos!F:F, "G3")+SUMIFS(Movimientos!E:E, Movimientos!D:D, A157, Movimientos!C:C, "Ajuste", Movimientos!F:F, "G3")),"")</f>
        <v/>
      </c>
      <c r="J157" s="6" t="str">
        <f aca="false">IFERROR(IF(A157="","",SUM(E157:I157)),"")</f>
        <v/>
      </c>
      <c r="K157" s="6" t="str">
        <f aca="false">IFERROR(IF(A157="","",SUMIFS(Movimientos!E:E, Movimientos!D:D, A157, Movimientos!C:C, "Reserva")-SUMIFS(Movimientos!E:E, Movimientos!D:D, A157, Movimientos!C:C, "Libera_Reserva")),"")</f>
        <v/>
      </c>
      <c r="L157" s="6" t="str">
        <f aca="false">IFERROR(IF(A157="","",J157-K157),"")</f>
        <v/>
      </c>
      <c r="M157" s="6" t="str">
        <f aca="false">IFERROR(IF(Productos!A157="","",Productos!G157),"")</f>
        <v/>
      </c>
      <c r="N157" s="6" t="str">
        <f aca="false">IFERROR(IF(A157="","",IF(L157&lt;M157,"BAJO STOCK","OK")),"")</f>
        <v/>
      </c>
    </row>
    <row r="158" customFormat="false" ht="15" hidden="false" customHeight="false" outlineLevel="0" collapsed="false">
      <c r="A158" s="0" t="str">
        <f aca="false">IFERROR(IF(Productos!A158="","",Productos!A158),"")</f>
        <v/>
      </c>
      <c r="B158" s="0" t="str">
        <f aca="false">IFERROR(IF(Productos!A158="","",Productos!B158),"")</f>
        <v/>
      </c>
      <c r="C158" s="0" t="str">
        <f aca="false">IFERROR(IF(Productos!A158="","",Productos!C158),"")</f>
        <v/>
      </c>
      <c r="D158" s="0" t="str">
        <f aca="false">IFERROR(IF(Productos!A158="","",Productos!E158),"")</f>
        <v/>
      </c>
      <c r="E158" s="6" t="str">
        <f aca="false">IFERROR(IF(A158="","",SUMIFS(Movimientos!E:E, Movimientos!D:D, A158, Movimientos!C:C, "Ingreso", Movimientos!G:G, "TIN")+SUMIFS(Movimientos!E:E, Movimientos!D:D, A158, Movimientos!C:C, "Traslado", Movimientos!G:G, "TIN")-SUMIFS(Movimientos!E:E, Movimientos!D:D, A158, Movimientos!C:C, "Traslado", Movimientos!F:F, "TIN")-SUMIFS(Movimientos!E:E, Movimientos!D:D, A158, Movimientos!C:C, "Egreso", Movimientos!F:F, "TIN")+SUMIFS(Movimientos!E:E, Movimientos!D:D, A158, Movimientos!C:C, "Ajuste", Movimientos!F:F, "TIN")),"")</f>
        <v/>
      </c>
      <c r="F158" s="6" t="str">
        <f aca="false">IFERROR(IF(A158="","",SUMIFS(Movimientos!E:E, Movimientos!D:D, A158, Movimientos!C:C, "Ingreso", Movimientos!G:G, "G1000")+SUMIFS(Movimientos!E:E, Movimientos!D:D, A158, Movimientos!C:C, "Traslado", Movimientos!G:G, "G1000")-SUMIFS(Movimientos!E:E, Movimientos!D:D, A158, Movimientos!C:C, "Traslado", Movimientos!F:F, "G1000")-SUMIFS(Movimientos!E:E, Movimientos!D:D, A158, Movimientos!C:C, "Egreso", Movimientos!F:F, "G1000")+SUMIFS(Movimientos!E:E, Movimientos!D:D, A158, Movimientos!C:C, "Ajuste", Movimientos!F:F, "G1000")),"")</f>
        <v/>
      </c>
      <c r="G158" s="6" t="str">
        <f aca="false">IFERROR(IF(A158="","",SUMIFS(Movimientos!E:E, Movimientos!D:D, A158, Movimientos!C:C, "Ingreso", Movimientos!G:G, "G710")+SUMIFS(Movimientos!E:E, Movimientos!D:D, A158, Movimientos!C:C, "Traslado", Movimientos!G:G, "G710")-SUMIFS(Movimientos!E:E, Movimientos!D:D, A158, Movimientos!C:C, "Traslado", Movimientos!F:F, "G710")-SUMIFS(Movimientos!E:E, Movimientos!D:D, A158, Movimientos!C:C, "Egreso", Movimientos!F:F, "G710")+SUMIFS(Movimientos!E:E, Movimientos!D:D, A158, Movimientos!C:C, "Ajuste", Movimientos!F:F, "G710")),"")</f>
        <v/>
      </c>
      <c r="H158" s="6" t="str">
        <f aca="false">IFERROR(IF(A158="","",SUMIFS(Movimientos!E:E, Movimientos!D:D, A158, Movimientos!C:C, "Ingreso", Movimientos!G:G, "G5000")+SUMIFS(Movimientos!E:E, Movimientos!D:D, A158, Movimientos!C:C, "Traslado", Movimientos!G:G, "G5000")-SUMIFS(Movimientos!E:E, Movimientos!D:D, A158, Movimientos!C:C, "Traslado", Movimientos!F:F, "G5000")-SUMIFS(Movimientos!E:E, Movimientos!D:D, A158, Movimientos!C:C, "Egreso", Movimientos!F:F, "G5000")+SUMIFS(Movimientos!E:E, Movimientos!D:D, A158, Movimientos!C:C, "Ajuste", Movimientos!F:F, "G5000")),"")</f>
        <v/>
      </c>
      <c r="I158" s="6" t="str">
        <f aca="false">IFERROR(IF(A158="","",SUMIFS(Movimientos!E:E, Movimientos!D:D, A158, Movimientos!C:C, "Ingreso", Movimientos!G:G, "G3")+SUMIFS(Movimientos!E:E, Movimientos!D:D, A158, Movimientos!C:C, "Traslado", Movimientos!G:G, "G3")-SUMIFS(Movimientos!E:E, Movimientos!D:D, A158, Movimientos!C:C, "Traslado", Movimientos!F:F, "G3")-SUMIFS(Movimientos!E:E, Movimientos!D:D, A158, Movimientos!C:C, "Egreso", Movimientos!F:F, "G3")+SUMIFS(Movimientos!E:E, Movimientos!D:D, A158, Movimientos!C:C, "Ajuste", Movimientos!F:F, "G3")),"")</f>
        <v/>
      </c>
      <c r="J158" s="6" t="str">
        <f aca="false">IFERROR(IF(A158="","",SUM(E158:I158)),"")</f>
        <v/>
      </c>
      <c r="K158" s="6" t="str">
        <f aca="false">IFERROR(IF(A158="","",SUMIFS(Movimientos!E:E, Movimientos!D:D, A158, Movimientos!C:C, "Reserva")-SUMIFS(Movimientos!E:E, Movimientos!D:D, A158, Movimientos!C:C, "Libera_Reserva")),"")</f>
        <v/>
      </c>
      <c r="L158" s="6" t="str">
        <f aca="false">IFERROR(IF(A158="","",J158-K158),"")</f>
        <v/>
      </c>
      <c r="M158" s="6" t="str">
        <f aca="false">IFERROR(IF(Productos!A158="","",Productos!G158),"")</f>
        <v/>
      </c>
      <c r="N158" s="6" t="str">
        <f aca="false">IFERROR(IF(A158="","",IF(L158&lt;M158,"BAJO STOCK","OK")),"")</f>
        <v/>
      </c>
    </row>
    <row r="159" customFormat="false" ht="15" hidden="false" customHeight="false" outlineLevel="0" collapsed="false">
      <c r="A159" s="0" t="str">
        <f aca="false">IFERROR(IF(Productos!A159="","",Productos!A159),"")</f>
        <v/>
      </c>
      <c r="B159" s="0" t="str">
        <f aca="false">IFERROR(IF(Productos!A159="","",Productos!B159),"")</f>
        <v/>
      </c>
      <c r="C159" s="0" t="str">
        <f aca="false">IFERROR(IF(Productos!A159="","",Productos!C159),"")</f>
        <v/>
      </c>
      <c r="D159" s="0" t="str">
        <f aca="false">IFERROR(IF(Productos!A159="","",Productos!E159),"")</f>
        <v/>
      </c>
      <c r="E159" s="6" t="str">
        <f aca="false">IFERROR(IF(A159="","",SUMIFS(Movimientos!E:E, Movimientos!D:D, A159, Movimientos!C:C, "Ingreso", Movimientos!G:G, "TIN")+SUMIFS(Movimientos!E:E, Movimientos!D:D, A159, Movimientos!C:C, "Traslado", Movimientos!G:G, "TIN")-SUMIFS(Movimientos!E:E, Movimientos!D:D, A159, Movimientos!C:C, "Traslado", Movimientos!F:F, "TIN")-SUMIFS(Movimientos!E:E, Movimientos!D:D, A159, Movimientos!C:C, "Egreso", Movimientos!F:F, "TIN")+SUMIFS(Movimientos!E:E, Movimientos!D:D, A159, Movimientos!C:C, "Ajuste", Movimientos!F:F, "TIN")),"")</f>
        <v/>
      </c>
      <c r="F159" s="6" t="str">
        <f aca="false">IFERROR(IF(A159="","",SUMIFS(Movimientos!E:E, Movimientos!D:D, A159, Movimientos!C:C, "Ingreso", Movimientos!G:G, "G1000")+SUMIFS(Movimientos!E:E, Movimientos!D:D, A159, Movimientos!C:C, "Traslado", Movimientos!G:G, "G1000")-SUMIFS(Movimientos!E:E, Movimientos!D:D, A159, Movimientos!C:C, "Traslado", Movimientos!F:F, "G1000")-SUMIFS(Movimientos!E:E, Movimientos!D:D, A159, Movimientos!C:C, "Egreso", Movimientos!F:F, "G1000")+SUMIFS(Movimientos!E:E, Movimientos!D:D, A159, Movimientos!C:C, "Ajuste", Movimientos!F:F, "G1000")),"")</f>
        <v/>
      </c>
      <c r="G159" s="6" t="str">
        <f aca="false">IFERROR(IF(A159="","",SUMIFS(Movimientos!E:E, Movimientos!D:D, A159, Movimientos!C:C, "Ingreso", Movimientos!G:G, "G710")+SUMIFS(Movimientos!E:E, Movimientos!D:D, A159, Movimientos!C:C, "Traslado", Movimientos!G:G, "G710")-SUMIFS(Movimientos!E:E, Movimientos!D:D, A159, Movimientos!C:C, "Traslado", Movimientos!F:F, "G710")-SUMIFS(Movimientos!E:E, Movimientos!D:D, A159, Movimientos!C:C, "Egreso", Movimientos!F:F, "G710")+SUMIFS(Movimientos!E:E, Movimientos!D:D, A159, Movimientos!C:C, "Ajuste", Movimientos!F:F, "G710")),"")</f>
        <v/>
      </c>
      <c r="H159" s="6" t="str">
        <f aca="false">IFERROR(IF(A159="","",SUMIFS(Movimientos!E:E, Movimientos!D:D, A159, Movimientos!C:C, "Ingreso", Movimientos!G:G, "G5000")+SUMIFS(Movimientos!E:E, Movimientos!D:D, A159, Movimientos!C:C, "Traslado", Movimientos!G:G, "G5000")-SUMIFS(Movimientos!E:E, Movimientos!D:D, A159, Movimientos!C:C, "Traslado", Movimientos!F:F, "G5000")-SUMIFS(Movimientos!E:E, Movimientos!D:D, A159, Movimientos!C:C, "Egreso", Movimientos!F:F, "G5000")+SUMIFS(Movimientos!E:E, Movimientos!D:D, A159, Movimientos!C:C, "Ajuste", Movimientos!F:F, "G5000")),"")</f>
        <v/>
      </c>
      <c r="I159" s="6" t="str">
        <f aca="false">IFERROR(IF(A159="","",SUMIFS(Movimientos!E:E, Movimientos!D:D, A159, Movimientos!C:C, "Ingreso", Movimientos!G:G, "G3")+SUMIFS(Movimientos!E:E, Movimientos!D:D, A159, Movimientos!C:C, "Traslado", Movimientos!G:G, "G3")-SUMIFS(Movimientos!E:E, Movimientos!D:D, A159, Movimientos!C:C, "Traslado", Movimientos!F:F, "G3")-SUMIFS(Movimientos!E:E, Movimientos!D:D, A159, Movimientos!C:C, "Egreso", Movimientos!F:F, "G3")+SUMIFS(Movimientos!E:E, Movimientos!D:D, A159, Movimientos!C:C, "Ajuste", Movimientos!F:F, "G3")),"")</f>
        <v/>
      </c>
      <c r="J159" s="6" t="str">
        <f aca="false">IFERROR(IF(A159="","",SUM(E159:I159)),"")</f>
        <v/>
      </c>
      <c r="K159" s="6" t="str">
        <f aca="false">IFERROR(IF(A159="","",SUMIFS(Movimientos!E:E, Movimientos!D:D, A159, Movimientos!C:C, "Reserva")-SUMIFS(Movimientos!E:E, Movimientos!D:D, A159, Movimientos!C:C, "Libera_Reserva")),"")</f>
        <v/>
      </c>
      <c r="L159" s="6" t="str">
        <f aca="false">IFERROR(IF(A159="","",J159-K159),"")</f>
        <v/>
      </c>
      <c r="M159" s="6" t="str">
        <f aca="false">IFERROR(IF(Productos!A159="","",Productos!G159),"")</f>
        <v/>
      </c>
      <c r="N159" s="6" t="str">
        <f aca="false">IFERROR(IF(A159="","",IF(L159&lt;M159,"BAJO STOCK","OK")),"")</f>
        <v/>
      </c>
    </row>
    <row r="160" customFormat="false" ht="15" hidden="false" customHeight="false" outlineLevel="0" collapsed="false">
      <c r="A160" s="0" t="str">
        <f aca="false">IFERROR(IF(Productos!A160="","",Productos!A160),"")</f>
        <v/>
      </c>
      <c r="B160" s="0" t="str">
        <f aca="false">IFERROR(IF(Productos!A160="","",Productos!B160),"")</f>
        <v/>
      </c>
      <c r="C160" s="0" t="str">
        <f aca="false">IFERROR(IF(Productos!A160="","",Productos!C160),"")</f>
        <v/>
      </c>
      <c r="D160" s="0" t="str">
        <f aca="false">IFERROR(IF(Productos!A160="","",Productos!E160),"")</f>
        <v/>
      </c>
      <c r="E160" s="6" t="str">
        <f aca="false">IFERROR(IF(A160="","",SUMIFS(Movimientos!E:E, Movimientos!D:D, A160, Movimientos!C:C, "Ingreso", Movimientos!G:G, "TIN")+SUMIFS(Movimientos!E:E, Movimientos!D:D, A160, Movimientos!C:C, "Traslado", Movimientos!G:G, "TIN")-SUMIFS(Movimientos!E:E, Movimientos!D:D, A160, Movimientos!C:C, "Traslado", Movimientos!F:F, "TIN")-SUMIFS(Movimientos!E:E, Movimientos!D:D, A160, Movimientos!C:C, "Egreso", Movimientos!F:F, "TIN")+SUMIFS(Movimientos!E:E, Movimientos!D:D, A160, Movimientos!C:C, "Ajuste", Movimientos!F:F, "TIN")),"")</f>
        <v/>
      </c>
      <c r="F160" s="6" t="str">
        <f aca="false">IFERROR(IF(A160="","",SUMIFS(Movimientos!E:E, Movimientos!D:D, A160, Movimientos!C:C, "Ingreso", Movimientos!G:G, "G1000")+SUMIFS(Movimientos!E:E, Movimientos!D:D, A160, Movimientos!C:C, "Traslado", Movimientos!G:G, "G1000")-SUMIFS(Movimientos!E:E, Movimientos!D:D, A160, Movimientos!C:C, "Traslado", Movimientos!F:F, "G1000")-SUMIFS(Movimientos!E:E, Movimientos!D:D, A160, Movimientos!C:C, "Egreso", Movimientos!F:F, "G1000")+SUMIFS(Movimientos!E:E, Movimientos!D:D, A160, Movimientos!C:C, "Ajuste", Movimientos!F:F, "G1000")),"")</f>
        <v/>
      </c>
      <c r="G160" s="6" t="str">
        <f aca="false">IFERROR(IF(A160="","",SUMIFS(Movimientos!E:E, Movimientos!D:D, A160, Movimientos!C:C, "Ingreso", Movimientos!G:G, "G710")+SUMIFS(Movimientos!E:E, Movimientos!D:D, A160, Movimientos!C:C, "Traslado", Movimientos!G:G, "G710")-SUMIFS(Movimientos!E:E, Movimientos!D:D, A160, Movimientos!C:C, "Traslado", Movimientos!F:F, "G710")-SUMIFS(Movimientos!E:E, Movimientos!D:D, A160, Movimientos!C:C, "Egreso", Movimientos!F:F, "G710")+SUMIFS(Movimientos!E:E, Movimientos!D:D, A160, Movimientos!C:C, "Ajuste", Movimientos!F:F, "G710")),"")</f>
        <v/>
      </c>
      <c r="H160" s="6" t="str">
        <f aca="false">IFERROR(IF(A160="","",SUMIFS(Movimientos!E:E, Movimientos!D:D, A160, Movimientos!C:C, "Ingreso", Movimientos!G:G, "G5000")+SUMIFS(Movimientos!E:E, Movimientos!D:D, A160, Movimientos!C:C, "Traslado", Movimientos!G:G, "G5000")-SUMIFS(Movimientos!E:E, Movimientos!D:D, A160, Movimientos!C:C, "Traslado", Movimientos!F:F, "G5000")-SUMIFS(Movimientos!E:E, Movimientos!D:D, A160, Movimientos!C:C, "Egreso", Movimientos!F:F, "G5000")+SUMIFS(Movimientos!E:E, Movimientos!D:D, A160, Movimientos!C:C, "Ajuste", Movimientos!F:F, "G5000")),"")</f>
        <v/>
      </c>
      <c r="I160" s="6" t="str">
        <f aca="false">IFERROR(IF(A160="","",SUMIFS(Movimientos!E:E, Movimientos!D:D, A160, Movimientos!C:C, "Ingreso", Movimientos!G:G, "G3")+SUMIFS(Movimientos!E:E, Movimientos!D:D, A160, Movimientos!C:C, "Traslado", Movimientos!G:G, "G3")-SUMIFS(Movimientos!E:E, Movimientos!D:D, A160, Movimientos!C:C, "Traslado", Movimientos!F:F, "G3")-SUMIFS(Movimientos!E:E, Movimientos!D:D, A160, Movimientos!C:C, "Egreso", Movimientos!F:F, "G3")+SUMIFS(Movimientos!E:E, Movimientos!D:D, A160, Movimientos!C:C, "Ajuste", Movimientos!F:F, "G3")),"")</f>
        <v/>
      </c>
      <c r="J160" s="6" t="str">
        <f aca="false">IFERROR(IF(A160="","",SUM(E160:I160)),"")</f>
        <v/>
      </c>
      <c r="K160" s="6" t="str">
        <f aca="false">IFERROR(IF(A160="","",SUMIFS(Movimientos!E:E, Movimientos!D:D, A160, Movimientos!C:C, "Reserva")-SUMIFS(Movimientos!E:E, Movimientos!D:D, A160, Movimientos!C:C, "Libera_Reserva")),"")</f>
        <v/>
      </c>
      <c r="L160" s="6" t="str">
        <f aca="false">IFERROR(IF(A160="","",J160-K160),"")</f>
        <v/>
      </c>
      <c r="M160" s="6" t="str">
        <f aca="false">IFERROR(IF(Productos!A160="","",Productos!G160),"")</f>
        <v/>
      </c>
      <c r="N160" s="6" t="str">
        <f aca="false">IFERROR(IF(A160="","",IF(L160&lt;M160,"BAJO STOCK","OK")),"")</f>
        <v/>
      </c>
    </row>
    <row r="161" customFormat="false" ht="15" hidden="false" customHeight="false" outlineLevel="0" collapsed="false">
      <c r="A161" s="0" t="str">
        <f aca="false">IFERROR(IF(Productos!A161="","",Productos!A161),"")</f>
        <v/>
      </c>
      <c r="B161" s="0" t="str">
        <f aca="false">IFERROR(IF(Productos!A161="","",Productos!B161),"")</f>
        <v/>
      </c>
      <c r="C161" s="0" t="str">
        <f aca="false">IFERROR(IF(Productos!A161="","",Productos!C161),"")</f>
        <v/>
      </c>
      <c r="D161" s="0" t="str">
        <f aca="false">IFERROR(IF(Productos!A161="","",Productos!E161),"")</f>
        <v/>
      </c>
      <c r="E161" s="6" t="str">
        <f aca="false">IFERROR(IF(A161="","",SUMIFS(Movimientos!E:E, Movimientos!D:D, A161, Movimientos!C:C, "Ingreso", Movimientos!G:G, "TIN")+SUMIFS(Movimientos!E:E, Movimientos!D:D, A161, Movimientos!C:C, "Traslado", Movimientos!G:G, "TIN")-SUMIFS(Movimientos!E:E, Movimientos!D:D, A161, Movimientos!C:C, "Traslado", Movimientos!F:F, "TIN")-SUMIFS(Movimientos!E:E, Movimientos!D:D, A161, Movimientos!C:C, "Egreso", Movimientos!F:F, "TIN")+SUMIFS(Movimientos!E:E, Movimientos!D:D, A161, Movimientos!C:C, "Ajuste", Movimientos!F:F, "TIN")),"")</f>
        <v/>
      </c>
      <c r="F161" s="6" t="str">
        <f aca="false">IFERROR(IF(A161="","",SUMIFS(Movimientos!E:E, Movimientos!D:D, A161, Movimientos!C:C, "Ingreso", Movimientos!G:G, "G1000")+SUMIFS(Movimientos!E:E, Movimientos!D:D, A161, Movimientos!C:C, "Traslado", Movimientos!G:G, "G1000")-SUMIFS(Movimientos!E:E, Movimientos!D:D, A161, Movimientos!C:C, "Traslado", Movimientos!F:F, "G1000")-SUMIFS(Movimientos!E:E, Movimientos!D:D, A161, Movimientos!C:C, "Egreso", Movimientos!F:F, "G1000")+SUMIFS(Movimientos!E:E, Movimientos!D:D, A161, Movimientos!C:C, "Ajuste", Movimientos!F:F, "G1000")),"")</f>
        <v/>
      </c>
      <c r="G161" s="6" t="str">
        <f aca="false">IFERROR(IF(A161="","",SUMIFS(Movimientos!E:E, Movimientos!D:D, A161, Movimientos!C:C, "Ingreso", Movimientos!G:G, "G710")+SUMIFS(Movimientos!E:E, Movimientos!D:D, A161, Movimientos!C:C, "Traslado", Movimientos!G:G, "G710")-SUMIFS(Movimientos!E:E, Movimientos!D:D, A161, Movimientos!C:C, "Traslado", Movimientos!F:F, "G710")-SUMIFS(Movimientos!E:E, Movimientos!D:D, A161, Movimientos!C:C, "Egreso", Movimientos!F:F, "G710")+SUMIFS(Movimientos!E:E, Movimientos!D:D, A161, Movimientos!C:C, "Ajuste", Movimientos!F:F, "G710")),"")</f>
        <v/>
      </c>
      <c r="H161" s="6" t="str">
        <f aca="false">IFERROR(IF(A161="","",SUMIFS(Movimientos!E:E, Movimientos!D:D, A161, Movimientos!C:C, "Ingreso", Movimientos!G:G, "G5000")+SUMIFS(Movimientos!E:E, Movimientos!D:D, A161, Movimientos!C:C, "Traslado", Movimientos!G:G, "G5000")-SUMIFS(Movimientos!E:E, Movimientos!D:D, A161, Movimientos!C:C, "Traslado", Movimientos!F:F, "G5000")-SUMIFS(Movimientos!E:E, Movimientos!D:D, A161, Movimientos!C:C, "Egreso", Movimientos!F:F, "G5000")+SUMIFS(Movimientos!E:E, Movimientos!D:D, A161, Movimientos!C:C, "Ajuste", Movimientos!F:F, "G5000")),"")</f>
        <v/>
      </c>
      <c r="I161" s="6" t="str">
        <f aca="false">IFERROR(IF(A161="","",SUMIFS(Movimientos!E:E, Movimientos!D:D, A161, Movimientos!C:C, "Ingreso", Movimientos!G:G, "G3")+SUMIFS(Movimientos!E:E, Movimientos!D:D, A161, Movimientos!C:C, "Traslado", Movimientos!G:G, "G3")-SUMIFS(Movimientos!E:E, Movimientos!D:D, A161, Movimientos!C:C, "Traslado", Movimientos!F:F, "G3")-SUMIFS(Movimientos!E:E, Movimientos!D:D, A161, Movimientos!C:C, "Egreso", Movimientos!F:F, "G3")+SUMIFS(Movimientos!E:E, Movimientos!D:D, A161, Movimientos!C:C, "Ajuste", Movimientos!F:F, "G3")),"")</f>
        <v/>
      </c>
      <c r="J161" s="6" t="str">
        <f aca="false">IFERROR(IF(A161="","",SUM(E161:I161)),"")</f>
        <v/>
      </c>
      <c r="K161" s="6" t="str">
        <f aca="false">IFERROR(IF(A161="","",SUMIFS(Movimientos!E:E, Movimientos!D:D, A161, Movimientos!C:C, "Reserva")-SUMIFS(Movimientos!E:E, Movimientos!D:D, A161, Movimientos!C:C, "Libera_Reserva")),"")</f>
        <v/>
      </c>
      <c r="L161" s="6" t="str">
        <f aca="false">IFERROR(IF(A161="","",J161-K161),"")</f>
        <v/>
      </c>
      <c r="M161" s="6" t="str">
        <f aca="false">IFERROR(IF(Productos!A161="","",Productos!G161),"")</f>
        <v/>
      </c>
      <c r="N161" s="6" t="str">
        <f aca="false">IFERROR(IF(A161="","",IF(L161&lt;M161,"BAJO STOCK","OK")),"")</f>
        <v/>
      </c>
    </row>
    <row r="162" customFormat="false" ht="15" hidden="false" customHeight="false" outlineLevel="0" collapsed="false">
      <c r="A162" s="0" t="str">
        <f aca="false">IFERROR(IF(Productos!A162="","",Productos!A162),"")</f>
        <v/>
      </c>
      <c r="B162" s="0" t="str">
        <f aca="false">IFERROR(IF(Productos!A162="","",Productos!B162),"")</f>
        <v/>
      </c>
      <c r="C162" s="0" t="str">
        <f aca="false">IFERROR(IF(Productos!A162="","",Productos!C162),"")</f>
        <v/>
      </c>
      <c r="D162" s="0" t="str">
        <f aca="false">IFERROR(IF(Productos!A162="","",Productos!E162),"")</f>
        <v/>
      </c>
      <c r="E162" s="6" t="str">
        <f aca="false">IFERROR(IF(A162="","",SUMIFS(Movimientos!E:E, Movimientos!D:D, A162, Movimientos!C:C, "Ingreso", Movimientos!G:G, "TIN")+SUMIFS(Movimientos!E:E, Movimientos!D:D, A162, Movimientos!C:C, "Traslado", Movimientos!G:G, "TIN")-SUMIFS(Movimientos!E:E, Movimientos!D:D, A162, Movimientos!C:C, "Traslado", Movimientos!F:F, "TIN")-SUMIFS(Movimientos!E:E, Movimientos!D:D, A162, Movimientos!C:C, "Egreso", Movimientos!F:F, "TIN")+SUMIFS(Movimientos!E:E, Movimientos!D:D, A162, Movimientos!C:C, "Ajuste", Movimientos!F:F, "TIN")),"")</f>
        <v/>
      </c>
      <c r="F162" s="6" t="str">
        <f aca="false">IFERROR(IF(A162="","",SUMIFS(Movimientos!E:E, Movimientos!D:D, A162, Movimientos!C:C, "Ingreso", Movimientos!G:G, "G1000")+SUMIFS(Movimientos!E:E, Movimientos!D:D, A162, Movimientos!C:C, "Traslado", Movimientos!G:G, "G1000")-SUMIFS(Movimientos!E:E, Movimientos!D:D, A162, Movimientos!C:C, "Traslado", Movimientos!F:F, "G1000")-SUMIFS(Movimientos!E:E, Movimientos!D:D, A162, Movimientos!C:C, "Egreso", Movimientos!F:F, "G1000")+SUMIFS(Movimientos!E:E, Movimientos!D:D, A162, Movimientos!C:C, "Ajuste", Movimientos!F:F, "G1000")),"")</f>
        <v/>
      </c>
      <c r="G162" s="6" t="str">
        <f aca="false">IFERROR(IF(A162="","",SUMIFS(Movimientos!E:E, Movimientos!D:D, A162, Movimientos!C:C, "Ingreso", Movimientos!G:G, "G710")+SUMIFS(Movimientos!E:E, Movimientos!D:D, A162, Movimientos!C:C, "Traslado", Movimientos!G:G, "G710")-SUMIFS(Movimientos!E:E, Movimientos!D:D, A162, Movimientos!C:C, "Traslado", Movimientos!F:F, "G710")-SUMIFS(Movimientos!E:E, Movimientos!D:D, A162, Movimientos!C:C, "Egreso", Movimientos!F:F, "G710")+SUMIFS(Movimientos!E:E, Movimientos!D:D, A162, Movimientos!C:C, "Ajuste", Movimientos!F:F, "G710")),"")</f>
        <v/>
      </c>
      <c r="H162" s="6" t="str">
        <f aca="false">IFERROR(IF(A162="","",SUMIFS(Movimientos!E:E, Movimientos!D:D, A162, Movimientos!C:C, "Ingreso", Movimientos!G:G, "G5000")+SUMIFS(Movimientos!E:E, Movimientos!D:D, A162, Movimientos!C:C, "Traslado", Movimientos!G:G, "G5000")-SUMIFS(Movimientos!E:E, Movimientos!D:D, A162, Movimientos!C:C, "Traslado", Movimientos!F:F, "G5000")-SUMIFS(Movimientos!E:E, Movimientos!D:D, A162, Movimientos!C:C, "Egreso", Movimientos!F:F, "G5000")+SUMIFS(Movimientos!E:E, Movimientos!D:D, A162, Movimientos!C:C, "Ajuste", Movimientos!F:F, "G5000")),"")</f>
        <v/>
      </c>
      <c r="I162" s="6" t="str">
        <f aca="false">IFERROR(IF(A162="","",SUMIFS(Movimientos!E:E, Movimientos!D:D, A162, Movimientos!C:C, "Ingreso", Movimientos!G:G, "G3")+SUMIFS(Movimientos!E:E, Movimientos!D:D, A162, Movimientos!C:C, "Traslado", Movimientos!G:G, "G3")-SUMIFS(Movimientos!E:E, Movimientos!D:D, A162, Movimientos!C:C, "Traslado", Movimientos!F:F, "G3")-SUMIFS(Movimientos!E:E, Movimientos!D:D, A162, Movimientos!C:C, "Egreso", Movimientos!F:F, "G3")+SUMIFS(Movimientos!E:E, Movimientos!D:D, A162, Movimientos!C:C, "Ajuste", Movimientos!F:F, "G3")),"")</f>
        <v/>
      </c>
      <c r="J162" s="6" t="str">
        <f aca="false">IFERROR(IF(A162="","",SUM(E162:I162)),"")</f>
        <v/>
      </c>
      <c r="K162" s="6" t="str">
        <f aca="false">IFERROR(IF(A162="","",SUMIFS(Movimientos!E:E, Movimientos!D:D, A162, Movimientos!C:C, "Reserva")-SUMIFS(Movimientos!E:E, Movimientos!D:D, A162, Movimientos!C:C, "Libera_Reserva")),"")</f>
        <v/>
      </c>
      <c r="L162" s="6" t="str">
        <f aca="false">IFERROR(IF(A162="","",J162-K162),"")</f>
        <v/>
      </c>
      <c r="M162" s="6" t="str">
        <f aca="false">IFERROR(IF(Productos!A162="","",Productos!G162),"")</f>
        <v/>
      </c>
      <c r="N162" s="6" t="str">
        <f aca="false">IFERROR(IF(A162="","",IF(L162&lt;M162,"BAJO STOCK","OK")),"")</f>
        <v/>
      </c>
    </row>
    <row r="163" customFormat="false" ht="15" hidden="false" customHeight="false" outlineLevel="0" collapsed="false">
      <c r="A163" s="0" t="str">
        <f aca="false">IFERROR(IF(Productos!A163="","",Productos!A163),"")</f>
        <v/>
      </c>
      <c r="B163" s="0" t="str">
        <f aca="false">IFERROR(IF(Productos!A163="","",Productos!B163),"")</f>
        <v/>
      </c>
      <c r="C163" s="0" t="str">
        <f aca="false">IFERROR(IF(Productos!A163="","",Productos!C163),"")</f>
        <v/>
      </c>
      <c r="D163" s="0" t="str">
        <f aca="false">IFERROR(IF(Productos!A163="","",Productos!E163),"")</f>
        <v/>
      </c>
      <c r="E163" s="6" t="str">
        <f aca="false">IFERROR(IF(A163="","",SUMIFS(Movimientos!E:E, Movimientos!D:D, A163, Movimientos!C:C, "Ingreso", Movimientos!G:G, "TIN")+SUMIFS(Movimientos!E:E, Movimientos!D:D, A163, Movimientos!C:C, "Traslado", Movimientos!G:G, "TIN")-SUMIFS(Movimientos!E:E, Movimientos!D:D, A163, Movimientos!C:C, "Traslado", Movimientos!F:F, "TIN")-SUMIFS(Movimientos!E:E, Movimientos!D:D, A163, Movimientos!C:C, "Egreso", Movimientos!F:F, "TIN")+SUMIFS(Movimientos!E:E, Movimientos!D:D, A163, Movimientos!C:C, "Ajuste", Movimientos!F:F, "TIN")),"")</f>
        <v/>
      </c>
      <c r="F163" s="6" t="str">
        <f aca="false">IFERROR(IF(A163="","",SUMIFS(Movimientos!E:E, Movimientos!D:D, A163, Movimientos!C:C, "Ingreso", Movimientos!G:G, "G1000")+SUMIFS(Movimientos!E:E, Movimientos!D:D, A163, Movimientos!C:C, "Traslado", Movimientos!G:G, "G1000")-SUMIFS(Movimientos!E:E, Movimientos!D:D, A163, Movimientos!C:C, "Traslado", Movimientos!F:F, "G1000")-SUMIFS(Movimientos!E:E, Movimientos!D:D, A163, Movimientos!C:C, "Egreso", Movimientos!F:F, "G1000")+SUMIFS(Movimientos!E:E, Movimientos!D:D, A163, Movimientos!C:C, "Ajuste", Movimientos!F:F, "G1000")),"")</f>
        <v/>
      </c>
      <c r="G163" s="6" t="str">
        <f aca="false">IFERROR(IF(A163="","",SUMIFS(Movimientos!E:E, Movimientos!D:D, A163, Movimientos!C:C, "Ingreso", Movimientos!G:G, "G710")+SUMIFS(Movimientos!E:E, Movimientos!D:D, A163, Movimientos!C:C, "Traslado", Movimientos!G:G, "G710")-SUMIFS(Movimientos!E:E, Movimientos!D:D, A163, Movimientos!C:C, "Traslado", Movimientos!F:F, "G710")-SUMIFS(Movimientos!E:E, Movimientos!D:D, A163, Movimientos!C:C, "Egreso", Movimientos!F:F, "G710")+SUMIFS(Movimientos!E:E, Movimientos!D:D, A163, Movimientos!C:C, "Ajuste", Movimientos!F:F, "G710")),"")</f>
        <v/>
      </c>
      <c r="H163" s="6" t="str">
        <f aca="false">IFERROR(IF(A163="","",SUMIFS(Movimientos!E:E, Movimientos!D:D, A163, Movimientos!C:C, "Ingreso", Movimientos!G:G, "G5000")+SUMIFS(Movimientos!E:E, Movimientos!D:D, A163, Movimientos!C:C, "Traslado", Movimientos!G:G, "G5000")-SUMIFS(Movimientos!E:E, Movimientos!D:D, A163, Movimientos!C:C, "Traslado", Movimientos!F:F, "G5000")-SUMIFS(Movimientos!E:E, Movimientos!D:D, A163, Movimientos!C:C, "Egreso", Movimientos!F:F, "G5000")+SUMIFS(Movimientos!E:E, Movimientos!D:D, A163, Movimientos!C:C, "Ajuste", Movimientos!F:F, "G5000")),"")</f>
        <v/>
      </c>
      <c r="I163" s="6" t="str">
        <f aca="false">IFERROR(IF(A163="","",SUMIFS(Movimientos!E:E, Movimientos!D:D, A163, Movimientos!C:C, "Ingreso", Movimientos!G:G, "G3")+SUMIFS(Movimientos!E:E, Movimientos!D:D, A163, Movimientos!C:C, "Traslado", Movimientos!G:G, "G3")-SUMIFS(Movimientos!E:E, Movimientos!D:D, A163, Movimientos!C:C, "Traslado", Movimientos!F:F, "G3")-SUMIFS(Movimientos!E:E, Movimientos!D:D, A163, Movimientos!C:C, "Egreso", Movimientos!F:F, "G3")+SUMIFS(Movimientos!E:E, Movimientos!D:D, A163, Movimientos!C:C, "Ajuste", Movimientos!F:F, "G3")),"")</f>
        <v/>
      </c>
      <c r="J163" s="6" t="str">
        <f aca="false">IFERROR(IF(A163="","",SUM(E163:I163)),"")</f>
        <v/>
      </c>
      <c r="K163" s="6" t="str">
        <f aca="false">IFERROR(IF(A163="","",SUMIFS(Movimientos!E:E, Movimientos!D:D, A163, Movimientos!C:C, "Reserva")-SUMIFS(Movimientos!E:E, Movimientos!D:D, A163, Movimientos!C:C, "Libera_Reserva")),"")</f>
        <v/>
      </c>
      <c r="L163" s="6" t="str">
        <f aca="false">IFERROR(IF(A163="","",J163-K163),"")</f>
        <v/>
      </c>
      <c r="M163" s="6" t="str">
        <f aca="false">IFERROR(IF(Productos!A163="","",Productos!G163),"")</f>
        <v/>
      </c>
      <c r="N163" s="6" t="str">
        <f aca="false">IFERROR(IF(A163="","",IF(L163&lt;M163,"BAJO STOCK","OK")),"")</f>
        <v/>
      </c>
    </row>
    <row r="164" customFormat="false" ht="15" hidden="false" customHeight="false" outlineLevel="0" collapsed="false">
      <c r="A164" s="0" t="str">
        <f aca="false">IFERROR(IF(Productos!A164="","",Productos!A164),"")</f>
        <v/>
      </c>
      <c r="B164" s="0" t="str">
        <f aca="false">IFERROR(IF(Productos!A164="","",Productos!B164),"")</f>
        <v/>
      </c>
      <c r="C164" s="0" t="str">
        <f aca="false">IFERROR(IF(Productos!A164="","",Productos!C164),"")</f>
        <v/>
      </c>
      <c r="D164" s="0" t="str">
        <f aca="false">IFERROR(IF(Productos!A164="","",Productos!E164),"")</f>
        <v/>
      </c>
      <c r="E164" s="6" t="str">
        <f aca="false">IFERROR(IF(A164="","",SUMIFS(Movimientos!E:E, Movimientos!D:D, A164, Movimientos!C:C, "Ingreso", Movimientos!G:G, "TIN")+SUMIFS(Movimientos!E:E, Movimientos!D:D, A164, Movimientos!C:C, "Traslado", Movimientos!G:G, "TIN")-SUMIFS(Movimientos!E:E, Movimientos!D:D, A164, Movimientos!C:C, "Traslado", Movimientos!F:F, "TIN")-SUMIFS(Movimientos!E:E, Movimientos!D:D, A164, Movimientos!C:C, "Egreso", Movimientos!F:F, "TIN")+SUMIFS(Movimientos!E:E, Movimientos!D:D, A164, Movimientos!C:C, "Ajuste", Movimientos!F:F, "TIN")),"")</f>
        <v/>
      </c>
      <c r="F164" s="6" t="str">
        <f aca="false">IFERROR(IF(A164="","",SUMIFS(Movimientos!E:E, Movimientos!D:D, A164, Movimientos!C:C, "Ingreso", Movimientos!G:G, "G1000")+SUMIFS(Movimientos!E:E, Movimientos!D:D, A164, Movimientos!C:C, "Traslado", Movimientos!G:G, "G1000")-SUMIFS(Movimientos!E:E, Movimientos!D:D, A164, Movimientos!C:C, "Traslado", Movimientos!F:F, "G1000")-SUMIFS(Movimientos!E:E, Movimientos!D:D, A164, Movimientos!C:C, "Egreso", Movimientos!F:F, "G1000")+SUMIFS(Movimientos!E:E, Movimientos!D:D, A164, Movimientos!C:C, "Ajuste", Movimientos!F:F, "G1000")),"")</f>
        <v/>
      </c>
      <c r="G164" s="6" t="str">
        <f aca="false">IFERROR(IF(A164="","",SUMIFS(Movimientos!E:E, Movimientos!D:D, A164, Movimientos!C:C, "Ingreso", Movimientos!G:G, "G710")+SUMIFS(Movimientos!E:E, Movimientos!D:D, A164, Movimientos!C:C, "Traslado", Movimientos!G:G, "G710")-SUMIFS(Movimientos!E:E, Movimientos!D:D, A164, Movimientos!C:C, "Traslado", Movimientos!F:F, "G710")-SUMIFS(Movimientos!E:E, Movimientos!D:D, A164, Movimientos!C:C, "Egreso", Movimientos!F:F, "G710")+SUMIFS(Movimientos!E:E, Movimientos!D:D, A164, Movimientos!C:C, "Ajuste", Movimientos!F:F, "G710")),"")</f>
        <v/>
      </c>
      <c r="H164" s="6" t="str">
        <f aca="false">IFERROR(IF(A164="","",SUMIFS(Movimientos!E:E, Movimientos!D:D, A164, Movimientos!C:C, "Ingreso", Movimientos!G:G, "G5000")+SUMIFS(Movimientos!E:E, Movimientos!D:D, A164, Movimientos!C:C, "Traslado", Movimientos!G:G, "G5000")-SUMIFS(Movimientos!E:E, Movimientos!D:D, A164, Movimientos!C:C, "Traslado", Movimientos!F:F, "G5000")-SUMIFS(Movimientos!E:E, Movimientos!D:D, A164, Movimientos!C:C, "Egreso", Movimientos!F:F, "G5000")+SUMIFS(Movimientos!E:E, Movimientos!D:D, A164, Movimientos!C:C, "Ajuste", Movimientos!F:F, "G5000")),"")</f>
        <v/>
      </c>
      <c r="I164" s="6" t="str">
        <f aca="false">IFERROR(IF(A164="","",SUMIFS(Movimientos!E:E, Movimientos!D:D, A164, Movimientos!C:C, "Ingreso", Movimientos!G:G, "G3")+SUMIFS(Movimientos!E:E, Movimientos!D:D, A164, Movimientos!C:C, "Traslado", Movimientos!G:G, "G3")-SUMIFS(Movimientos!E:E, Movimientos!D:D, A164, Movimientos!C:C, "Traslado", Movimientos!F:F, "G3")-SUMIFS(Movimientos!E:E, Movimientos!D:D, A164, Movimientos!C:C, "Egreso", Movimientos!F:F, "G3")+SUMIFS(Movimientos!E:E, Movimientos!D:D, A164, Movimientos!C:C, "Ajuste", Movimientos!F:F, "G3")),"")</f>
        <v/>
      </c>
      <c r="J164" s="6" t="str">
        <f aca="false">IFERROR(IF(A164="","",SUM(E164:I164)),"")</f>
        <v/>
      </c>
      <c r="K164" s="6" t="str">
        <f aca="false">IFERROR(IF(A164="","",SUMIFS(Movimientos!E:E, Movimientos!D:D, A164, Movimientos!C:C, "Reserva")-SUMIFS(Movimientos!E:E, Movimientos!D:D, A164, Movimientos!C:C, "Libera_Reserva")),"")</f>
        <v/>
      </c>
      <c r="L164" s="6" t="str">
        <f aca="false">IFERROR(IF(A164="","",J164-K164),"")</f>
        <v/>
      </c>
      <c r="M164" s="6" t="str">
        <f aca="false">IFERROR(IF(Productos!A164="","",Productos!G164),"")</f>
        <v/>
      </c>
      <c r="N164" s="6" t="str">
        <f aca="false">IFERROR(IF(A164="","",IF(L164&lt;M164,"BAJO STOCK","OK")),"")</f>
        <v/>
      </c>
    </row>
    <row r="165" customFormat="false" ht="15" hidden="false" customHeight="false" outlineLevel="0" collapsed="false">
      <c r="A165" s="0" t="str">
        <f aca="false">IFERROR(IF(Productos!A165="","",Productos!A165),"")</f>
        <v/>
      </c>
      <c r="B165" s="0" t="str">
        <f aca="false">IFERROR(IF(Productos!A165="","",Productos!B165),"")</f>
        <v/>
      </c>
      <c r="C165" s="0" t="str">
        <f aca="false">IFERROR(IF(Productos!A165="","",Productos!C165),"")</f>
        <v/>
      </c>
      <c r="D165" s="0" t="str">
        <f aca="false">IFERROR(IF(Productos!A165="","",Productos!E165),"")</f>
        <v/>
      </c>
      <c r="E165" s="6" t="str">
        <f aca="false">IFERROR(IF(A165="","",SUMIFS(Movimientos!E:E, Movimientos!D:D, A165, Movimientos!C:C, "Ingreso", Movimientos!G:G, "TIN")+SUMIFS(Movimientos!E:E, Movimientos!D:D, A165, Movimientos!C:C, "Traslado", Movimientos!G:G, "TIN")-SUMIFS(Movimientos!E:E, Movimientos!D:D, A165, Movimientos!C:C, "Traslado", Movimientos!F:F, "TIN")-SUMIFS(Movimientos!E:E, Movimientos!D:D, A165, Movimientos!C:C, "Egreso", Movimientos!F:F, "TIN")+SUMIFS(Movimientos!E:E, Movimientos!D:D, A165, Movimientos!C:C, "Ajuste", Movimientos!F:F, "TIN")),"")</f>
        <v/>
      </c>
      <c r="F165" s="6" t="str">
        <f aca="false">IFERROR(IF(A165="","",SUMIFS(Movimientos!E:E, Movimientos!D:D, A165, Movimientos!C:C, "Ingreso", Movimientos!G:G, "G1000")+SUMIFS(Movimientos!E:E, Movimientos!D:D, A165, Movimientos!C:C, "Traslado", Movimientos!G:G, "G1000")-SUMIFS(Movimientos!E:E, Movimientos!D:D, A165, Movimientos!C:C, "Traslado", Movimientos!F:F, "G1000")-SUMIFS(Movimientos!E:E, Movimientos!D:D, A165, Movimientos!C:C, "Egreso", Movimientos!F:F, "G1000")+SUMIFS(Movimientos!E:E, Movimientos!D:D, A165, Movimientos!C:C, "Ajuste", Movimientos!F:F, "G1000")),"")</f>
        <v/>
      </c>
      <c r="G165" s="6" t="str">
        <f aca="false">IFERROR(IF(A165="","",SUMIFS(Movimientos!E:E, Movimientos!D:D, A165, Movimientos!C:C, "Ingreso", Movimientos!G:G, "G710")+SUMIFS(Movimientos!E:E, Movimientos!D:D, A165, Movimientos!C:C, "Traslado", Movimientos!G:G, "G710")-SUMIFS(Movimientos!E:E, Movimientos!D:D, A165, Movimientos!C:C, "Traslado", Movimientos!F:F, "G710")-SUMIFS(Movimientos!E:E, Movimientos!D:D, A165, Movimientos!C:C, "Egreso", Movimientos!F:F, "G710")+SUMIFS(Movimientos!E:E, Movimientos!D:D, A165, Movimientos!C:C, "Ajuste", Movimientos!F:F, "G710")),"")</f>
        <v/>
      </c>
      <c r="H165" s="6" t="str">
        <f aca="false">IFERROR(IF(A165="","",SUMIFS(Movimientos!E:E, Movimientos!D:D, A165, Movimientos!C:C, "Ingreso", Movimientos!G:G, "G5000")+SUMIFS(Movimientos!E:E, Movimientos!D:D, A165, Movimientos!C:C, "Traslado", Movimientos!G:G, "G5000")-SUMIFS(Movimientos!E:E, Movimientos!D:D, A165, Movimientos!C:C, "Traslado", Movimientos!F:F, "G5000")-SUMIFS(Movimientos!E:E, Movimientos!D:D, A165, Movimientos!C:C, "Egreso", Movimientos!F:F, "G5000")+SUMIFS(Movimientos!E:E, Movimientos!D:D, A165, Movimientos!C:C, "Ajuste", Movimientos!F:F, "G5000")),"")</f>
        <v/>
      </c>
      <c r="I165" s="6" t="str">
        <f aca="false">IFERROR(IF(A165="","",SUMIFS(Movimientos!E:E, Movimientos!D:D, A165, Movimientos!C:C, "Ingreso", Movimientos!G:G, "G3")+SUMIFS(Movimientos!E:E, Movimientos!D:D, A165, Movimientos!C:C, "Traslado", Movimientos!G:G, "G3")-SUMIFS(Movimientos!E:E, Movimientos!D:D, A165, Movimientos!C:C, "Traslado", Movimientos!F:F, "G3")-SUMIFS(Movimientos!E:E, Movimientos!D:D, A165, Movimientos!C:C, "Egreso", Movimientos!F:F, "G3")+SUMIFS(Movimientos!E:E, Movimientos!D:D, A165, Movimientos!C:C, "Ajuste", Movimientos!F:F, "G3")),"")</f>
        <v/>
      </c>
      <c r="J165" s="6" t="str">
        <f aca="false">IFERROR(IF(A165="","",SUM(E165:I165)),"")</f>
        <v/>
      </c>
      <c r="K165" s="6" t="str">
        <f aca="false">IFERROR(IF(A165="","",SUMIFS(Movimientos!E:E, Movimientos!D:D, A165, Movimientos!C:C, "Reserva")-SUMIFS(Movimientos!E:E, Movimientos!D:D, A165, Movimientos!C:C, "Libera_Reserva")),"")</f>
        <v/>
      </c>
      <c r="L165" s="6" t="str">
        <f aca="false">IFERROR(IF(A165="","",J165-K165),"")</f>
        <v/>
      </c>
      <c r="M165" s="6" t="str">
        <f aca="false">IFERROR(IF(Productos!A165="","",Productos!G165),"")</f>
        <v/>
      </c>
      <c r="N165" s="6" t="str">
        <f aca="false">IFERROR(IF(A165="","",IF(L165&lt;M165,"BAJO STOCK","OK")),"")</f>
        <v/>
      </c>
    </row>
    <row r="166" customFormat="false" ht="15" hidden="false" customHeight="false" outlineLevel="0" collapsed="false">
      <c r="A166" s="0" t="str">
        <f aca="false">IFERROR(IF(Productos!A166="","",Productos!A166),"")</f>
        <v/>
      </c>
      <c r="B166" s="0" t="str">
        <f aca="false">IFERROR(IF(Productos!A166="","",Productos!B166),"")</f>
        <v/>
      </c>
      <c r="C166" s="0" t="str">
        <f aca="false">IFERROR(IF(Productos!A166="","",Productos!C166),"")</f>
        <v/>
      </c>
      <c r="D166" s="0" t="str">
        <f aca="false">IFERROR(IF(Productos!A166="","",Productos!E166),"")</f>
        <v/>
      </c>
      <c r="E166" s="6" t="str">
        <f aca="false">IFERROR(IF(A166="","",SUMIFS(Movimientos!E:E, Movimientos!D:D, A166, Movimientos!C:C, "Ingreso", Movimientos!G:G, "TIN")+SUMIFS(Movimientos!E:E, Movimientos!D:D, A166, Movimientos!C:C, "Traslado", Movimientos!G:G, "TIN")-SUMIFS(Movimientos!E:E, Movimientos!D:D, A166, Movimientos!C:C, "Traslado", Movimientos!F:F, "TIN")-SUMIFS(Movimientos!E:E, Movimientos!D:D, A166, Movimientos!C:C, "Egreso", Movimientos!F:F, "TIN")+SUMIFS(Movimientos!E:E, Movimientos!D:D, A166, Movimientos!C:C, "Ajuste", Movimientos!F:F, "TIN")),"")</f>
        <v/>
      </c>
      <c r="F166" s="6" t="str">
        <f aca="false">IFERROR(IF(A166="","",SUMIFS(Movimientos!E:E, Movimientos!D:D, A166, Movimientos!C:C, "Ingreso", Movimientos!G:G, "G1000")+SUMIFS(Movimientos!E:E, Movimientos!D:D, A166, Movimientos!C:C, "Traslado", Movimientos!G:G, "G1000")-SUMIFS(Movimientos!E:E, Movimientos!D:D, A166, Movimientos!C:C, "Traslado", Movimientos!F:F, "G1000")-SUMIFS(Movimientos!E:E, Movimientos!D:D, A166, Movimientos!C:C, "Egreso", Movimientos!F:F, "G1000")+SUMIFS(Movimientos!E:E, Movimientos!D:D, A166, Movimientos!C:C, "Ajuste", Movimientos!F:F, "G1000")),"")</f>
        <v/>
      </c>
      <c r="G166" s="6" t="str">
        <f aca="false">IFERROR(IF(A166="","",SUMIFS(Movimientos!E:E, Movimientos!D:D, A166, Movimientos!C:C, "Ingreso", Movimientos!G:G, "G710")+SUMIFS(Movimientos!E:E, Movimientos!D:D, A166, Movimientos!C:C, "Traslado", Movimientos!G:G, "G710")-SUMIFS(Movimientos!E:E, Movimientos!D:D, A166, Movimientos!C:C, "Traslado", Movimientos!F:F, "G710")-SUMIFS(Movimientos!E:E, Movimientos!D:D, A166, Movimientos!C:C, "Egreso", Movimientos!F:F, "G710")+SUMIFS(Movimientos!E:E, Movimientos!D:D, A166, Movimientos!C:C, "Ajuste", Movimientos!F:F, "G710")),"")</f>
        <v/>
      </c>
      <c r="H166" s="6" t="str">
        <f aca="false">IFERROR(IF(A166="","",SUMIFS(Movimientos!E:E, Movimientos!D:D, A166, Movimientos!C:C, "Ingreso", Movimientos!G:G, "G5000")+SUMIFS(Movimientos!E:E, Movimientos!D:D, A166, Movimientos!C:C, "Traslado", Movimientos!G:G, "G5000")-SUMIFS(Movimientos!E:E, Movimientos!D:D, A166, Movimientos!C:C, "Traslado", Movimientos!F:F, "G5000")-SUMIFS(Movimientos!E:E, Movimientos!D:D, A166, Movimientos!C:C, "Egreso", Movimientos!F:F, "G5000")+SUMIFS(Movimientos!E:E, Movimientos!D:D, A166, Movimientos!C:C, "Ajuste", Movimientos!F:F, "G5000")),"")</f>
        <v/>
      </c>
      <c r="I166" s="6" t="str">
        <f aca="false">IFERROR(IF(A166="","",SUMIFS(Movimientos!E:E, Movimientos!D:D, A166, Movimientos!C:C, "Ingreso", Movimientos!G:G, "G3")+SUMIFS(Movimientos!E:E, Movimientos!D:D, A166, Movimientos!C:C, "Traslado", Movimientos!G:G, "G3")-SUMIFS(Movimientos!E:E, Movimientos!D:D, A166, Movimientos!C:C, "Traslado", Movimientos!F:F, "G3")-SUMIFS(Movimientos!E:E, Movimientos!D:D, A166, Movimientos!C:C, "Egreso", Movimientos!F:F, "G3")+SUMIFS(Movimientos!E:E, Movimientos!D:D, A166, Movimientos!C:C, "Ajuste", Movimientos!F:F, "G3")),"")</f>
        <v/>
      </c>
      <c r="J166" s="6" t="str">
        <f aca="false">IFERROR(IF(A166="","",SUM(E166:I166)),"")</f>
        <v/>
      </c>
      <c r="K166" s="6" t="str">
        <f aca="false">IFERROR(IF(A166="","",SUMIFS(Movimientos!E:E, Movimientos!D:D, A166, Movimientos!C:C, "Reserva")-SUMIFS(Movimientos!E:E, Movimientos!D:D, A166, Movimientos!C:C, "Libera_Reserva")),"")</f>
        <v/>
      </c>
      <c r="L166" s="6" t="str">
        <f aca="false">IFERROR(IF(A166="","",J166-K166),"")</f>
        <v/>
      </c>
      <c r="M166" s="6" t="str">
        <f aca="false">IFERROR(IF(Productos!A166="","",Productos!G166),"")</f>
        <v/>
      </c>
      <c r="N166" s="6" t="str">
        <f aca="false">IFERROR(IF(A166="","",IF(L166&lt;M166,"BAJO STOCK","OK")),"")</f>
        <v/>
      </c>
    </row>
    <row r="167" customFormat="false" ht="15" hidden="false" customHeight="false" outlineLevel="0" collapsed="false">
      <c r="A167" s="0" t="str">
        <f aca="false">IFERROR(IF(Productos!A167="","",Productos!A167),"")</f>
        <v/>
      </c>
      <c r="B167" s="0" t="str">
        <f aca="false">IFERROR(IF(Productos!A167="","",Productos!B167),"")</f>
        <v/>
      </c>
      <c r="C167" s="0" t="str">
        <f aca="false">IFERROR(IF(Productos!A167="","",Productos!C167),"")</f>
        <v/>
      </c>
      <c r="D167" s="0" t="str">
        <f aca="false">IFERROR(IF(Productos!A167="","",Productos!E167),"")</f>
        <v/>
      </c>
      <c r="E167" s="6" t="str">
        <f aca="false">IFERROR(IF(A167="","",SUMIFS(Movimientos!E:E, Movimientos!D:D, A167, Movimientos!C:C, "Ingreso", Movimientos!G:G, "TIN")+SUMIFS(Movimientos!E:E, Movimientos!D:D, A167, Movimientos!C:C, "Traslado", Movimientos!G:G, "TIN")-SUMIFS(Movimientos!E:E, Movimientos!D:D, A167, Movimientos!C:C, "Traslado", Movimientos!F:F, "TIN")-SUMIFS(Movimientos!E:E, Movimientos!D:D, A167, Movimientos!C:C, "Egreso", Movimientos!F:F, "TIN")+SUMIFS(Movimientos!E:E, Movimientos!D:D, A167, Movimientos!C:C, "Ajuste", Movimientos!F:F, "TIN")),"")</f>
        <v/>
      </c>
      <c r="F167" s="6" t="str">
        <f aca="false">IFERROR(IF(A167="","",SUMIFS(Movimientos!E:E, Movimientos!D:D, A167, Movimientos!C:C, "Ingreso", Movimientos!G:G, "G1000")+SUMIFS(Movimientos!E:E, Movimientos!D:D, A167, Movimientos!C:C, "Traslado", Movimientos!G:G, "G1000")-SUMIFS(Movimientos!E:E, Movimientos!D:D, A167, Movimientos!C:C, "Traslado", Movimientos!F:F, "G1000")-SUMIFS(Movimientos!E:E, Movimientos!D:D, A167, Movimientos!C:C, "Egreso", Movimientos!F:F, "G1000")+SUMIFS(Movimientos!E:E, Movimientos!D:D, A167, Movimientos!C:C, "Ajuste", Movimientos!F:F, "G1000")),"")</f>
        <v/>
      </c>
      <c r="G167" s="6" t="str">
        <f aca="false">IFERROR(IF(A167="","",SUMIFS(Movimientos!E:E, Movimientos!D:D, A167, Movimientos!C:C, "Ingreso", Movimientos!G:G, "G710")+SUMIFS(Movimientos!E:E, Movimientos!D:D, A167, Movimientos!C:C, "Traslado", Movimientos!G:G, "G710")-SUMIFS(Movimientos!E:E, Movimientos!D:D, A167, Movimientos!C:C, "Traslado", Movimientos!F:F, "G710")-SUMIFS(Movimientos!E:E, Movimientos!D:D, A167, Movimientos!C:C, "Egreso", Movimientos!F:F, "G710")+SUMIFS(Movimientos!E:E, Movimientos!D:D, A167, Movimientos!C:C, "Ajuste", Movimientos!F:F, "G710")),"")</f>
        <v/>
      </c>
      <c r="H167" s="6" t="str">
        <f aca="false">IFERROR(IF(A167="","",SUMIFS(Movimientos!E:E, Movimientos!D:D, A167, Movimientos!C:C, "Ingreso", Movimientos!G:G, "G5000")+SUMIFS(Movimientos!E:E, Movimientos!D:D, A167, Movimientos!C:C, "Traslado", Movimientos!G:G, "G5000")-SUMIFS(Movimientos!E:E, Movimientos!D:D, A167, Movimientos!C:C, "Traslado", Movimientos!F:F, "G5000")-SUMIFS(Movimientos!E:E, Movimientos!D:D, A167, Movimientos!C:C, "Egreso", Movimientos!F:F, "G5000")+SUMIFS(Movimientos!E:E, Movimientos!D:D, A167, Movimientos!C:C, "Ajuste", Movimientos!F:F, "G5000")),"")</f>
        <v/>
      </c>
      <c r="I167" s="6" t="str">
        <f aca="false">IFERROR(IF(A167="","",SUMIFS(Movimientos!E:E, Movimientos!D:D, A167, Movimientos!C:C, "Ingreso", Movimientos!G:G, "G3")+SUMIFS(Movimientos!E:E, Movimientos!D:D, A167, Movimientos!C:C, "Traslado", Movimientos!G:G, "G3")-SUMIFS(Movimientos!E:E, Movimientos!D:D, A167, Movimientos!C:C, "Traslado", Movimientos!F:F, "G3")-SUMIFS(Movimientos!E:E, Movimientos!D:D, A167, Movimientos!C:C, "Egreso", Movimientos!F:F, "G3")+SUMIFS(Movimientos!E:E, Movimientos!D:D, A167, Movimientos!C:C, "Ajuste", Movimientos!F:F, "G3")),"")</f>
        <v/>
      </c>
      <c r="J167" s="6" t="str">
        <f aca="false">IFERROR(IF(A167="","",SUM(E167:I167)),"")</f>
        <v/>
      </c>
      <c r="K167" s="6" t="str">
        <f aca="false">IFERROR(IF(A167="","",SUMIFS(Movimientos!E:E, Movimientos!D:D, A167, Movimientos!C:C, "Reserva")-SUMIFS(Movimientos!E:E, Movimientos!D:D, A167, Movimientos!C:C, "Libera_Reserva")),"")</f>
        <v/>
      </c>
      <c r="L167" s="6" t="str">
        <f aca="false">IFERROR(IF(A167="","",J167-K167),"")</f>
        <v/>
      </c>
      <c r="M167" s="6" t="str">
        <f aca="false">IFERROR(IF(Productos!A167="","",Productos!G167),"")</f>
        <v/>
      </c>
      <c r="N167" s="6" t="str">
        <f aca="false">IFERROR(IF(A167="","",IF(L167&lt;M167,"BAJO STOCK","OK")),"")</f>
        <v/>
      </c>
    </row>
    <row r="168" customFormat="false" ht="15" hidden="false" customHeight="false" outlineLevel="0" collapsed="false">
      <c r="A168" s="0" t="str">
        <f aca="false">IFERROR(IF(Productos!A168="","",Productos!A168),"")</f>
        <v/>
      </c>
      <c r="B168" s="0" t="str">
        <f aca="false">IFERROR(IF(Productos!A168="","",Productos!B168),"")</f>
        <v/>
      </c>
      <c r="C168" s="0" t="str">
        <f aca="false">IFERROR(IF(Productos!A168="","",Productos!C168),"")</f>
        <v/>
      </c>
      <c r="D168" s="0" t="str">
        <f aca="false">IFERROR(IF(Productos!A168="","",Productos!E168),"")</f>
        <v/>
      </c>
      <c r="E168" s="6" t="str">
        <f aca="false">IFERROR(IF(A168="","",SUMIFS(Movimientos!E:E, Movimientos!D:D, A168, Movimientos!C:C, "Ingreso", Movimientos!G:G, "TIN")+SUMIFS(Movimientos!E:E, Movimientos!D:D, A168, Movimientos!C:C, "Traslado", Movimientos!G:G, "TIN")-SUMIFS(Movimientos!E:E, Movimientos!D:D, A168, Movimientos!C:C, "Traslado", Movimientos!F:F, "TIN")-SUMIFS(Movimientos!E:E, Movimientos!D:D, A168, Movimientos!C:C, "Egreso", Movimientos!F:F, "TIN")+SUMIFS(Movimientos!E:E, Movimientos!D:D, A168, Movimientos!C:C, "Ajuste", Movimientos!F:F, "TIN")),"")</f>
        <v/>
      </c>
      <c r="F168" s="6" t="str">
        <f aca="false">IFERROR(IF(A168="","",SUMIFS(Movimientos!E:E, Movimientos!D:D, A168, Movimientos!C:C, "Ingreso", Movimientos!G:G, "G1000")+SUMIFS(Movimientos!E:E, Movimientos!D:D, A168, Movimientos!C:C, "Traslado", Movimientos!G:G, "G1000")-SUMIFS(Movimientos!E:E, Movimientos!D:D, A168, Movimientos!C:C, "Traslado", Movimientos!F:F, "G1000")-SUMIFS(Movimientos!E:E, Movimientos!D:D, A168, Movimientos!C:C, "Egreso", Movimientos!F:F, "G1000")+SUMIFS(Movimientos!E:E, Movimientos!D:D, A168, Movimientos!C:C, "Ajuste", Movimientos!F:F, "G1000")),"")</f>
        <v/>
      </c>
      <c r="G168" s="6" t="str">
        <f aca="false">IFERROR(IF(A168="","",SUMIFS(Movimientos!E:E, Movimientos!D:D, A168, Movimientos!C:C, "Ingreso", Movimientos!G:G, "G710")+SUMIFS(Movimientos!E:E, Movimientos!D:D, A168, Movimientos!C:C, "Traslado", Movimientos!G:G, "G710")-SUMIFS(Movimientos!E:E, Movimientos!D:D, A168, Movimientos!C:C, "Traslado", Movimientos!F:F, "G710")-SUMIFS(Movimientos!E:E, Movimientos!D:D, A168, Movimientos!C:C, "Egreso", Movimientos!F:F, "G710")+SUMIFS(Movimientos!E:E, Movimientos!D:D, A168, Movimientos!C:C, "Ajuste", Movimientos!F:F, "G710")),"")</f>
        <v/>
      </c>
      <c r="H168" s="6" t="str">
        <f aca="false">IFERROR(IF(A168="","",SUMIFS(Movimientos!E:E, Movimientos!D:D, A168, Movimientos!C:C, "Ingreso", Movimientos!G:G, "G5000")+SUMIFS(Movimientos!E:E, Movimientos!D:D, A168, Movimientos!C:C, "Traslado", Movimientos!G:G, "G5000")-SUMIFS(Movimientos!E:E, Movimientos!D:D, A168, Movimientos!C:C, "Traslado", Movimientos!F:F, "G5000")-SUMIFS(Movimientos!E:E, Movimientos!D:D, A168, Movimientos!C:C, "Egreso", Movimientos!F:F, "G5000")+SUMIFS(Movimientos!E:E, Movimientos!D:D, A168, Movimientos!C:C, "Ajuste", Movimientos!F:F, "G5000")),"")</f>
        <v/>
      </c>
      <c r="I168" s="6" t="str">
        <f aca="false">IFERROR(IF(A168="","",SUMIFS(Movimientos!E:E, Movimientos!D:D, A168, Movimientos!C:C, "Ingreso", Movimientos!G:G, "G3")+SUMIFS(Movimientos!E:E, Movimientos!D:D, A168, Movimientos!C:C, "Traslado", Movimientos!G:G, "G3")-SUMIFS(Movimientos!E:E, Movimientos!D:D, A168, Movimientos!C:C, "Traslado", Movimientos!F:F, "G3")-SUMIFS(Movimientos!E:E, Movimientos!D:D, A168, Movimientos!C:C, "Egreso", Movimientos!F:F, "G3")+SUMIFS(Movimientos!E:E, Movimientos!D:D, A168, Movimientos!C:C, "Ajuste", Movimientos!F:F, "G3")),"")</f>
        <v/>
      </c>
      <c r="J168" s="6" t="str">
        <f aca="false">IFERROR(IF(A168="","",SUM(E168:I168)),"")</f>
        <v/>
      </c>
      <c r="K168" s="6" t="str">
        <f aca="false">IFERROR(IF(A168="","",SUMIFS(Movimientos!E:E, Movimientos!D:D, A168, Movimientos!C:C, "Reserva")-SUMIFS(Movimientos!E:E, Movimientos!D:D, A168, Movimientos!C:C, "Libera_Reserva")),"")</f>
        <v/>
      </c>
      <c r="L168" s="6" t="str">
        <f aca="false">IFERROR(IF(A168="","",J168-K168),"")</f>
        <v/>
      </c>
      <c r="M168" s="6" t="str">
        <f aca="false">IFERROR(IF(Productos!A168="","",Productos!G168),"")</f>
        <v/>
      </c>
      <c r="N168" s="6" t="str">
        <f aca="false">IFERROR(IF(A168="","",IF(L168&lt;M168,"BAJO STOCK","OK")),"")</f>
        <v/>
      </c>
    </row>
    <row r="169" customFormat="false" ht="15" hidden="false" customHeight="false" outlineLevel="0" collapsed="false">
      <c r="A169" s="0" t="str">
        <f aca="false">IFERROR(IF(Productos!A169="","",Productos!A169),"")</f>
        <v/>
      </c>
      <c r="B169" s="0" t="str">
        <f aca="false">IFERROR(IF(Productos!A169="","",Productos!B169),"")</f>
        <v/>
      </c>
      <c r="C169" s="0" t="str">
        <f aca="false">IFERROR(IF(Productos!A169="","",Productos!C169),"")</f>
        <v/>
      </c>
      <c r="D169" s="0" t="str">
        <f aca="false">IFERROR(IF(Productos!A169="","",Productos!E169),"")</f>
        <v/>
      </c>
      <c r="E169" s="6" t="str">
        <f aca="false">IFERROR(IF(A169="","",SUMIFS(Movimientos!E:E, Movimientos!D:D, A169, Movimientos!C:C, "Ingreso", Movimientos!G:G, "TIN")+SUMIFS(Movimientos!E:E, Movimientos!D:D, A169, Movimientos!C:C, "Traslado", Movimientos!G:G, "TIN")-SUMIFS(Movimientos!E:E, Movimientos!D:D, A169, Movimientos!C:C, "Traslado", Movimientos!F:F, "TIN")-SUMIFS(Movimientos!E:E, Movimientos!D:D, A169, Movimientos!C:C, "Egreso", Movimientos!F:F, "TIN")+SUMIFS(Movimientos!E:E, Movimientos!D:D, A169, Movimientos!C:C, "Ajuste", Movimientos!F:F, "TIN")),"")</f>
        <v/>
      </c>
      <c r="F169" s="6" t="str">
        <f aca="false">IFERROR(IF(A169="","",SUMIFS(Movimientos!E:E, Movimientos!D:D, A169, Movimientos!C:C, "Ingreso", Movimientos!G:G, "G1000")+SUMIFS(Movimientos!E:E, Movimientos!D:D, A169, Movimientos!C:C, "Traslado", Movimientos!G:G, "G1000")-SUMIFS(Movimientos!E:E, Movimientos!D:D, A169, Movimientos!C:C, "Traslado", Movimientos!F:F, "G1000")-SUMIFS(Movimientos!E:E, Movimientos!D:D, A169, Movimientos!C:C, "Egreso", Movimientos!F:F, "G1000")+SUMIFS(Movimientos!E:E, Movimientos!D:D, A169, Movimientos!C:C, "Ajuste", Movimientos!F:F, "G1000")),"")</f>
        <v/>
      </c>
      <c r="G169" s="6" t="str">
        <f aca="false">IFERROR(IF(A169="","",SUMIFS(Movimientos!E:E, Movimientos!D:D, A169, Movimientos!C:C, "Ingreso", Movimientos!G:G, "G710")+SUMIFS(Movimientos!E:E, Movimientos!D:D, A169, Movimientos!C:C, "Traslado", Movimientos!G:G, "G710")-SUMIFS(Movimientos!E:E, Movimientos!D:D, A169, Movimientos!C:C, "Traslado", Movimientos!F:F, "G710")-SUMIFS(Movimientos!E:E, Movimientos!D:D, A169, Movimientos!C:C, "Egreso", Movimientos!F:F, "G710")+SUMIFS(Movimientos!E:E, Movimientos!D:D, A169, Movimientos!C:C, "Ajuste", Movimientos!F:F, "G710")),"")</f>
        <v/>
      </c>
      <c r="H169" s="6" t="str">
        <f aca="false">IFERROR(IF(A169="","",SUMIFS(Movimientos!E:E, Movimientos!D:D, A169, Movimientos!C:C, "Ingreso", Movimientos!G:G, "G5000")+SUMIFS(Movimientos!E:E, Movimientos!D:D, A169, Movimientos!C:C, "Traslado", Movimientos!G:G, "G5000")-SUMIFS(Movimientos!E:E, Movimientos!D:D, A169, Movimientos!C:C, "Traslado", Movimientos!F:F, "G5000")-SUMIFS(Movimientos!E:E, Movimientos!D:D, A169, Movimientos!C:C, "Egreso", Movimientos!F:F, "G5000")+SUMIFS(Movimientos!E:E, Movimientos!D:D, A169, Movimientos!C:C, "Ajuste", Movimientos!F:F, "G5000")),"")</f>
        <v/>
      </c>
      <c r="I169" s="6" t="str">
        <f aca="false">IFERROR(IF(A169="","",SUMIFS(Movimientos!E:E, Movimientos!D:D, A169, Movimientos!C:C, "Ingreso", Movimientos!G:G, "G3")+SUMIFS(Movimientos!E:E, Movimientos!D:D, A169, Movimientos!C:C, "Traslado", Movimientos!G:G, "G3")-SUMIFS(Movimientos!E:E, Movimientos!D:D, A169, Movimientos!C:C, "Traslado", Movimientos!F:F, "G3")-SUMIFS(Movimientos!E:E, Movimientos!D:D, A169, Movimientos!C:C, "Egreso", Movimientos!F:F, "G3")+SUMIFS(Movimientos!E:E, Movimientos!D:D, A169, Movimientos!C:C, "Ajuste", Movimientos!F:F, "G3")),"")</f>
        <v/>
      </c>
      <c r="J169" s="6" t="str">
        <f aca="false">IFERROR(IF(A169="","",SUM(E169:I169)),"")</f>
        <v/>
      </c>
      <c r="K169" s="6" t="str">
        <f aca="false">IFERROR(IF(A169="","",SUMIFS(Movimientos!E:E, Movimientos!D:D, A169, Movimientos!C:C, "Reserva")-SUMIFS(Movimientos!E:E, Movimientos!D:D, A169, Movimientos!C:C, "Libera_Reserva")),"")</f>
        <v/>
      </c>
      <c r="L169" s="6" t="str">
        <f aca="false">IFERROR(IF(A169="","",J169-K169),"")</f>
        <v/>
      </c>
      <c r="M169" s="6" t="str">
        <f aca="false">IFERROR(IF(Productos!A169="","",Productos!G169),"")</f>
        <v/>
      </c>
      <c r="N169" s="6" t="str">
        <f aca="false">IFERROR(IF(A169="","",IF(L169&lt;M169,"BAJO STOCK","OK")),"")</f>
        <v/>
      </c>
    </row>
    <row r="170" customFormat="false" ht="15" hidden="false" customHeight="false" outlineLevel="0" collapsed="false">
      <c r="A170" s="0" t="str">
        <f aca="false">IFERROR(IF(Productos!A170="","",Productos!A170),"")</f>
        <v/>
      </c>
      <c r="B170" s="0" t="str">
        <f aca="false">IFERROR(IF(Productos!A170="","",Productos!B170),"")</f>
        <v/>
      </c>
      <c r="C170" s="0" t="str">
        <f aca="false">IFERROR(IF(Productos!A170="","",Productos!C170),"")</f>
        <v/>
      </c>
      <c r="D170" s="0" t="str">
        <f aca="false">IFERROR(IF(Productos!A170="","",Productos!E170),"")</f>
        <v/>
      </c>
      <c r="E170" s="6" t="str">
        <f aca="false">IFERROR(IF(A170="","",SUMIFS(Movimientos!E:E, Movimientos!D:D, A170, Movimientos!C:C, "Ingreso", Movimientos!G:G, "TIN")+SUMIFS(Movimientos!E:E, Movimientos!D:D, A170, Movimientos!C:C, "Traslado", Movimientos!G:G, "TIN")-SUMIFS(Movimientos!E:E, Movimientos!D:D, A170, Movimientos!C:C, "Traslado", Movimientos!F:F, "TIN")-SUMIFS(Movimientos!E:E, Movimientos!D:D, A170, Movimientos!C:C, "Egreso", Movimientos!F:F, "TIN")+SUMIFS(Movimientos!E:E, Movimientos!D:D, A170, Movimientos!C:C, "Ajuste", Movimientos!F:F, "TIN")),"")</f>
        <v/>
      </c>
      <c r="F170" s="6" t="str">
        <f aca="false">IFERROR(IF(A170="","",SUMIFS(Movimientos!E:E, Movimientos!D:D, A170, Movimientos!C:C, "Ingreso", Movimientos!G:G, "G1000")+SUMIFS(Movimientos!E:E, Movimientos!D:D, A170, Movimientos!C:C, "Traslado", Movimientos!G:G, "G1000")-SUMIFS(Movimientos!E:E, Movimientos!D:D, A170, Movimientos!C:C, "Traslado", Movimientos!F:F, "G1000")-SUMIFS(Movimientos!E:E, Movimientos!D:D, A170, Movimientos!C:C, "Egreso", Movimientos!F:F, "G1000")+SUMIFS(Movimientos!E:E, Movimientos!D:D, A170, Movimientos!C:C, "Ajuste", Movimientos!F:F, "G1000")),"")</f>
        <v/>
      </c>
      <c r="G170" s="6" t="str">
        <f aca="false">IFERROR(IF(A170="","",SUMIFS(Movimientos!E:E, Movimientos!D:D, A170, Movimientos!C:C, "Ingreso", Movimientos!G:G, "G710")+SUMIFS(Movimientos!E:E, Movimientos!D:D, A170, Movimientos!C:C, "Traslado", Movimientos!G:G, "G710")-SUMIFS(Movimientos!E:E, Movimientos!D:D, A170, Movimientos!C:C, "Traslado", Movimientos!F:F, "G710")-SUMIFS(Movimientos!E:E, Movimientos!D:D, A170, Movimientos!C:C, "Egreso", Movimientos!F:F, "G710")+SUMIFS(Movimientos!E:E, Movimientos!D:D, A170, Movimientos!C:C, "Ajuste", Movimientos!F:F, "G710")),"")</f>
        <v/>
      </c>
      <c r="H170" s="6" t="str">
        <f aca="false">IFERROR(IF(A170="","",SUMIFS(Movimientos!E:E, Movimientos!D:D, A170, Movimientos!C:C, "Ingreso", Movimientos!G:G, "G5000")+SUMIFS(Movimientos!E:E, Movimientos!D:D, A170, Movimientos!C:C, "Traslado", Movimientos!G:G, "G5000")-SUMIFS(Movimientos!E:E, Movimientos!D:D, A170, Movimientos!C:C, "Traslado", Movimientos!F:F, "G5000")-SUMIFS(Movimientos!E:E, Movimientos!D:D, A170, Movimientos!C:C, "Egreso", Movimientos!F:F, "G5000")+SUMIFS(Movimientos!E:E, Movimientos!D:D, A170, Movimientos!C:C, "Ajuste", Movimientos!F:F, "G5000")),"")</f>
        <v/>
      </c>
      <c r="I170" s="6" t="str">
        <f aca="false">IFERROR(IF(A170="","",SUMIFS(Movimientos!E:E, Movimientos!D:D, A170, Movimientos!C:C, "Ingreso", Movimientos!G:G, "G3")+SUMIFS(Movimientos!E:E, Movimientos!D:D, A170, Movimientos!C:C, "Traslado", Movimientos!G:G, "G3")-SUMIFS(Movimientos!E:E, Movimientos!D:D, A170, Movimientos!C:C, "Traslado", Movimientos!F:F, "G3")-SUMIFS(Movimientos!E:E, Movimientos!D:D, A170, Movimientos!C:C, "Egreso", Movimientos!F:F, "G3")+SUMIFS(Movimientos!E:E, Movimientos!D:D, A170, Movimientos!C:C, "Ajuste", Movimientos!F:F, "G3")),"")</f>
        <v/>
      </c>
      <c r="J170" s="6" t="str">
        <f aca="false">IFERROR(IF(A170="","",SUM(E170:I170)),"")</f>
        <v/>
      </c>
      <c r="K170" s="6" t="str">
        <f aca="false">IFERROR(IF(A170="","",SUMIFS(Movimientos!E:E, Movimientos!D:D, A170, Movimientos!C:C, "Reserva")-SUMIFS(Movimientos!E:E, Movimientos!D:D, A170, Movimientos!C:C, "Libera_Reserva")),"")</f>
        <v/>
      </c>
      <c r="L170" s="6" t="str">
        <f aca="false">IFERROR(IF(A170="","",J170-K170),"")</f>
        <v/>
      </c>
      <c r="M170" s="6" t="str">
        <f aca="false">IFERROR(IF(Productos!A170="","",Productos!G170),"")</f>
        <v/>
      </c>
      <c r="N170" s="6" t="str">
        <f aca="false">IFERROR(IF(A170="","",IF(L170&lt;M170,"BAJO STOCK","OK")),"")</f>
        <v/>
      </c>
    </row>
    <row r="171" customFormat="false" ht="15" hidden="false" customHeight="false" outlineLevel="0" collapsed="false">
      <c r="A171" s="0" t="str">
        <f aca="false">IFERROR(IF(Productos!A171="","",Productos!A171),"")</f>
        <v/>
      </c>
      <c r="B171" s="0" t="str">
        <f aca="false">IFERROR(IF(Productos!A171="","",Productos!B171),"")</f>
        <v/>
      </c>
      <c r="C171" s="0" t="str">
        <f aca="false">IFERROR(IF(Productos!A171="","",Productos!C171),"")</f>
        <v/>
      </c>
      <c r="D171" s="0" t="str">
        <f aca="false">IFERROR(IF(Productos!A171="","",Productos!E171),"")</f>
        <v/>
      </c>
      <c r="E171" s="6" t="str">
        <f aca="false">IFERROR(IF(A171="","",SUMIFS(Movimientos!E:E, Movimientos!D:D, A171, Movimientos!C:C, "Ingreso", Movimientos!G:G, "TIN")+SUMIFS(Movimientos!E:E, Movimientos!D:D, A171, Movimientos!C:C, "Traslado", Movimientos!G:G, "TIN")-SUMIFS(Movimientos!E:E, Movimientos!D:D, A171, Movimientos!C:C, "Traslado", Movimientos!F:F, "TIN")-SUMIFS(Movimientos!E:E, Movimientos!D:D, A171, Movimientos!C:C, "Egreso", Movimientos!F:F, "TIN")+SUMIFS(Movimientos!E:E, Movimientos!D:D, A171, Movimientos!C:C, "Ajuste", Movimientos!F:F, "TIN")),"")</f>
        <v/>
      </c>
      <c r="F171" s="6" t="str">
        <f aca="false">IFERROR(IF(A171="","",SUMIFS(Movimientos!E:E, Movimientos!D:D, A171, Movimientos!C:C, "Ingreso", Movimientos!G:G, "G1000")+SUMIFS(Movimientos!E:E, Movimientos!D:D, A171, Movimientos!C:C, "Traslado", Movimientos!G:G, "G1000")-SUMIFS(Movimientos!E:E, Movimientos!D:D, A171, Movimientos!C:C, "Traslado", Movimientos!F:F, "G1000")-SUMIFS(Movimientos!E:E, Movimientos!D:D, A171, Movimientos!C:C, "Egreso", Movimientos!F:F, "G1000")+SUMIFS(Movimientos!E:E, Movimientos!D:D, A171, Movimientos!C:C, "Ajuste", Movimientos!F:F, "G1000")),"")</f>
        <v/>
      </c>
      <c r="G171" s="6" t="str">
        <f aca="false">IFERROR(IF(A171="","",SUMIFS(Movimientos!E:E, Movimientos!D:D, A171, Movimientos!C:C, "Ingreso", Movimientos!G:G, "G710")+SUMIFS(Movimientos!E:E, Movimientos!D:D, A171, Movimientos!C:C, "Traslado", Movimientos!G:G, "G710")-SUMIFS(Movimientos!E:E, Movimientos!D:D, A171, Movimientos!C:C, "Traslado", Movimientos!F:F, "G710")-SUMIFS(Movimientos!E:E, Movimientos!D:D, A171, Movimientos!C:C, "Egreso", Movimientos!F:F, "G710")+SUMIFS(Movimientos!E:E, Movimientos!D:D, A171, Movimientos!C:C, "Ajuste", Movimientos!F:F, "G710")),"")</f>
        <v/>
      </c>
      <c r="H171" s="6" t="str">
        <f aca="false">IFERROR(IF(A171="","",SUMIFS(Movimientos!E:E, Movimientos!D:D, A171, Movimientos!C:C, "Ingreso", Movimientos!G:G, "G5000")+SUMIFS(Movimientos!E:E, Movimientos!D:D, A171, Movimientos!C:C, "Traslado", Movimientos!G:G, "G5000")-SUMIFS(Movimientos!E:E, Movimientos!D:D, A171, Movimientos!C:C, "Traslado", Movimientos!F:F, "G5000")-SUMIFS(Movimientos!E:E, Movimientos!D:D, A171, Movimientos!C:C, "Egreso", Movimientos!F:F, "G5000")+SUMIFS(Movimientos!E:E, Movimientos!D:D, A171, Movimientos!C:C, "Ajuste", Movimientos!F:F, "G5000")),"")</f>
        <v/>
      </c>
      <c r="I171" s="6" t="str">
        <f aca="false">IFERROR(IF(A171="","",SUMIFS(Movimientos!E:E, Movimientos!D:D, A171, Movimientos!C:C, "Ingreso", Movimientos!G:G, "G3")+SUMIFS(Movimientos!E:E, Movimientos!D:D, A171, Movimientos!C:C, "Traslado", Movimientos!G:G, "G3")-SUMIFS(Movimientos!E:E, Movimientos!D:D, A171, Movimientos!C:C, "Traslado", Movimientos!F:F, "G3")-SUMIFS(Movimientos!E:E, Movimientos!D:D, A171, Movimientos!C:C, "Egreso", Movimientos!F:F, "G3")+SUMIFS(Movimientos!E:E, Movimientos!D:D, A171, Movimientos!C:C, "Ajuste", Movimientos!F:F, "G3")),"")</f>
        <v/>
      </c>
      <c r="J171" s="6" t="str">
        <f aca="false">IFERROR(IF(A171="","",SUM(E171:I171)),"")</f>
        <v/>
      </c>
      <c r="K171" s="6" t="str">
        <f aca="false">IFERROR(IF(A171="","",SUMIFS(Movimientos!E:E, Movimientos!D:D, A171, Movimientos!C:C, "Reserva")-SUMIFS(Movimientos!E:E, Movimientos!D:D, A171, Movimientos!C:C, "Libera_Reserva")),"")</f>
        <v/>
      </c>
      <c r="L171" s="6" t="str">
        <f aca="false">IFERROR(IF(A171="","",J171-K171),"")</f>
        <v/>
      </c>
      <c r="M171" s="6" t="str">
        <f aca="false">IFERROR(IF(Productos!A171="","",Productos!G171),"")</f>
        <v/>
      </c>
      <c r="N171" s="6" t="str">
        <f aca="false">IFERROR(IF(A171="","",IF(L171&lt;M171,"BAJO STOCK","OK")),"")</f>
        <v/>
      </c>
    </row>
    <row r="172" customFormat="false" ht="15" hidden="false" customHeight="false" outlineLevel="0" collapsed="false">
      <c r="A172" s="0" t="str">
        <f aca="false">IFERROR(IF(Productos!A172="","",Productos!A172),"")</f>
        <v/>
      </c>
      <c r="B172" s="0" t="str">
        <f aca="false">IFERROR(IF(Productos!A172="","",Productos!B172),"")</f>
        <v/>
      </c>
      <c r="C172" s="0" t="str">
        <f aca="false">IFERROR(IF(Productos!A172="","",Productos!C172),"")</f>
        <v/>
      </c>
      <c r="D172" s="0" t="str">
        <f aca="false">IFERROR(IF(Productos!A172="","",Productos!E172),"")</f>
        <v/>
      </c>
      <c r="E172" s="6" t="str">
        <f aca="false">IFERROR(IF(A172="","",SUMIFS(Movimientos!E:E, Movimientos!D:D, A172, Movimientos!C:C, "Ingreso", Movimientos!G:G, "TIN")+SUMIFS(Movimientos!E:E, Movimientos!D:D, A172, Movimientos!C:C, "Traslado", Movimientos!G:G, "TIN")-SUMIFS(Movimientos!E:E, Movimientos!D:D, A172, Movimientos!C:C, "Traslado", Movimientos!F:F, "TIN")-SUMIFS(Movimientos!E:E, Movimientos!D:D, A172, Movimientos!C:C, "Egreso", Movimientos!F:F, "TIN")+SUMIFS(Movimientos!E:E, Movimientos!D:D, A172, Movimientos!C:C, "Ajuste", Movimientos!F:F, "TIN")),"")</f>
        <v/>
      </c>
      <c r="F172" s="6" t="str">
        <f aca="false">IFERROR(IF(A172="","",SUMIFS(Movimientos!E:E, Movimientos!D:D, A172, Movimientos!C:C, "Ingreso", Movimientos!G:G, "G1000")+SUMIFS(Movimientos!E:E, Movimientos!D:D, A172, Movimientos!C:C, "Traslado", Movimientos!G:G, "G1000")-SUMIFS(Movimientos!E:E, Movimientos!D:D, A172, Movimientos!C:C, "Traslado", Movimientos!F:F, "G1000")-SUMIFS(Movimientos!E:E, Movimientos!D:D, A172, Movimientos!C:C, "Egreso", Movimientos!F:F, "G1000")+SUMIFS(Movimientos!E:E, Movimientos!D:D, A172, Movimientos!C:C, "Ajuste", Movimientos!F:F, "G1000")),"")</f>
        <v/>
      </c>
      <c r="G172" s="6" t="str">
        <f aca="false">IFERROR(IF(A172="","",SUMIFS(Movimientos!E:E, Movimientos!D:D, A172, Movimientos!C:C, "Ingreso", Movimientos!G:G, "G710")+SUMIFS(Movimientos!E:E, Movimientos!D:D, A172, Movimientos!C:C, "Traslado", Movimientos!G:G, "G710")-SUMIFS(Movimientos!E:E, Movimientos!D:D, A172, Movimientos!C:C, "Traslado", Movimientos!F:F, "G710")-SUMIFS(Movimientos!E:E, Movimientos!D:D, A172, Movimientos!C:C, "Egreso", Movimientos!F:F, "G710")+SUMIFS(Movimientos!E:E, Movimientos!D:D, A172, Movimientos!C:C, "Ajuste", Movimientos!F:F, "G710")),"")</f>
        <v/>
      </c>
      <c r="H172" s="6" t="str">
        <f aca="false">IFERROR(IF(A172="","",SUMIFS(Movimientos!E:E, Movimientos!D:D, A172, Movimientos!C:C, "Ingreso", Movimientos!G:G, "G5000")+SUMIFS(Movimientos!E:E, Movimientos!D:D, A172, Movimientos!C:C, "Traslado", Movimientos!G:G, "G5000")-SUMIFS(Movimientos!E:E, Movimientos!D:D, A172, Movimientos!C:C, "Traslado", Movimientos!F:F, "G5000")-SUMIFS(Movimientos!E:E, Movimientos!D:D, A172, Movimientos!C:C, "Egreso", Movimientos!F:F, "G5000")+SUMIFS(Movimientos!E:E, Movimientos!D:D, A172, Movimientos!C:C, "Ajuste", Movimientos!F:F, "G5000")),"")</f>
        <v/>
      </c>
      <c r="I172" s="6" t="str">
        <f aca="false">IFERROR(IF(A172="","",SUMIFS(Movimientos!E:E, Movimientos!D:D, A172, Movimientos!C:C, "Ingreso", Movimientos!G:G, "G3")+SUMIFS(Movimientos!E:E, Movimientos!D:D, A172, Movimientos!C:C, "Traslado", Movimientos!G:G, "G3")-SUMIFS(Movimientos!E:E, Movimientos!D:D, A172, Movimientos!C:C, "Traslado", Movimientos!F:F, "G3")-SUMIFS(Movimientos!E:E, Movimientos!D:D, A172, Movimientos!C:C, "Egreso", Movimientos!F:F, "G3")+SUMIFS(Movimientos!E:E, Movimientos!D:D, A172, Movimientos!C:C, "Ajuste", Movimientos!F:F, "G3")),"")</f>
        <v/>
      </c>
      <c r="J172" s="6" t="str">
        <f aca="false">IFERROR(IF(A172="","",SUM(E172:I172)),"")</f>
        <v/>
      </c>
      <c r="K172" s="6" t="str">
        <f aca="false">IFERROR(IF(A172="","",SUMIFS(Movimientos!E:E, Movimientos!D:D, A172, Movimientos!C:C, "Reserva")-SUMIFS(Movimientos!E:E, Movimientos!D:D, A172, Movimientos!C:C, "Libera_Reserva")),"")</f>
        <v/>
      </c>
      <c r="L172" s="6" t="str">
        <f aca="false">IFERROR(IF(A172="","",J172-K172),"")</f>
        <v/>
      </c>
      <c r="M172" s="6" t="str">
        <f aca="false">IFERROR(IF(Productos!A172="","",Productos!G172),"")</f>
        <v/>
      </c>
      <c r="N172" s="6" t="str">
        <f aca="false">IFERROR(IF(A172="","",IF(L172&lt;M172,"BAJO STOCK","OK")),"")</f>
        <v/>
      </c>
    </row>
    <row r="173" customFormat="false" ht="15" hidden="false" customHeight="false" outlineLevel="0" collapsed="false">
      <c r="A173" s="0" t="str">
        <f aca="false">IFERROR(IF(Productos!A173="","",Productos!A173),"")</f>
        <v/>
      </c>
      <c r="B173" s="0" t="str">
        <f aca="false">IFERROR(IF(Productos!A173="","",Productos!B173),"")</f>
        <v/>
      </c>
      <c r="C173" s="0" t="str">
        <f aca="false">IFERROR(IF(Productos!A173="","",Productos!C173),"")</f>
        <v/>
      </c>
      <c r="D173" s="0" t="str">
        <f aca="false">IFERROR(IF(Productos!A173="","",Productos!E173),"")</f>
        <v/>
      </c>
      <c r="E173" s="6" t="str">
        <f aca="false">IFERROR(IF(A173="","",SUMIFS(Movimientos!E:E, Movimientos!D:D, A173, Movimientos!C:C, "Ingreso", Movimientos!G:G, "TIN")+SUMIFS(Movimientos!E:E, Movimientos!D:D, A173, Movimientos!C:C, "Traslado", Movimientos!G:G, "TIN")-SUMIFS(Movimientos!E:E, Movimientos!D:D, A173, Movimientos!C:C, "Traslado", Movimientos!F:F, "TIN")-SUMIFS(Movimientos!E:E, Movimientos!D:D, A173, Movimientos!C:C, "Egreso", Movimientos!F:F, "TIN")+SUMIFS(Movimientos!E:E, Movimientos!D:D, A173, Movimientos!C:C, "Ajuste", Movimientos!F:F, "TIN")),"")</f>
        <v/>
      </c>
      <c r="F173" s="6" t="str">
        <f aca="false">IFERROR(IF(A173="","",SUMIFS(Movimientos!E:E, Movimientos!D:D, A173, Movimientos!C:C, "Ingreso", Movimientos!G:G, "G1000")+SUMIFS(Movimientos!E:E, Movimientos!D:D, A173, Movimientos!C:C, "Traslado", Movimientos!G:G, "G1000")-SUMIFS(Movimientos!E:E, Movimientos!D:D, A173, Movimientos!C:C, "Traslado", Movimientos!F:F, "G1000")-SUMIFS(Movimientos!E:E, Movimientos!D:D, A173, Movimientos!C:C, "Egreso", Movimientos!F:F, "G1000")+SUMIFS(Movimientos!E:E, Movimientos!D:D, A173, Movimientos!C:C, "Ajuste", Movimientos!F:F, "G1000")),"")</f>
        <v/>
      </c>
      <c r="G173" s="6" t="str">
        <f aca="false">IFERROR(IF(A173="","",SUMIFS(Movimientos!E:E, Movimientos!D:D, A173, Movimientos!C:C, "Ingreso", Movimientos!G:G, "G710")+SUMIFS(Movimientos!E:E, Movimientos!D:D, A173, Movimientos!C:C, "Traslado", Movimientos!G:G, "G710")-SUMIFS(Movimientos!E:E, Movimientos!D:D, A173, Movimientos!C:C, "Traslado", Movimientos!F:F, "G710")-SUMIFS(Movimientos!E:E, Movimientos!D:D, A173, Movimientos!C:C, "Egreso", Movimientos!F:F, "G710")+SUMIFS(Movimientos!E:E, Movimientos!D:D, A173, Movimientos!C:C, "Ajuste", Movimientos!F:F, "G710")),"")</f>
        <v/>
      </c>
      <c r="H173" s="6" t="str">
        <f aca="false">IFERROR(IF(A173="","",SUMIFS(Movimientos!E:E, Movimientos!D:D, A173, Movimientos!C:C, "Ingreso", Movimientos!G:G, "G5000")+SUMIFS(Movimientos!E:E, Movimientos!D:D, A173, Movimientos!C:C, "Traslado", Movimientos!G:G, "G5000")-SUMIFS(Movimientos!E:E, Movimientos!D:D, A173, Movimientos!C:C, "Traslado", Movimientos!F:F, "G5000")-SUMIFS(Movimientos!E:E, Movimientos!D:D, A173, Movimientos!C:C, "Egreso", Movimientos!F:F, "G5000")+SUMIFS(Movimientos!E:E, Movimientos!D:D, A173, Movimientos!C:C, "Ajuste", Movimientos!F:F, "G5000")),"")</f>
        <v/>
      </c>
      <c r="I173" s="6" t="str">
        <f aca="false">IFERROR(IF(A173="","",SUMIFS(Movimientos!E:E, Movimientos!D:D, A173, Movimientos!C:C, "Ingreso", Movimientos!G:G, "G3")+SUMIFS(Movimientos!E:E, Movimientos!D:D, A173, Movimientos!C:C, "Traslado", Movimientos!G:G, "G3")-SUMIFS(Movimientos!E:E, Movimientos!D:D, A173, Movimientos!C:C, "Traslado", Movimientos!F:F, "G3")-SUMIFS(Movimientos!E:E, Movimientos!D:D, A173, Movimientos!C:C, "Egreso", Movimientos!F:F, "G3")+SUMIFS(Movimientos!E:E, Movimientos!D:D, A173, Movimientos!C:C, "Ajuste", Movimientos!F:F, "G3")),"")</f>
        <v/>
      </c>
      <c r="J173" s="6" t="str">
        <f aca="false">IFERROR(IF(A173="","",SUM(E173:I173)),"")</f>
        <v/>
      </c>
      <c r="K173" s="6" t="str">
        <f aca="false">IFERROR(IF(A173="","",SUMIFS(Movimientos!E:E, Movimientos!D:D, A173, Movimientos!C:C, "Reserva")-SUMIFS(Movimientos!E:E, Movimientos!D:D, A173, Movimientos!C:C, "Libera_Reserva")),"")</f>
        <v/>
      </c>
      <c r="L173" s="6" t="str">
        <f aca="false">IFERROR(IF(A173="","",J173-K173),"")</f>
        <v/>
      </c>
      <c r="M173" s="6" t="str">
        <f aca="false">IFERROR(IF(Productos!A173="","",Productos!G173),"")</f>
        <v/>
      </c>
      <c r="N173" s="6" t="str">
        <f aca="false">IFERROR(IF(A173="","",IF(L173&lt;M173,"BAJO STOCK","OK")),"")</f>
        <v/>
      </c>
    </row>
    <row r="174" customFormat="false" ht="15" hidden="false" customHeight="false" outlineLevel="0" collapsed="false">
      <c r="A174" s="0" t="str">
        <f aca="false">IFERROR(IF(Productos!A174="","",Productos!A174),"")</f>
        <v/>
      </c>
      <c r="B174" s="0" t="str">
        <f aca="false">IFERROR(IF(Productos!A174="","",Productos!B174),"")</f>
        <v/>
      </c>
      <c r="C174" s="0" t="str">
        <f aca="false">IFERROR(IF(Productos!A174="","",Productos!C174),"")</f>
        <v/>
      </c>
      <c r="D174" s="0" t="str">
        <f aca="false">IFERROR(IF(Productos!A174="","",Productos!E174),"")</f>
        <v/>
      </c>
      <c r="E174" s="6" t="str">
        <f aca="false">IFERROR(IF(A174="","",SUMIFS(Movimientos!E:E, Movimientos!D:D, A174, Movimientos!C:C, "Ingreso", Movimientos!G:G, "TIN")+SUMIFS(Movimientos!E:E, Movimientos!D:D, A174, Movimientos!C:C, "Traslado", Movimientos!G:G, "TIN")-SUMIFS(Movimientos!E:E, Movimientos!D:D, A174, Movimientos!C:C, "Traslado", Movimientos!F:F, "TIN")-SUMIFS(Movimientos!E:E, Movimientos!D:D, A174, Movimientos!C:C, "Egreso", Movimientos!F:F, "TIN")+SUMIFS(Movimientos!E:E, Movimientos!D:D, A174, Movimientos!C:C, "Ajuste", Movimientos!F:F, "TIN")),"")</f>
        <v/>
      </c>
      <c r="F174" s="6" t="str">
        <f aca="false">IFERROR(IF(A174="","",SUMIFS(Movimientos!E:E, Movimientos!D:D, A174, Movimientos!C:C, "Ingreso", Movimientos!G:G, "G1000")+SUMIFS(Movimientos!E:E, Movimientos!D:D, A174, Movimientos!C:C, "Traslado", Movimientos!G:G, "G1000")-SUMIFS(Movimientos!E:E, Movimientos!D:D, A174, Movimientos!C:C, "Traslado", Movimientos!F:F, "G1000")-SUMIFS(Movimientos!E:E, Movimientos!D:D, A174, Movimientos!C:C, "Egreso", Movimientos!F:F, "G1000")+SUMIFS(Movimientos!E:E, Movimientos!D:D, A174, Movimientos!C:C, "Ajuste", Movimientos!F:F, "G1000")),"")</f>
        <v/>
      </c>
      <c r="G174" s="6" t="str">
        <f aca="false">IFERROR(IF(A174="","",SUMIFS(Movimientos!E:E, Movimientos!D:D, A174, Movimientos!C:C, "Ingreso", Movimientos!G:G, "G710")+SUMIFS(Movimientos!E:E, Movimientos!D:D, A174, Movimientos!C:C, "Traslado", Movimientos!G:G, "G710")-SUMIFS(Movimientos!E:E, Movimientos!D:D, A174, Movimientos!C:C, "Traslado", Movimientos!F:F, "G710")-SUMIFS(Movimientos!E:E, Movimientos!D:D, A174, Movimientos!C:C, "Egreso", Movimientos!F:F, "G710")+SUMIFS(Movimientos!E:E, Movimientos!D:D, A174, Movimientos!C:C, "Ajuste", Movimientos!F:F, "G710")),"")</f>
        <v/>
      </c>
      <c r="H174" s="6" t="str">
        <f aca="false">IFERROR(IF(A174="","",SUMIFS(Movimientos!E:E, Movimientos!D:D, A174, Movimientos!C:C, "Ingreso", Movimientos!G:G, "G5000")+SUMIFS(Movimientos!E:E, Movimientos!D:D, A174, Movimientos!C:C, "Traslado", Movimientos!G:G, "G5000")-SUMIFS(Movimientos!E:E, Movimientos!D:D, A174, Movimientos!C:C, "Traslado", Movimientos!F:F, "G5000")-SUMIFS(Movimientos!E:E, Movimientos!D:D, A174, Movimientos!C:C, "Egreso", Movimientos!F:F, "G5000")+SUMIFS(Movimientos!E:E, Movimientos!D:D, A174, Movimientos!C:C, "Ajuste", Movimientos!F:F, "G5000")),"")</f>
        <v/>
      </c>
      <c r="I174" s="6" t="str">
        <f aca="false">IFERROR(IF(A174="","",SUMIFS(Movimientos!E:E, Movimientos!D:D, A174, Movimientos!C:C, "Ingreso", Movimientos!G:G, "G3")+SUMIFS(Movimientos!E:E, Movimientos!D:D, A174, Movimientos!C:C, "Traslado", Movimientos!G:G, "G3")-SUMIFS(Movimientos!E:E, Movimientos!D:D, A174, Movimientos!C:C, "Traslado", Movimientos!F:F, "G3")-SUMIFS(Movimientos!E:E, Movimientos!D:D, A174, Movimientos!C:C, "Egreso", Movimientos!F:F, "G3")+SUMIFS(Movimientos!E:E, Movimientos!D:D, A174, Movimientos!C:C, "Ajuste", Movimientos!F:F, "G3")),"")</f>
        <v/>
      </c>
      <c r="J174" s="6" t="str">
        <f aca="false">IFERROR(IF(A174="","",SUM(E174:I174)),"")</f>
        <v/>
      </c>
      <c r="K174" s="6" t="str">
        <f aca="false">IFERROR(IF(A174="","",SUMIFS(Movimientos!E:E, Movimientos!D:D, A174, Movimientos!C:C, "Reserva")-SUMIFS(Movimientos!E:E, Movimientos!D:D, A174, Movimientos!C:C, "Libera_Reserva")),"")</f>
        <v/>
      </c>
      <c r="L174" s="6" t="str">
        <f aca="false">IFERROR(IF(A174="","",J174-K174),"")</f>
        <v/>
      </c>
      <c r="M174" s="6" t="str">
        <f aca="false">IFERROR(IF(Productos!A174="","",Productos!G174),"")</f>
        <v/>
      </c>
      <c r="N174" s="6" t="str">
        <f aca="false">IFERROR(IF(A174="","",IF(L174&lt;M174,"BAJO STOCK","OK")),"")</f>
        <v/>
      </c>
    </row>
    <row r="175" customFormat="false" ht="15" hidden="false" customHeight="false" outlineLevel="0" collapsed="false">
      <c r="A175" s="0" t="str">
        <f aca="false">IFERROR(IF(Productos!A175="","",Productos!A175),"")</f>
        <v/>
      </c>
      <c r="B175" s="0" t="str">
        <f aca="false">IFERROR(IF(Productos!A175="","",Productos!B175),"")</f>
        <v/>
      </c>
      <c r="C175" s="0" t="str">
        <f aca="false">IFERROR(IF(Productos!A175="","",Productos!C175),"")</f>
        <v/>
      </c>
      <c r="D175" s="0" t="str">
        <f aca="false">IFERROR(IF(Productos!A175="","",Productos!E175),"")</f>
        <v/>
      </c>
      <c r="E175" s="6" t="str">
        <f aca="false">IFERROR(IF(A175="","",SUMIFS(Movimientos!E:E, Movimientos!D:D, A175, Movimientos!C:C, "Ingreso", Movimientos!G:G, "TIN")+SUMIFS(Movimientos!E:E, Movimientos!D:D, A175, Movimientos!C:C, "Traslado", Movimientos!G:G, "TIN")-SUMIFS(Movimientos!E:E, Movimientos!D:D, A175, Movimientos!C:C, "Traslado", Movimientos!F:F, "TIN")-SUMIFS(Movimientos!E:E, Movimientos!D:D, A175, Movimientos!C:C, "Egreso", Movimientos!F:F, "TIN")+SUMIFS(Movimientos!E:E, Movimientos!D:D, A175, Movimientos!C:C, "Ajuste", Movimientos!F:F, "TIN")),"")</f>
        <v/>
      </c>
      <c r="F175" s="6" t="str">
        <f aca="false">IFERROR(IF(A175="","",SUMIFS(Movimientos!E:E, Movimientos!D:D, A175, Movimientos!C:C, "Ingreso", Movimientos!G:G, "G1000")+SUMIFS(Movimientos!E:E, Movimientos!D:D, A175, Movimientos!C:C, "Traslado", Movimientos!G:G, "G1000")-SUMIFS(Movimientos!E:E, Movimientos!D:D, A175, Movimientos!C:C, "Traslado", Movimientos!F:F, "G1000")-SUMIFS(Movimientos!E:E, Movimientos!D:D, A175, Movimientos!C:C, "Egreso", Movimientos!F:F, "G1000")+SUMIFS(Movimientos!E:E, Movimientos!D:D, A175, Movimientos!C:C, "Ajuste", Movimientos!F:F, "G1000")),"")</f>
        <v/>
      </c>
      <c r="G175" s="6" t="str">
        <f aca="false">IFERROR(IF(A175="","",SUMIFS(Movimientos!E:E, Movimientos!D:D, A175, Movimientos!C:C, "Ingreso", Movimientos!G:G, "G710")+SUMIFS(Movimientos!E:E, Movimientos!D:D, A175, Movimientos!C:C, "Traslado", Movimientos!G:G, "G710")-SUMIFS(Movimientos!E:E, Movimientos!D:D, A175, Movimientos!C:C, "Traslado", Movimientos!F:F, "G710")-SUMIFS(Movimientos!E:E, Movimientos!D:D, A175, Movimientos!C:C, "Egreso", Movimientos!F:F, "G710")+SUMIFS(Movimientos!E:E, Movimientos!D:D, A175, Movimientos!C:C, "Ajuste", Movimientos!F:F, "G710")),"")</f>
        <v/>
      </c>
      <c r="H175" s="6" t="str">
        <f aca="false">IFERROR(IF(A175="","",SUMIFS(Movimientos!E:E, Movimientos!D:D, A175, Movimientos!C:C, "Ingreso", Movimientos!G:G, "G5000")+SUMIFS(Movimientos!E:E, Movimientos!D:D, A175, Movimientos!C:C, "Traslado", Movimientos!G:G, "G5000")-SUMIFS(Movimientos!E:E, Movimientos!D:D, A175, Movimientos!C:C, "Traslado", Movimientos!F:F, "G5000")-SUMIFS(Movimientos!E:E, Movimientos!D:D, A175, Movimientos!C:C, "Egreso", Movimientos!F:F, "G5000")+SUMIFS(Movimientos!E:E, Movimientos!D:D, A175, Movimientos!C:C, "Ajuste", Movimientos!F:F, "G5000")),"")</f>
        <v/>
      </c>
      <c r="I175" s="6" t="str">
        <f aca="false">IFERROR(IF(A175="","",SUMIFS(Movimientos!E:E, Movimientos!D:D, A175, Movimientos!C:C, "Ingreso", Movimientos!G:G, "G3")+SUMIFS(Movimientos!E:E, Movimientos!D:D, A175, Movimientos!C:C, "Traslado", Movimientos!G:G, "G3")-SUMIFS(Movimientos!E:E, Movimientos!D:D, A175, Movimientos!C:C, "Traslado", Movimientos!F:F, "G3")-SUMIFS(Movimientos!E:E, Movimientos!D:D, A175, Movimientos!C:C, "Egreso", Movimientos!F:F, "G3")+SUMIFS(Movimientos!E:E, Movimientos!D:D, A175, Movimientos!C:C, "Ajuste", Movimientos!F:F, "G3")),"")</f>
        <v/>
      </c>
      <c r="J175" s="6" t="str">
        <f aca="false">IFERROR(IF(A175="","",SUM(E175:I175)),"")</f>
        <v/>
      </c>
      <c r="K175" s="6" t="str">
        <f aca="false">IFERROR(IF(A175="","",SUMIFS(Movimientos!E:E, Movimientos!D:D, A175, Movimientos!C:C, "Reserva")-SUMIFS(Movimientos!E:E, Movimientos!D:D, A175, Movimientos!C:C, "Libera_Reserva")),"")</f>
        <v/>
      </c>
      <c r="L175" s="6" t="str">
        <f aca="false">IFERROR(IF(A175="","",J175-K175),"")</f>
        <v/>
      </c>
      <c r="M175" s="6" t="str">
        <f aca="false">IFERROR(IF(Productos!A175="","",Productos!G175),"")</f>
        <v/>
      </c>
      <c r="N175" s="6" t="str">
        <f aca="false">IFERROR(IF(A175="","",IF(L175&lt;M175,"BAJO STOCK","OK")),"")</f>
        <v/>
      </c>
    </row>
    <row r="176" customFormat="false" ht="15" hidden="false" customHeight="false" outlineLevel="0" collapsed="false">
      <c r="A176" s="0" t="str">
        <f aca="false">IFERROR(IF(Productos!A176="","",Productos!A176),"")</f>
        <v/>
      </c>
      <c r="B176" s="0" t="str">
        <f aca="false">IFERROR(IF(Productos!A176="","",Productos!B176),"")</f>
        <v/>
      </c>
      <c r="C176" s="0" t="str">
        <f aca="false">IFERROR(IF(Productos!A176="","",Productos!C176),"")</f>
        <v/>
      </c>
      <c r="D176" s="0" t="str">
        <f aca="false">IFERROR(IF(Productos!A176="","",Productos!E176),"")</f>
        <v/>
      </c>
      <c r="E176" s="6" t="str">
        <f aca="false">IFERROR(IF(A176="","",SUMIFS(Movimientos!E:E, Movimientos!D:D, A176, Movimientos!C:C, "Ingreso", Movimientos!G:G, "TIN")+SUMIFS(Movimientos!E:E, Movimientos!D:D, A176, Movimientos!C:C, "Traslado", Movimientos!G:G, "TIN")-SUMIFS(Movimientos!E:E, Movimientos!D:D, A176, Movimientos!C:C, "Traslado", Movimientos!F:F, "TIN")-SUMIFS(Movimientos!E:E, Movimientos!D:D, A176, Movimientos!C:C, "Egreso", Movimientos!F:F, "TIN")+SUMIFS(Movimientos!E:E, Movimientos!D:D, A176, Movimientos!C:C, "Ajuste", Movimientos!F:F, "TIN")),"")</f>
        <v/>
      </c>
      <c r="F176" s="6" t="str">
        <f aca="false">IFERROR(IF(A176="","",SUMIFS(Movimientos!E:E, Movimientos!D:D, A176, Movimientos!C:C, "Ingreso", Movimientos!G:G, "G1000")+SUMIFS(Movimientos!E:E, Movimientos!D:D, A176, Movimientos!C:C, "Traslado", Movimientos!G:G, "G1000")-SUMIFS(Movimientos!E:E, Movimientos!D:D, A176, Movimientos!C:C, "Traslado", Movimientos!F:F, "G1000")-SUMIFS(Movimientos!E:E, Movimientos!D:D, A176, Movimientos!C:C, "Egreso", Movimientos!F:F, "G1000")+SUMIFS(Movimientos!E:E, Movimientos!D:D, A176, Movimientos!C:C, "Ajuste", Movimientos!F:F, "G1000")),"")</f>
        <v/>
      </c>
      <c r="G176" s="6" t="str">
        <f aca="false">IFERROR(IF(A176="","",SUMIFS(Movimientos!E:E, Movimientos!D:D, A176, Movimientos!C:C, "Ingreso", Movimientos!G:G, "G710")+SUMIFS(Movimientos!E:E, Movimientos!D:D, A176, Movimientos!C:C, "Traslado", Movimientos!G:G, "G710")-SUMIFS(Movimientos!E:E, Movimientos!D:D, A176, Movimientos!C:C, "Traslado", Movimientos!F:F, "G710")-SUMIFS(Movimientos!E:E, Movimientos!D:D, A176, Movimientos!C:C, "Egreso", Movimientos!F:F, "G710")+SUMIFS(Movimientos!E:E, Movimientos!D:D, A176, Movimientos!C:C, "Ajuste", Movimientos!F:F, "G710")),"")</f>
        <v/>
      </c>
      <c r="H176" s="6" t="str">
        <f aca="false">IFERROR(IF(A176="","",SUMIFS(Movimientos!E:E, Movimientos!D:D, A176, Movimientos!C:C, "Ingreso", Movimientos!G:G, "G5000")+SUMIFS(Movimientos!E:E, Movimientos!D:D, A176, Movimientos!C:C, "Traslado", Movimientos!G:G, "G5000")-SUMIFS(Movimientos!E:E, Movimientos!D:D, A176, Movimientos!C:C, "Traslado", Movimientos!F:F, "G5000")-SUMIFS(Movimientos!E:E, Movimientos!D:D, A176, Movimientos!C:C, "Egreso", Movimientos!F:F, "G5000")+SUMIFS(Movimientos!E:E, Movimientos!D:D, A176, Movimientos!C:C, "Ajuste", Movimientos!F:F, "G5000")),"")</f>
        <v/>
      </c>
      <c r="I176" s="6" t="str">
        <f aca="false">IFERROR(IF(A176="","",SUMIFS(Movimientos!E:E, Movimientos!D:D, A176, Movimientos!C:C, "Ingreso", Movimientos!G:G, "G3")+SUMIFS(Movimientos!E:E, Movimientos!D:D, A176, Movimientos!C:C, "Traslado", Movimientos!G:G, "G3")-SUMIFS(Movimientos!E:E, Movimientos!D:D, A176, Movimientos!C:C, "Traslado", Movimientos!F:F, "G3")-SUMIFS(Movimientos!E:E, Movimientos!D:D, A176, Movimientos!C:C, "Egreso", Movimientos!F:F, "G3")+SUMIFS(Movimientos!E:E, Movimientos!D:D, A176, Movimientos!C:C, "Ajuste", Movimientos!F:F, "G3")),"")</f>
        <v/>
      </c>
      <c r="J176" s="6" t="str">
        <f aca="false">IFERROR(IF(A176="","",SUM(E176:I176)),"")</f>
        <v/>
      </c>
      <c r="K176" s="6" t="str">
        <f aca="false">IFERROR(IF(A176="","",SUMIFS(Movimientos!E:E, Movimientos!D:D, A176, Movimientos!C:C, "Reserva")-SUMIFS(Movimientos!E:E, Movimientos!D:D, A176, Movimientos!C:C, "Libera_Reserva")),"")</f>
        <v/>
      </c>
      <c r="L176" s="6" t="str">
        <f aca="false">IFERROR(IF(A176="","",J176-K176),"")</f>
        <v/>
      </c>
      <c r="M176" s="6" t="str">
        <f aca="false">IFERROR(IF(Productos!A176="","",Productos!G176),"")</f>
        <v/>
      </c>
      <c r="N176" s="6" t="str">
        <f aca="false">IFERROR(IF(A176="","",IF(L176&lt;M176,"BAJO STOCK","OK")),"")</f>
        <v/>
      </c>
    </row>
    <row r="177" customFormat="false" ht="15" hidden="false" customHeight="false" outlineLevel="0" collapsed="false">
      <c r="A177" s="0" t="str">
        <f aca="false">IFERROR(IF(Productos!A177="","",Productos!A177),"")</f>
        <v/>
      </c>
      <c r="B177" s="0" t="str">
        <f aca="false">IFERROR(IF(Productos!A177="","",Productos!B177),"")</f>
        <v/>
      </c>
      <c r="C177" s="0" t="str">
        <f aca="false">IFERROR(IF(Productos!A177="","",Productos!C177),"")</f>
        <v/>
      </c>
      <c r="D177" s="0" t="str">
        <f aca="false">IFERROR(IF(Productos!A177="","",Productos!E177),"")</f>
        <v/>
      </c>
      <c r="E177" s="6" t="str">
        <f aca="false">IFERROR(IF(A177="","",SUMIFS(Movimientos!E:E, Movimientos!D:D, A177, Movimientos!C:C, "Ingreso", Movimientos!G:G, "TIN")+SUMIFS(Movimientos!E:E, Movimientos!D:D, A177, Movimientos!C:C, "Traslado", Movimientos!G:G, "TIN")-SUMIFS(Movimientos!E:E, Movimientos!D:D, A177, Movimientos!C:C, "Traslado", Movimientos!F:F, "TIN")-SUMIFS(Movimientos!E:E, Movimientos!D:D, A177, Movimientos!C:C, "Egreso", Movimientos!F:F, "TIN")+SUMIFS(Movimientos!E:E, Movimientos!D:D, A177, Movimientos!C:C, "Ajuste", Movimientos!F:F, "TIN")),"")</f>
        <v/>
      </c>
      <c r="F177" s="6" t="str">
        <f aca="false">IFERROR(IF(A177="","",SUMIFS(Movimientos!E:E, Movimientos!D:D, A177, Movimientos!C:C, "Ingreso", Movimientos!G:G, "G1000")+SUMIFS(Movimientos!E:E, Movimientos!D:D, A177, Movimientos!C:C, "Traslado", Movimientos!G:G, "G1000")-SUMIFS(Movimientos!E:E, Movimientos!D:D, A177, Movimientos!C:C, "Traslado", Movimientos!F:F, "G1000")-SUMIFS(Movimientos!E:E, Movimientos!D:D, A177, Movimientos!C:C, "Egreso", Movimientos!F:F, "G1000")+SUMIFS(Movimientos!E:E, Movimientos!D:D, A177, Movimientos!C:C, "Ajuste", Movimientos!F:F, "G1000")),"")</f>
        <v/>
      </c>
      <c r="G177" s="6" t="str">
        <f aca="false">IFERROR(IF(A177="","",SUMIFS(Movimientos!E:E, Movimientos!D:D, A177, Movimientos!C:C, "Ingreso", Movimientos!G:G, "G710")+SUMIFS(Movimientos!E:E, Movimientos!D:D, A177, Movimientos!C:C, "Traslado", Movimientos!G:G, "G710")-SUMIFS(Movimientos!E:E, Movimientos!D:D, A177, Movimientos!C:C, "Traslado", Movimientos!F:F, "G710")-SUMIFS(Movimientos!E:E, Movimientos!D:D, A177, Movimientos!C:C, "Egreso", Movimientos!F:F, "G710")+SUMIFS(Movimientos!E:E, Movimientos!D:D, A177, Movimientos!C:C, "Ajuste", Movimientos!F:F, "G710")),"")</f>
        <v/>
      </c>
      <c r="H177" s="6" t="str">
        <f aca="false">IFERROR(IF(A177="","",SUMIFS(Movimientos!E:E, Movimientos!D:D, A177, Movimientos!C:C, "Ingreso", Movimientos!G:G, "G5000")+SUMIFS(Movimientos!E:E, Movimientos!D:D, A177, Movimientos!C:C, "Traslado", Movimientos!G:G, "G5000")-SUMIFS(Movimientos!E:E, Movimientos!D:D, A177, Movimientos!C:C, "Traslado", Movimientos!F:F, "G5000")-SUMIFS(Movimientos!E:E, Movimientos!D:D, A177, Movimientos!C:C, "Egreso", Movimientos!F:F, "G5000")+SUMIFS(Movimientos!E:E, Movimientos!D:D, A177, Movimientos!C:C, "Ajuste", Movimientos!F:F, "G5000")),"")</f>
        <v/>
      </c>
      <c r="I177" s="6" t="str">
        <f aca="false">IFERROR(IF(A177="","",SUMIFS(Movimientos!E:E, Movimientos!D:D, A177, Movimientos!C:C, "Ingreso", Movimientos!G:G, "G3")+SUMIFS(Movimientos!E:E, Movimientos!D:D, A177, Movimientos!C:C, "Traslado", Movimientos!G:G, "G3")-SUMIFS(Movimientos!E:E, Movimientos!D:D, A177, Movimientos!C:C, "Traslado", Movimientos!F:F, "G3")-SUMIFS(Movimientos!E:E, Movimientos!D:D, A177, Movimientos!C:C, "Egreso", Movimientos!F:F, "G3")+SUMIFS(Movimientos!E:E, Movimientos!D:D, A177, Movimientos!C:C, "Ajuste", Movimientos!F:F, "G3")),"")</f>
        <v/>
      </c>
      <c r="J177" s="6" t="str">
        <f aca="false">IFERROR(IF(A177="","",SUM(E177:I177)),"")</f>
        <v/>
      </c>
      <c r="K177" s="6" t="str">
        <f aca="false">IFERROR(IF(A177="","",SUMIFS(Movimientos!E:E, Movimientos!D:D, A177, Movimientos!C:C, "Reserva")-SUMIFS(Movimientos!E:E, Movimientos!D:D, A177, Movimientos!C:C, "Libera_Reserva")),"")</f>
        <v/>
      </c>
      <c r="L177" s="6" t="str">
        <f aca="false">IFERROR(IF(A177="","",J177-K177),"")</f>
        <v/>
      </c>
      <c r="M177" s="6" t="str">
        <f aca="false">IFERROR(IF(Productos!A177="","",Productos!G177),"")</f>
        <v/>
      </c>
      <c r="N177" s="6" t="str">
        <f aca="false">IFERROR(IF(A177="","",IF(L177&lt;M177,"BAJO STOCK","OK")),"")</f>
        <v/>
      </c>
    </row>
    <row r="178" customFormat="false" ht="15" hidden="false" customHeight="false" outlineLevel="0" collapsed="false">
      <c r="A178" s="0" t="str">
        <f aca="false">IFERROR(IF(Productos!A178="","",Productos!A178),"")</f>
        <v/>
      </c>
      <c r="B178" s="0" t="str">
        <f aca="false">IFERROR(IF(Productos!A178="","",Productos!B178),"")</f>
        <v/>
      </c>
      <c r="C178" s="0" t="str">
        <f aca="false">IFERROR(IF(Productos!A178="","",Productos!C178),"")</f>
        <v/>
      </c>
      <c r="D178" s="0" t="str">
        <f aca="false">IFERROR(IF(Productos!A178="","",Productos!E178),"")</f>
        <v/>
      </c>
      <c r="E178" s="6" t="str">
        <f aca="false">IFERROR(IF(A178="","",SUMIFS(Movimientos!E:E, Movimientos!D:D, A178, Movimientos!C:C, "Ingreso", Movimientos!G:G, "TIN")+SUMIFS(Movimientos!E:E, Movimientos!D:D, A178, Movimientos!C:C, "Traslado", Movimientos!G:G, "TIN")-SUMIFS(Movimientos!E:E, Movimientos!D:D, A178, Movimientos!C:C, "Traslado", Movimientos!F:F, "TIN")-SUMIFS(Movimientos!E:E, Movimientos!D:D, A178, Movimientos!C:C, "Egreso", Movimientos!F:F, "TIN")+SUMIFS(Movimientos!E:E, Movimientos!D:D, A178, Movimientos!C:C, "Ajuste", Movimientos!F:F, "TIN")),"")</f>
        <v/>
      </c>
      <c r="F178" s="6" t="str">
        <f aca="false">IFERROR(IF(A178="","",SUMIFS(Movimientos!E:E, Movimientos!D:D, A178, Movimientos!C:C, "Ingreso", Movimientos!G:G, "G1000")+SUMIFS(Movimientos!E:E, Movimientos!D:D, A178, Movimientos!C:C, "Traslado", Movimientos!G:G, "G1000")-SUMIFS(Movimientos!E:E, Movimientos!D:D, A178, Movimientos!C:C, "Traslado", Movimientos!F:F, "G1000")-SUMIFS(Movimientos!E:E, Movimientos!D:D, A178, Movimientos!C:C, "Egreso", Movimientos!F:F, "G1000")+SUMIFS(Movimientos!E:E, Movimientos!D:D, A178, Movimientos!C:C, "Ajuste", Movimientos!F:F, "G1000")),"")</f>
        <v/>
      </c>
      <c r="G178" s="6" t="str">
        <f aca="false">IFERROR(IF(A178="","",SUMIFS(Movimientos!E:E, Movimientos!D:D, A178, Movimientos!C:C, "Ingreso", Movimientos!G:G, "G710")+SUMIFS(Movimientos!E:E, Movimientos!D:D, A178, Movimientos!C:C, "Traslado", Movimientos!G:G, "G710")-SUMIFS(Movimientos!E:E, Movimientos!D:D, A178, Movimientos!C:C, "Traslado", Movimientos!F:F, "G710")-SUMIFS(Movimientos!E:E, Movimientos!D:D, A178, Movimientos!C:C, "Egreso", Movimientos!F:F, "G710")+SUMIFS(Movimientos!E:E, Movimientos!D:D, A178, Movimientos!C:C, "Ajuste", Movimientos!F:F, "G710")),"")</f>
        <v/>
      </c>
      <c r="H178" s="6" t="str">
        <f aca="false">IFERROR(IF(A178="","",SUMIFS(Movimientos!E:E, Movimientos!D:D, A178, Movimientos!C:C, "Ingreso", Movimientos!G:G, "G5000")+SUMIFS(Movimientos!E:E, Movimientos!D:D, A178, Movimientos!C:C, "Traslado", Movimientos!G:G, "G5000")-SUMIFS(Movimientos!E:E, Movimientos!D:D, A178, Movimientos!C:C, "Traslado", Movimientos!F:F, "G5000")-SUMIFS(Movimientos!E:E, Movimientos!D:D, A178, Movimientos!C:C, "Egreso", Movimientos!F:F, "G5000")+SUMIFS(Movimientos!E:E, Movimientos!D:D, A178, Movimientos!C:C, "Ajuste", Movimientos!F:F, "G5000")),"")</f>
        <v/>
      </c>
      <c r="I178" s="6" t="str">
        <f aca="false">IFERROR(IF(A178="","",SUMIFS(Movimientos!E:E, Movimientos!D:D, A178, Movimientos!C:C, "Ingreso", Movimientos!G:G, "G3")+SUMIFS(Movimientos!E:E, Movimientos!D:D, A178, Movimientos!C:C, "Traslado", Movimientos!G:G, "G3")-SUMIFS(Movimientos!E:E, Movimientos!D:D, A178, Movimientos!C:C, "Traslado", Movimientos!F:F, "G3")-SUMIFS(Movimientos!E:E, Movimientos!D:D, A178, Movimientos!C:C, "Egreso", Movimientos!F:F, "G3")+SUMIFS(Movimientos!E:E, Movimientos!D:D, A178, Movimientos!C:C, "Ajuste", Movimientos!F:F, "G3")),"")</f>
        <v/>
      </c>
      <c r="J178" s="6" t="str">
        <f aca="false">IFERROR(IF(A178="","",SUM(E178:I178)),"")</f>
        <v/>
      </c>
      <c r="K178" s="6" t="str">
        <f aca="false">IFERROR(IF(A178="","",SUMIFS(Movimientos!E:E, Movimientos!D:D, A178, Movimientos!C:C, "Reserva")-SUMIFS(Movimientos!E:E, Movimientos!D:D, A178, Movimientos!C:C, "Libera_Reserva")),"")</f>
        <v/>
      </c>
      <c r="L178" s="6" t="str">
        <f aca="false">IFERROR(IF(A178="","",J178-K178),"")</f>
        <v/>
      </c>
      <c r="M178" s="6" t="str">
        <f aca="false">IFERROR(IF(Productos!A178="","",Productos!G178),"")</f>
        <v/>
      </c>
      <c r="N178" s="6" t="str">
        <f aca="false">IFERROR(IF(A178="","",IF(L178&lt;M178,"BAJO STOCK","OK")),"")</f>
        <v/>
      </c>
    </row>
    <row r="179" customFormat="false" ht="15" hidden="false" customHeight="false" outlineLevel="0" collapsed="false">
      <c r="A179" s="0" t="str">
        <f aca="false">IFERROR(IF(Productos!A179="","",Productos!A179),"")</f>
        <v/>
      </c>
      <c r="B179" s="0" t="str">
        <f aca="false">IFERROR(IF(Productos!A179="","",Productos!B179),"")</f>
        <v/>
      </c>
      <c r="C179" s="0" t="str">
        <f aca="false">IFERROR(IF(Productos!A179="","",Productos!C179),"")</f>
        <v/>
      </c>
      <c r="D179" s="0" t="str">
        <f aca="false">IFERROR(IF(Productos!A179="","",Productos!E179),"")</f>
        <v/>
      </c>
      <c r="E179" s="6" t="str">
        <f aca="false">IFERROR(IF(A179="","",SUMIFS(Movimientos!E:E, Movimientos!D:D, A179, Movimientos!C:C, "Ingreso", Movimientos!G:G, "TIN")+SUMIFS(Movimientos!E:E, Movimientos!D:D, A179, Movimientos!C:C, "Traslado", Movimientos!G:G, "TIN")-SUMIFS(Movimientos!E:E, Movimientos!D:D, A179, Movimientos!C:C, "Traslado", Movimientos!F:F, "TIN")-SUMIFS(Movimientos!E:E, Movimientos!D:D, A179, Movimientos!C:C, "Egreso", Movimientos!F:F, "TIN")+SUMIFS(Movimientos!E:E, Movimientos!D:D, A179, Movimientos!C:C, "Ajuste", Movimientos!F:F, "TIN")),"")</f>
        <v/>
      </c>
      <c r="F179" s="6" t="str">
        <f aca="false">IFERROR(IF(A179="","",SUMIFS(Movimientos!E:E, Movimientos!D:D, A179, Movimientos!C:C, "Ingreso", Movimientos!G:G, "G1000")+SUMIFS(Movimientos!E:E, Movimientos!D:D, A179, Movimientos!C:C, "Traslado", Movimientos!G:G, "G1000")-SUMIFS(Movimientos!E:E, Movimientos!D:D, A179, Movimientos!C:C, "Traslado", Movimientos!F:F, "G1000")-SUMIFS(Movimientos!E:E, Movimientos!D:D, A179, Movimientos!C:C, "Egreso", Movimientos!F:F, "G1000")+SUMIFS(Movimientos!E:E, Movimientos!D:D, A179, Movimientos!C:C, "Ajuste", Movimientos!F:F, "G1000")),"")</f>
        <v/>
      </c>
      <c r="G179" s="6" t="str">
        <f aca="false">IFERROR(IF(A179="","",SUMIFS(Movimientos!E:E, Movimientos!D:D, A179, Movimientos!C:C, "Ingreso", Movimientos!G:G, "G710")+SUMIFS(Movimientos!E:E, Movimientos!D:D, A179, Movimientos!C:C, "Traslado", Movimientos!G:G, "G710")-SUMIFS(Movimientos!E:E, Movimientos!D:D, A179, Movimientos!C:C, "Traslado", Movimientos!F:F, "G710")-SUMIFS(Movimientos!E:E, Movimientos!D:D, A179, Movimientos!C:C, "Egreso", Movimientos!F:F, "G710")+SUMIFS(Movimientos!E:E, Movimientos!D:D, A179, Movimientos!C:C, "Ajuste", Movimientos!F:F, "G710")),"")</f>
        <v/>
      </c>
      <c r="H179" s="6" t="str">
        <f aca="false">IFERROR(IF(A179="","",SUMIFS(Movimientos!E:E, Movimientos!D:D, A179, Movimientos!C:C, "Ingreso", Movimientos!G:G, "G5000")+SUMIFS(Movimientos!E:E, Movimientos!D:D, A179, Movimientos!C:C, "Traslado", Movimientos!G:G, "G5000")-SUMIFS(Movimientos!E:E, Movimientos!D:D, A179, Movimientos!C:C, "Traslado", Movimientos!F:F, "G5000")-SUMIFS(Movimientos!E:E, Movimientos!D:D, A179, Movimientos!C:C, "Egreso", Movimientos!F:F, "G5000")+SUMIFS(Movimientos!E:E, Movimientos!D:D, A179, Movimientos!C:C, "Ajuste", Movimientos!F:F, "G5000")),"")</f>
        <v/>
      </c>
      <c r="I179" s="6" t="str">
        <f aca="false">IFERROR(IF(A179="","",SUMIFS(Movimientos!E:E, Movimientos!D:D, A179, Movimientos!C:C, "Ingreso", Movimientos!G:G, "G3")+SUMIFS(Movimientos!E:E, Movimientos!D:D, A179, Movimientos!C:C, "Traslado", Movimientos!G:G, "G3")-SUMIFS(Movimientos!E:E, Movimientos!D:D, A179, Movimientos!C:C, "Traslado", Movimientos!F:F, "G3")-SUMIFS(Movimientos!E:E, Movimientos!D:D, A179, Movimientos!C:C, "Egreso", Movimientos!F:F, "G3")+SUMIFS(Movimientos!E:E, Movimientos!D:D, A179, Movimientos!C:C, "Ajuste", Movimientos!F:F, "G3")),"")</f>
        <v/>
      </c>
      <c r="J179" s="6" t="str">
        <f aca="false">IFERROR(IF(A179="","",SUM(E179:I179)),"")</f>
        <v/>
      </c>
      <c r="K179" s="6" t="str">
        <f aca="false">IFERROR(IF(A179="","",SUMIFS(Movimientos!E:E, Movimientos!D:D, A179, Movimientos!C:C, "Reserva")-SUMIFS(Movimientos!E:E, Movimientos!D:D, A179, Movimientos!C:C, "Libera_Reserva")),"")</f>
        <v/>
      </c>
      <c r="L179" s="6" t="str">
        <f aca="false">IFERROR(IF(A179="","",J179-K179),"")</f>
        <v/>
      </c>
      <c r="M179" s="6" t="str">
        <f aca="false">IFERROR(IF(Productos!A179="","",Productos!G179),"")</f>
        <v/>
      </c>
      <c r="N179" s="6" t="str">
        <f aca="false">IFERROR(IF(A179="","",IF(L179&lt;M179,"BAJO STOCK","OK")),"")</f>
        <v/>
      </c>
    </row>
    <row r="180" customFormat="false" ht="15" hidden="false" customHeight="false" outlineLevel="0" collapsed="false">
      <c r="A180" s="0" t="str">
        <f aca="false">IFERROR(IF(Productos!A180="","",Productos!A180),"")</f>
        <v/>
      </c>
      <c r="B180" s="0" t="str">
        <f aca="false">IFERROR(IF(Productos!A180="","",Productos!B180),"")</f>
        <v/>
      </c>
      <c r="C180" s="0" t="str">
        <f aca="false">IFERROR(IF(Productos!A180="","",Productos!C180),"")</f>
        <v/>
      </c>
      <c r="D180" s="0" t="str">
        <f aca="false">IFERROR(IF(Productos!A180="","",Productos!E180),"")</f>
        <v/>
      </c>
      <c r="E180" s="6" t="str">
        <f aca="false">IFERROR(IF(A180="","",SUMIFS(Movimientos!E:E, Movimientos!D:D, A180, Movimientos!C:C, "Ingreso", Movimientos!G:G, "TIN")+SUMIFS(Movimientos!E:E, Movimientos!D:D, A180, Movimientos!C:C, "Traslado", Movimientos!G:G, "TIN")-SUMIFS(Movimientos!E:E, Movimientos!D:D, A180, Movimientos!C:C, "Traslado", Movimientos!F:F, "TIN")-SUMIFS(Movimientos!E:E, Movimientos!D:D, A180, Movimientos!C:C, "Egreso", Movimientos!F:F, "TIN")+SUMIFS(Movimientos!E:E, Movimientos!D:D, A180, Movimientos!C:C, "Ajuste", Movimientos!F:F, "TIN")),"")</f>
        <v/>
      </c>
      <c r="F180" s="6" t="str">
        <f aca="false">IFERROR(IF(A180="","",SUMIFS(Movimientos!E:E, Movimientos!D:D, A180, Movimientos!C:C, "Ingreso", Movimientos!G:G, "G1000")+SUMIFS(Movimientos!E:E, Movimientos!D:D, A180, Movimientos!C:C, "Traslado", Movimientos!G:G, "G1000")-SUMIFS(Movimientos!E:E, Movimientos!D:D, A180, Movimientos!C:C, "Traslado", Movimientos!F:F, "G1000")-SUMIFS(Movimientos!E:E, Movimientos!D:D, A180, Movimientos!C:C, "Egreso", Movimientos!F:F, "G1000")+SUMIFS(Movimientos!E:E, Movimientos!D:D, A180, Movimientos!C:C, "Ajuste", Movimientos!F:F, "G1000")),"")</f>
        <v/>
      </c>
      <c r="G180" s="6" t="str">
        <f aca="false">IFERROR(IF(A180="","",SUMIFS(Movimientos!E:E, Movimientos!D:D, A180, Movimientos!C:C, "Ingreso", Movimientos!G:G, "G710")+SUMIFS(Movimientos!E:E, Movimientos!D:D, A180, Movimientos!C:C, "Traslado", Movimientos!G:G, "G710")-SUMIFS(Movimientos!E:E, Movimientos!D:D, A180, Movimientos!C:C, "Traslado", Movimientos!F:F, "G710")-SUMIFS(Movimientos!E:E, Movimientos!D:D, A180, Movimientos!C:C, "Egreso", Movimientos!F:F, "G710")+SUMIFS(Movimientos!E:E, Movimientos!D:D, A180, Movimientos!C:C, "Ajuste", Movimientos!F:F, "G710")),"")</f>
        <v/>
      </c>
      <c r="H180" s="6" t="str">
        <f aca="false">IFERROR(IF(A180="","",SUMIFS(Movimientos!E:E, Movimientos!D:D, A180, Movimientos!C:C, "Ingreso", Movimientos!G:G, "G5000")+SUMIFS(Movimientos!E:E, Movimientos!D:D, A180, Movimientos!C:C, "Traslado", Movimientos!G:G, "G5000")-SUMIFS(Movimientos!E:E, Movimientos!D:D, A180, Movimientos!C:C, "Traslado", Movimientos!F:F, "G5000")-SUMIFS(Movimientos!E:E, Movimientos!D:D, A180, Movimientos!C:C, "Egreso", Movimientos!F:F, "G5000")+SUMIFS(Movimientos!E:E, Movimientos!D:D, A180, Movimientos!C:C, "Ajuste", Movimientos!F:F, "G5000")),"")</f>
        <v/>
      </c>
      <c r="I180" s="6" t="str">
        <f aca="false">IFERROR(IF(A180="","",SUMIFS(Movimientos!E:E, Movimientos!D:D, A180, Movimientos!C:C, "Ingreso", Movimientos!G:G, "G3")+SUMIFS(Movimientos!E:E, Movimientos!D:D, A180, Movimientos!C:C, "Traslado", Movimientos!G:G, "G3")-SUMIFS(Movimientos!E:E, Movimientos!D:D, A180, Movimientos!C:C, "Traslado", Movimientos!F:F, "G3")-SUMIFS(Movimientos!E:E, Movimientos!D:D, A180, Movimientos!C:C, "Egreso", Movimientos!F:F, "G3")+SUMIFS(Movimientos!E:E, Movimientos!D:D, A180, Movimientos!C:C, "Ajuste", Movimientos!F:F, "G3")),"")</f>
        <v/>
      </c>
      <c r="J180" s="6" t="str">
        <f aca="false">IFERROR(IF(A180="","",SUM(E180:I180)),"")</f>
        <v/>
      </c>
      <c r="K180" s="6" t="str">
        <f aca="false">IFERROR(IF(A180="","",SUMIFS(Movimientos!E:E, Movimientos!D:D, A180, Movimientos!C:C, "Reserva")-SUMIFS(Movimientos!E:E, Movimientos!D:D, A180, Movimientos!C:C, "Libera_Reserva")),"")</f>
        <v/>
      </c>
      <c r="L180" s="6" t="str">
        <f aca="false">IFERROR(IF(A180="","",J180-K180),"")</f>
        <v/>
      </c>
      <c r="M180" s="6" t="str">
        <f aca="false">IFERROR(IF(Productos!A180="","",Productos!G180),"")</f>
        <v/>
      </c>
      <c r="N180" s="6" t="str">
        <f aca="false">IFERROR(IF(A180="","",IF(L180&lt;M180,"BAJO STOCK","OK")),"")</f>
        <v/>
      </c>
    </row>
    <row r="181" customFormat="false" ht="15" hidden="false" customHeight="false" outlineLevel="0" collapsed="false">
      <c r="A181" s="0" t="str">
        <f aca="false">IFERROR(IF(Productos!A181="","",Productos!A181),"")</f>
        <v/>
      </c>
      <c r="B181" s="0" t="str">
        <f aca="false">IFERROR(IF(Productos!A181="","",Productos!B181),"")</f>
        <v/>
      </c>
      <c r="C181" s="0" t="str">
        <f aca="false">IFERROR(IF(Productos!A181="","",Productos!C181),"")</f>
        <v/>
      </c>
      <c r="D181" s="0" t="str">
        <f aca="false">IFERROR(IF(Productos!A181="","",Productos!E181),"")</f>
        <v/>
      </c>
      <c r="E181" s="6" t="str">
        <f aca="false">IFERROR(IF(A181="","",SUMIFS(Movimientos!E:E, Movimientos!D:D, A181, Movimientos!C:C, "Ingreso", Movimientos!G:G, "TIN")+SUMIFS(Movimientos!E:E, Movimientos!D:D, A181, Movimientos!C:C, "Traslado", Movimientos!G:G, "TIN")-SUMIFS(Movimientos!E:E, Movimientos!D:D, A181, Movimientos!C:C, "Traslado", Movimientos!F:F, "TIN")-SUMIFS(Movimientos!E:E, Movimientos!D:D, A181, Movimientos!C:C, "Egreso", Movimientos!F:F, "TIN")+SUMIFS(Movimientos!E:E, Movimientos!D:D, A181, Movimientos!C:C, "Ajuste", Movimientos!F:F, "TIN")),"")</f>
        <v/>
      </c>
      <c r="F181" s="6" t="str">
        <f aca="false">IFERROR(IF(A181="","",SUMIFS(Movimientos!E:E, Movimientos!D:D, A181, Movimientos!C:C, "Ingreso", Movimientos!G:G, "G1000")+SUMIFS(Movimientos!E:E, Movimientos!D:D, A181, Movimientos!C:C, "Traslado", Movimientos!G:G, "G1000")-SUMIFS(Movimientos!E:E, Movimientos!D:D, A181, Movimientos!C:C, "Traslado", Movimientos!F:F, "G1000")-SUMIFS(Movimientos!E:E, Movimientos!D:D, A181, Movimientos!C:C, "Egreso", Movimientos!F:F, "G1000")+SUMIFS(Movimientos!E:E, Movimientos!D:D, A181, Movimientos!C:C, "Ajuste", Movimientos!F:F, "G1000")),"")</f>
        <v/>
      </c>
      <c r="G181" s="6" t="str">
        <f aca="false">IFERROR(IF(A181="","",SUMIFS(Movimientos!E:E, Movimientos!D:D, A181, Movimientos!C:C, "Ingreso", Movimientos!G:G, "G710")+SUMIFS(Movimientos!E:E, Movimientos!D:D, A181, Movimientos!C:C, "Traslado", Movimientos!G:G, "G710")-SUMIFS(Movimientos!E:E, Movimientos!D:D, A181, Movimientos!C:C, "Traslado", Movimientos!F:F, "G710")-SUMIFS(Movimientos!E:E, Movimientos!D:D, A181, Movimientos!C:C, "Egreso", Movimientos!F:F, "G710")+SUMIFS(Movimientos!E:E, Movimientos!D:D, A181, Movimientos!C:C, "Ajuste", Movimientos!F:F, "G710")),"")</f>
        <v/>
      </c>
      <c r="H181" s="6" t="str">
        <f aca="false">IFERROR(IF(A181="","",SUMIFS(Movimientos!E:E, Movimientos!D:D, A181, Movimientos!C:C, "Ingreso", Movimientos!G:G, "G5000")+SUMIFS(Movimientos!E:E, Movimientos!D:D, A181, Movimientos!C:C, "Traslado", Movimientos!G:G, "G5000")-SUMIFS(Movimientos!E:E, Movimientos!D:D, A181, Movimientos!C:C, "Traslado", Movimientos!F:F, "G5000")-SUMIFS(Movimientos!E:E, Movimientos!D:D, A181, Movimientos!C:C, "Egreso", Movimientos!F:F, "G5000")+SUMIFS(Movimientos!E:E, Movimientos!D:D, A181, Movimientos!C:C, "Ajuste", Movimientos!F:F, "G5000")),"")</f>
        <v/>
      </c>
      <c r="I181" s="6" t="str">
        <f aca="false">IFERROR(IF(A181="","",SUMIFS(Movimientos!E:E, Movimientos!D:D, A181, Movimientos!C:C, "Ingreso", Movimientos!G:G, "G3")+SUMIFS(Movimientos!E:E, Movimientos!D:D, A181, Movimientos!C:C, "Traslado", Movimientos!G:G, "G3")-SUMIFS(Movimientos!E:E, Movimientos!D:D, A181, Movimientos!C:C, "Traslado", Movimientos!F:F, "G3")-SUMIFS(Movimientos!E:E, Movimientos!D:D, A181, Movimientos!C:C, "Egreso", Movimientos!F:F, "G3")+SUMIFS(Movimientos!E:E, Movimientos!D:D, A181, Movimientos!C:C, "Ajuste", Movimientos!F:F, "G3")),"")</f>
        <v/>
      </c>
      <c r="J181" s="6" t="str">
        <f aca="false">IFERROR(IF(A181="","",SUM(E181:I181)),"")</f>
        <v/>
      </c>
      <c r="K181" s="6" t="str">
        <f aca="false">IFERROR(IF(A181="","",SUMIFS(Movimientos!E:E, Movimientos!D:D, A181, Movimientos!C:C, "Reserva")-SUMIFS(Movimientos!E:E, Movimientos!D:D, A181, Movimientos!C:C, "Libera_Reserva")),"")</f>
        <v/>
      </c>
      <c r="L181" s="6" t="str">
        <f aca="false">IFERROR(IF(A181="","",J181-K181),"")</f>
        <v/>
      </c>
      <c r="M181" s="6" t="str">
        <f aca="false">IFERROR(IF(Productos!A181="","",Productos!G181),"")</f>
        <v/>
      </c>
      <c r="N181" s="6" t="str">
        <f aca="false">IFERROR(IF(A181="","",IF(L181&lt;M181,"BAJO STOCK","OK")),"")</f>
        <v/>
      </c>
    </row>
    <row r="182" customFormat="false" ht="15" hidden="false" customHeight="false" outlineLevel="0" collapsed="false">
      <c r="A182" s="0" t="str">
        <f aca="false">IFERROR(IF(Productos!A182="","",Productos!A182),"")</f>
        <v/>
      </c>
      <c r="B182" s="0" t="str">
        <f aca="false">IFERROR(IF(Productos!A182="","",Productos!B182),"")</f>
        <v/>
      </c>
      <c r="C182" s="0" t="str">
        <f aca="false">IFERROR(IF(Productos!A182="","",Productos!C182),"")</f>
        <v/>
      </c>
      <c r="D182" s="0" t="str">
        <f aca="false">IFERROR(IF(Productos!A182="","",Productos!E182),"")</f>
        <v/>
      </c>
      <c r="E182" s="6" t="str">
        <f aca="false">IFERROR(IF(A182="","",SUMIFS(Movimientos!E:E, Movimientos!D:D, A182, Movimientos!C:C, "Ingreso", Movimientos!G:G, "TIN")+SUMIFS(Movimientos!E:E, Movimientos!D:D, A182, Movimientos!C:C, "Traslado", Movimientos!G:G, "TIN")-SUMIFS(Movimientos!E:E, Movimientos!D:D, A182, Movimientos!C:C, "Traslado", Movimientos!F:F, "TIN")-SUMIFS(Movimientos!E:E, Movimientos!D:D, A182, Movimientos!C:C, "Egreso", Movimientos!F:F, "TIN")+SUMIFS(Movimientos!E:E, Movimientos!D:D, A182, Movimientos!C:C, "Ajuste", Movimientos!F:F, "TIN")),"")</f>
        <v/>
      </c>
      <c r="F182" s="6" t="str">
        <f aca="false">IFERROR(IF(A182="","",SUMIFS(Movimientos!E:E, Movimientos!D:D, A182, Movimientos!C:C, "Ingreso", Movimientos!G:G, "G1000")+SUMIFS(Movimientos!E:E, Movimientos!D:D, A182, Movimientos!C:C, "Traslado", Movimientos!G:G, "G1000")-SUMIFS(Movimientos!E:E, Movimientos!D:D, A182, Movimientos!C:C, "Traslado", Movimientos!F:F, "G1000")-SUMIFS(Movimientos!E:E, Movimientos!D:D, A182, Movimientos!C:C, "Egreso", Movimientos!F:F, "G1000")+SUMIFS(Movimientos!E:E, Movimientos!D:D, A182, Movimientos!C:C, "Ajuste", Movimientos!F:F, "G1000")),"")</f>
        <v/>
      </c>
      <c r="G182" s="6" t="str">
        <f aca="false">IFERROR(IF(A182="","",SUMIFS(Movimientos!E:E, Movimientos!D:D, A182, Movimientos!C:C, "Ingreso", Movimientos!G:G, "G710")+SUMIFS(Movimientos!E:E, Movimientos!D:D, A182, Movimientos!C:C, "Traslado", Movimientos!G:G, "G710")-SUMIFS(Movimientos!E:E, Movimientos!D:D, A182, Movimientos!C:C, "Traslado", Movimientos!F:F, "G710")-SUMIFS(Movimientos!E:E, Movimientos!D:D, A182, Movimientos!C:C, "Egreso", Movimientos!F:F, "G710")+SUMIFS(Movimientos!E:E, Movimientos!D:D, A182, Movimientos!C:C, "Ajuste", Movimientos!F:F, "G710")),"")</f>
        <v/>
      </c>
      <c r="H182" s="6" t="str">
        <f aca="false">IFERROR(IF(A182="","",SUMIFS(Movimientos!E:E, Movimientos!D:D, A182, Movimientos!C:C, "Ingreso", Movimientos!G:G, "G5000")+SUMIFS(Movimientos!E:E, Movimientos!D:D, A182, Movimientos!C:C, "Traslado", Movimientos!G:G, "G5000")-SUMIFS(Movimientos!E:E, Movimientos!D:D, A182, Movimientos!C:C, "Traslado", Movimientos!F:F, "G5000")-SUMIFS(Movimientos!E:E, Movimientos!D:D, A182, Movimientos!C:C, "Egreso", Movimientos!F:F, "G5000")+SUMIFS(Movimientos!E:E, Movimientos!D:D, A182, Movimientos!C:C, "Ajuste", Movimientos!F:F, "G5000")),"")</f>
        <v/>
      </c>
      <c r="I182" s="6" t="str">
        <f aca="false">IFERROR(IF(A182="","",SUMIFS(Movimientos!E:E, Movimientos!D:D, A182, Movimientos!C:C, "Ingreso", Movimientos!G:G, "G3")+SUMIFS(Movimientos!E:E, Movimientos!D:D, A182, Movimientos!C:C, "Traslado", Movimientos!G:G, "G3")-SUMIFS(Movimientos!E:E, Movimientos!D:D, A182, Movimientos!C:C, "Traslado", Movimientos!F:F, "G3")-SUMIFS(Movimientos!E:E, Movimientos!D:D, A182, Movimientos!C:C, "Egreso", Movimientos!F:F, "G3")+SUMIFS(Movimientos!E:E, Movimientos!D:D, A182, Movimientos!C:C, "Ajuste", Movimientos!F:F, "G3")),"")</f>
        <v/>
      </c>
      <c r="J182" s="6" t="str">
        <f aca="false">IFERROR(IF(A182="","",SUM(E182:I182)),"")</f>
        <v/>
      </c>
      <c r="K182" s="6" t="str">
        <f aca="false">IFERROR(IF(A182="","",SUMIFS(Movimientos!E:E, Movimientos!D:D, A182, Movimientos!C:C, "Reserva")-SUMIFS(Movimientos!E:E, Movimientos!D:D, A182, Movimientos!C:C, "Libera_Reserva")),"")</f>
        <v/>
      </c>
      <c r="L182" s="6" t="str">
        <f aca="false">IFERROR(IF(A182="","",J182-K182),"")</f>
        <v/>
      </c>
      <c r="M182" s="6" t="str">
        <f aca="false">IFERROR(IF(Productos!A182="","",Productos!G182),"")</f>
        <v/>
      </c>
      <c r="N182" s="6" t="str">
        <f aca="false">IFERROR(IF(A182="","",IF(L182&lt;M182,"BAJO STOCK","OK")),"")</f>
        <v/>
      </c>
    </row>
    <row r="183" customFormat="false" ht="15" hidden="false" customHeight="false" outlineLevel="0" collapsed="false">
      <c r="A183" s="0" t="str">
        <f aca="false">IFERROR(IF(Productos!A183="","",Productos!A183),"")</f>
        <v/>
      </c>
      <c r="B183" s="0" t="str">
        <f aca="false">IFERROR(IF(Productos!A183="","",Productos!B183),"")</f>
        <v/>
      </c>
      <c r="C183" s="0" t="str">
        <f aca="false">IFERROR(IF(Productos!A183="","",Productos!C183),"")</f>
        <v/>
      </c>
      <c r="D183" s="0" t="str">
        <f aca="false">IFERROR(IF(Productos!A183="","",Productos!E183),"")</f>
        <v/>
      </c>
      <c r="E183" s="6" t="str">
        <f aca="false">IFERROR(IF(A183="","",SUMIFS(Movimientos!E:E, Movimientos!D:D, A183, Movimientos!C:C, "Ingreso", Movimientos!G:G, "TIN")+SUMIFS(Movimientos!E:E, Movimientos!D:D, A183, Movimientos!C:C, "Traslado", Movimientos!G:G, "TIN")-SUMIFS(Movimientos!E:E, Movimientos!D:D, A183, Movimientos!C:C, "Traslado", Movimientos!F:F, "TIN")-SUMIFS(Movimientos!E:E, Movimientos!D:D, A183, Movimientos!C:C, "Egreso", Movimientos!F:F, "TIN")+SUMIFS(Movimientos!E:E, Movimientos!D:D, A183, Movimientos!C:C, "Ajuste", Movimientos!F:F, "TIN")),"")</f>
        <v/>
      </c>
      <c r="F183" s="6" t="str">
        <f aca="false">IFERROR(IF(A183="","",SUMIFS(Movimientos!E:E, Movimientos!D:D, A183, Movimientos!C:C, "Ingreso", Movimientos!G:G, "G1000")+SUMIFS(Movimientos!E:E, Movimientos!D:D, A183, Movimientos!C:C, "Traslado", Movimientos!G:G, "G1000")-SUMIFS(Movimientos!E:E, Movimientos!D:D, A183, Movimientos!C:C, "Traslado", Movimientos!F:F, "G1000")-SUMIFS(Movimientos!E:E, Movimientos!D:D, A183, Movimientos!C:C, "Egreso", Movimientos!F:F, "G1000")+SUMIFS(Movimientos!E:E, Movimientos!D:D, A183, Movimientos!C:C, "Ajuste", Movimientos!F:F, "G1000")),"")</f>
        <v/>
      </c>
      <c r="G183" s="6" t="str">
        <f aca="false">IFERROR(IF(A183="","",SUMIFS(Movimientos!E:E, Movimientos!D:D, A183, Movimientos!C:C, "Ingreso", Movimientos!G:G, "G710")+SUMIFS(Movimientos!E:E, Movimientos!D:D, A183, Movimientos!C:C, "Traslado", Movimientos!G:G, "G710")-SUMIFS(Movimientos!E:E, Movimientos!D:D, A183, Movimientos!C:C, "Traslado", Movimientos!F:F, "G710")-SUMIFS(Movimientos!E:E, Movimientos!D:D, A183, Movimientos!C:C, "Egreso", Movimientos!F:F, "G710")+SUMIFS(Movimientos!E:E, Movimientos!D:D, A183, Movimientos!C:C, "Ajuste", Movimientos!F:F, "G710")),"")</f>
        <v/>
      </c>
      <c r="H183" s="6" t="str">
        <f aca="false">IFERROR(IF(A183="","",SUMIFS(Movimientos!E:E, Movimientos!D:D, A183, Movimientos!C:C, "Ingreso", Movimientos!G:G, "G5000")+SUMIFS(Movimientos!E:E, Movimientos!D:D, A183, Movimientos!C:C, "Traslado", Movimientos!G:G, "G5000")-SUMIFS(Movimientos!E:E, Movimientos!D:D, A183, Movimientos!C:C, "Traslado", Movimientos!F:F, "G5000")-SUMIFS(Movimientos!E:E, Movimientos!D:D, A183, Movimientos!C:C, "Egreso", Movimientos!F:F, "G5000")+SUMIFS(Movimientos!E:E, Movimientos!D:D, A183, Movimientos!C:C, "Ajuste", Movimientos!F:F, "G5000")),"")</f>
        <v/>
      </c>
      <c r="I183" s="6" t="str">
        <f aca="false">IFERROR(IF(A183="","",SUMIFS(Movimientos!E:E, Movimientos!D:D, A183, Movimientos!C:C, "Ingreso", Movimientos!G:G, "G3")+SUMIFS(Movimientos!E:E, Movimientos!D:D, A183, Movimientos!C:C, "Traslado", Movimientos!G:G, "G3")-SUMIFS(Movimientos!E:E, Movimientos!D:D, A183, Movimientos!C:C, "Traslado", Movimientos!F:F, "G3")-SUMIFS(Movimientos!E:E, Movimientos!D:D, A183, Movimientos!C:C, "Egreso", Movimientos!F:F, "G3")+SUMIFS(Movimientos!E:E, Movimientos!D:D, A183, Movimientos!C:C, "Ajuste", Movimientos!F:F, "G3")),"")</f>
        <v/>
      </c>
      <c r="J183" s="6" t="str">
        <f aca="false">IFERROR(IF(A183="","",SUM(E183:I183)),"")</f>
        <v/>
      </c>
      <c r="K183" s="6" t="str">
        <f aca="false">IFERROR(IF(A183="","",SUMIFS(Movimientos!E:E, Movimientos!D:D, A183, Movimientos!C:C, "Reserva")-SUMIFS(Movimientos!E:E, Movimientos!D:D, A183, Movimientos!C:C, "Libera_Reserva")),"")</f>
        <v/>
      </c>
      <c r="L183" s="6" t="str">
        <f aca="false">IFERROR(IF(A183="","",J183-K183),"")</f>
        <v/>
      </c>
      <c r="M183" s="6" t="str">
        <f aca="false">IFERROR(IF(Productos!A183="","",Productos!G183),"")</f>
        <v/>
      </c>
      <c r="N183" s="6" t="str">
        <f aca="false">IFERROR(IF(A183="","",IF(L183&lt;M183,"BAJO STOCK","OK")),"")</f>
        <v/>
      </c>
    </row>
    <row r="184" customFormat="false" ht="15" hidden="false" customHeight="false" outlineLevel="0" collapsed="false">
      <c r="A184" s="0" t="str">
        <f aca="false">IFERROR(IF(Productos!A184="","",Productos!A184),"")</f>
        <v/>
      </c>
      <c r="B184" s="0" t="str">
        <f aca="false">IFERROR(IF(Productos!A184="","",Productos!B184),"")</f>
        <v/>
      </c>
      <c r="C184" s="0" t="str">
        <f aca="false">IFERROR(IF(Productos!A184="","",Productos!C184),"")</f>
        <v/>
      </c>
      <c r="D184" s="0" t="str">
        <f aca="false">IFERROR(IF(Productos!A184="","",Productos!E184),"")</f>
        <v/>
      </c>
      <c r="E184" s="6" t="str">
        <f aca="false">IFERROR(IF(A184="","",SUMIFS(Movimientos!E:E, Movimientos!D:D, A184, Movimientos!C:C, "Ingreso", Movimientos!G:G, "TIN")+SUMIFS(Movimientos!E:E, Movimientos!D:D, A184, Movimientos!C:C, "Traslado", Movimientos!G:G, "TIN")-SUMIFS(Movimientos!E:E, Movimientos!D:D, A184, Movimientos!C:C, "Traslado", Movimientos!F:F, "TIN")-SUMIFS(Movimientos!E:E, Movimientos!D:D, A184, Movimientos!C:C, "Egreso", Movimientos!F:F, "TIN")+SUMIFS(Movimientos!E:E, Movimientos!D:D, A184, Movimientos!C:C, "Ajuste", Movimientos!F:F, "TIN")),"")</f>
        <v/>
      </c>
      <c r="F184" s="6" t="str">
        <f aca="false">IFERROR(IF(A184="","",SUMIFS(Movimientos!E:E, Movimientos!D:D, A184, Movimientos!C:C, "Ingreso", Movimientos!G:G, "G1000")+SUMIFS(Movimientos!E:E, Movimientos!D:D, A184, Movimientos!C:C, "Traslado", Movimientos!G:G, "G1000")-SUMIFS(Movimientos!E:E, Movimientos!D:D, A184, Movimientos!C:C, "Traslado", Movimientos!F:F, "G1000")-SUMIFS(Movimientos!E:E, Movimientos!D:D, A184, Movimientos!C:C, "Egreso", Movimientos!F:F, "G1000")+SUMIFS(Movimientos!E:E, Movimientos!D:D, A184, Movimientos!C:C, "Ajuste", Movimientos!F:F, "G1000")),"")</f>
        <v/>
      </c>
      <c r="G184" s="6" t="str">
        <f aca="false">IFERROR(IF(A184="","",SUMIFS(Movimientos!E:E, Movimientos!D:D, A184, Movimientos!C:C, "Ingreso", Movimientos!G:G, "G710")+SUMIFS(Movimientos!E:E, Movimientos!D:D, A184, Movimientos!C:C, "Traslado", Movimientos!G:G, "G710")-SUMIFS(Movimientos!E:E, Movimientos!D:D, A184, Movimientos!C:C, "Traslado", Movimientos!F:F, "G710")-SUMIFS(Movimientos!E:E, Movimientos!D:D, A184, Movimientos!C:C, "Egreso", Movimientos!F:F, "G710")+SUMIFS(Movimientos!E:E, Movimientos!D:D, A184, Movimientos!C:C, "Ajuste", Movimientos!F:F, "G710")),"")</f>
        <v/>
      </c>
      <c r="H184" s="6" t="str">
        <f aca="false">IFERROR(IF(A184="","",SUMIFS(Movimientos!E:E, Movimientos!D:D, A184, Movimientos!C:C, "Ingreso", Movimientos!G:G, "G5000")+SUMIFS(Movimientos!E:E, Movimientos!D:D, A184, Movimientos!C:C, "Traslado", Movimientos!G:G, "G5000")-SUMIFS(Movimientos!E:E, Movimientos!D:D, A184, Movimientos!C:C, "Traslado", Movimientos!F:F, "G5000")-SUMIFS(Movimientos!E:E, Movimientos!D:D, A184, Movimientos!C:C, "Egreso", Movimientos!F:F, "G5000")+SUMIFS(Movimientos!E:E, Movimientos!D:D, A184, Movimientos!C:C, "Ajuste", Movimientos!F:F, "G5000")),"")</f>
        <v/>
      </c>
      <c r="I184" s="6" t="str">
        <f aca="false">IFERROR(IF(A184="","",SUMIFS(Movimientos!E:E, Movimientos!D:D, A184, Movimientos!C:C, "Ingreso", Movimientos!G:G, "G3")+SUMIFS(Movimientos!E:E, Movimientos!D:D, A184, Movimientos!C:C, "Traslado", Movimientos!G:G, "G3")-SUMIFS(Movimientos!E:E, Movimientos!D:D, A184, Movimientos!C:C, "Traslado", Movimientos!F:F, "G3")-SUMIFS(Movimientos!E:E, Movimientos!D:D, A184, Movimientos!C:C, "Egreso", Movimientos!F:F, "G3")+SUMIFS(Movimientos!E:E, Movimientos!D:D, A184, Movimientos!C:C, "Ajuste", Movimientos!F:F, "G3")),"")</f>
        <v/>
      </c>
      <c r="J184" s="6" t="str">
        <f aca="false">IFERROR(IF(A184="","",SUM(E184:I184)),"")</f>
        <v/>
      </c>
      <c r="K184" s="6" t="str">
        <f aca="false">IFERROR(IF(A184="","",SUMIFS(Movimientos!E:E, Movimientos!D:D, A184, Movimientos!C:C, "Reserva")-SUMIFS(Movimientos!E:E, Movimientos!D:D, A184, Movimientos!C:C, "Libera_Reserva")),"")</f>
        <v/>
      </c>
      <c r="L184" s="6" t="str">
        <f aca="false">IFERROR(IF(A184="","",J184-K184),"")</f>
        <v/>
      </c>
      <c r="M184" s="6" t="str">
        <f aca="false">IFERROR(IF(Productos!A184="","",Productos!G184),"")</f>
        <v/>
      </c>
      <c r="N184" s="6" t="str">
        <f aca="false">IFERROR(IF(A184="","",IF(L184&lt;M184,"BAJO STOCK","OK")),"")</f>
        <v/>
      </c>
    </row>
    <row r="185" customFormat="false" ht="15" hidden="false" customHeight="false" outlineLevel="0" collapsed="false">
      <c r="A185" s="0" t="str">
        <f aca="false">IFERROR(IF(Productos!A185="","",Productos!A185),"")</f>
        <v/>
      </c>
      <c r="B185" s="0" t="str">
        <f aca="false">IFERROR(IF(Productos!A185="","",Productos!B185),"")</f>
        <v/>
      </c>
      <c r="C185" s="0" t="str">
        <f aca="false">IFERROR(IF(Productos!A185="","",Productos!C185),"")</f>
        <v/>
      </c>
      <c r="D185" s="0" t="str">
        <f aca="false">IFERROR(IF(Productos!A185="","",Productos!E185),"")</f>
        <v/>
      </c>
      <c r="E185" s="6" t="str">
        <f aca="false">IFERROR(IF(A185="","",SUMIFS(Movimientos!E:E, Movimientos!D:D, A185, Movimientos!C:C, "Ingreso", Movimientos!G:G, "TIN")+SUMIFS(Movimientos!E:E, Movimientos!D:D, A185, Movimientos!C:C, "Traslado", Movimientos!G:G, "TIN")-SUMIFS(Movimientos!E:E, Movimientos!D:D, A185, Movimientos!C:C, "Traslado", Movimientos!F:F, "TIN")-SUMIFS(Movimientos!E:E, Movimientos!D:D, A185, Movimientos!C:C, "Egreso", Movimientos!F:F, "TIN")+SUMIFS(Movimientos!E:E, Movimientos!D:D, A185, Movimientos!C:C, "Ajuste", Movimientos!F:F, "TIN")),"")</f>
        <v/>
      </c>
      <c r="F185" s="6" t="str">
        <f aca="false">IFERROR(IF(A185="","",SUMIFS(Movimientos!E:E, Movimientos!D:D, A185, Movimientos!C:C, "Ingreso", Movimientos!G:G, "G1000")+SUMIFS(Movimientos!E:E, Movimientos!D:D, A185, Movimientos!C:C, "Traslado", Movimientos!G:G, "G1000")-SUMIFS(Movimientos!E:E, Movimientos!D:D, A185, Movimientos!C:C, "Traslado", Movimientos!F:F, "G1000")-SUMIFS(Movimientos!E:E, Movimientos!D:D, A185, Movimientos!C:C, "Egreso", Movimientos!F:F, "G1000")+SUMIFS(Movimientos!E:E, Movimientos!D:D, A185, Movimientos!C:C, "Ajuste", Movimientos!F:F, "G1000")),"")</f>
        <v/>
      </c>
      <c r="G185" s="6" t="str">
        <f aca="false">IFERROR(IF(A185="","",SUMIFS(Movimientos!E:E, Movimientos!D:D, A185, Movimientos!C:C, "Ingreso", Movimientos!G:G, "G710")+SUMIFS(Movimientos!E:E, Movimientos!D:D, A185, Movimientos!C:C, "Traslado", Movimientos!G:G, "G710")-SUMIFS(Movimientos!E:E, Movimientos!D:D, A185, Movimientos!C:C, "Traslado", Movimientos!F:F, "G710")-SUMIFS(Movimientos!E:E, Movimientos!D:D, A185, Movimientos!C:C, "Egreso", Movimientos!F:F, "G710")+SUMIFS(Movimientos!E:E, Movimientos!D:D, A185, Movimientos!C:C, "Ajuste", Movimientos!F:F, "G710")),"")</f>
        <v/>
      </c>
      <c r="H185" s="6" t="str">
        <f aca="false">IFERROR(IF(A185="","",SUMIFS(Movimientos!E:E, Movimientos!D:D, A185, Movimientos!C:C, "Ingreso", Movimientos!G:G, "G5000")+SUMIFS(Movimientos!E:E, Movimientos!D:D, A185, Movimientos!C:C, "Traslado", Movimientos!G:G, "G5000")-SUMIFS(Movimientos!E:E, Movimientos!D:D, A185, Movimientos!C:C, "Traslado", Movimientos!F:F, "G5000")-SUMIFS(Movimientos!E:E, Movimientos!D:D, A185, Movimientos!C:C, "Egreso", Movimientos!F:F, "G5000")+SUMIFS(Movimientos!E:E, Movimientos!D:D, A185, Movimientos!C:C, "Ajuste", Movimientos!F:F, "G5000")),"")</f>
        <v/>
      </c>
      <c r="I185" s="6" t="str">
        <f aca="false">IFERROR(IF(A185="","",SUMIFS(Movimientos!E:E, Movimientos!D:D, A185, Movimientos!C:C, "Ingreso", Movimientos!G:G, "G3")+SUMIFS(Movimientos!E:E, Movimientos!D:D, A185, Movimientos!C:C, "Traslado", Movimientos!G:G, "G3")-SUMIFS(Movimientos!E:E, Movimientos!D:D, A185, Movimientos!C:C, "Traslado", Movimientos!F:F, "G3")-SUMIFS(Movimientos!E:E, Movimientos!D:D, A185, Movimientos!C:C, "Egreso", Movimientos!F:F, "G3")+SUMIFS(Movimientos!E:E, Movimientos!D:D, A185, Movimientos!C:C, "Ajuste", Movimientos!F:F, "G3")),"")</f>
        <v/>
      </c>
      <c r="J185" s="6" t="str">
        <f aca="false">IFERROR(IF(A185="","",SUM(E185:I185)),"")</f>
        <v/>
      </c>
      <c r="K185" s="6" t="str">
        <f aca="false">IFERROR(IF(A185="","",SUMIFS(Movimientos!E:E, Movimientos!D:D, A185, Movimientos!C:C, "Reserva")-SUMIFS(Movimientos!E:E, Movimientos!D:D, A185, Movimientos!C:C, "Libera_Reserva")),"")</f>
        <v/>
      </c>
      <c r="L185" s="6" t="str">
        <f aca="false">IFERROR(IF(A185="","",J185-K185),"")</f>
        <v/>
      </c>
      <c r="M185" s="6" t="str">
        <f aca="false">IFERROR(IF(Productos!A185="","",Productos!G185),"")</f>
        <v/>
      </c>
      <c r="N185" s="6" t="str">
        <f aca="false">IFERROR(IF(A185="","",IF(L185&lt;M185,"BAJO STOCK","OK")),"")</f>
        <v/>
      </c>
    </row>
    <row r="186" customFormat="false" ht="15" hidden="false" customHeight="false" outlineLevel="0" collapsed="false">
      <c r="A186" s="0" t="str">
        <f aca="false">IFERROR(IF(Productos!A186="","",Productos!A186),"")</f>
        <v/>
      </c>
      <c r="B186" s="0" t="str">
        <f aca="false">IFERROR(IF(Productos!A186="","",Productos!B186),"")</f>
        <v/>
      </c>
      <c r="C186" s="0" t="str">
        <f aca="false">IFERROR(IF(Productos!A186="","",Productos!C186),"")</f>
        <v/>
      </c>
      <c r="D186" s="0" t="str">
        <f aca="false">IFERROR(IF(Productos!A186="","",Productos!E186),"")</f>
        <v/>
      </c>
      <c r="E186" s="6" t="str">
        <f aca="false">IFERROR(IF(A186="","",SUMIFS(Movimientos!E:E, Movimientos!D:D, A186, Movimientos!C:C, "Ingreso", Movimientos!G:G, "TIN")+SUMIFS(Movimientos!E:E, Movimientos!D:D, A186, Movimientos!C:C, "Traslado", Movimientos!G:G, "TIN")-SUMIFS(Movimientos!E:E, Movimientos!D:D, A186, Movimientos!C:C, "Traslado", Movimientos!F:F, "TIN")-SUMIFS(Movimientos!E:E, Movimientos!D:D, A186, Movimientos!C:C, "Egreso", Movimientos!F:F, "TIN")+SUMIFS(Movimientos!E:E, Movimientos!D:D, A186, Movimientos!C:C, "Ajuste", Movimientos!F:F, "TIN")),"")</f>
        <v/>
      </c>
      <c r="F186" s="6" t="str">
        <f aca="false">IFERROR(IF(A186="","",SUMIFS(Movimientos!E:E, Movimientos!D:D, A186, Movimientos!C:C, "Ingreso", Movimientos!G:G, "G1000")+SUMIFS(Movimientos!E:E, Movimientos!D:D, A186, Movimientos!C:C, "Traslado", Movimientos!G:G, "G1000")-SUMIFS(Movimientos!E:E, Movimientos!D:D, A186, Movimientos!C:C, "Traslado", Movimientos!F:F, "G1000")-SUMIFS(Movimientos!E:E, Movimientos!D:D, A186, Movimientos!C:C, "Egreso", Movimientos!F:F, "G1000")+SUMIFS(Movimientos!E:E, Movimientos!D:D, A186, Movimientos!C:C, "Ajuste", Movimientos!F:F, "G1000")),"")</f>
        <v/>
      </c>
      <c r="G186" s="6" t="str">
        <f aca="false">IFERROR(IF(A186="","",SUMIFS(Movimientos!E:E, Movimientos!D:D, A186, Movimientos!C:C, "Ingreso", Movimientos!G:G, "G710")+SUMIFS(Movimientos!E:E, Movimientos!D:D, A186, Movimientos!C:C, "Traslado", Movimientos!G:G, "G710")-SUMIFS(Movimientos!E:E, Movimientos!D:D, A186, Movimientos!C:C, "Traslado", Movimientos!F:F, "G710")-SUMIFS(Movimientos!E:E, Movimientos!D:D, A186, Movimientos!C:C, "Egreso", Movimientos!F:F, "G710")+SUMIFS(Movimientos!E:E, Movimientos!D:D, A186, Movimientos!C:C, "Ajuste", Movimientos!F:F, "G710")),"")</f>
        <v/>
      </c>
      <c r="H186" s="6" t="str">
        <f aca="false">IFERROR(IF(A186="","",SUMIFS(Movimientos!E:E, Movimientos!D:D, A186, Movimientos!C:C, "Ingreso", Movimientos!G:G, "G5000")+SUMIFS(Movimientos!E:E, Movimientos!D:D, A186, Movimientos!C:C, "Traslado", Movimientos!G:G, "G5000")-SUMIFS(Movimientos!E:E, Movimientos!D:D, A186, Movimientos!C:C, "Traslado", Movimientos!F:F, "G5000")-SUMIFS(Movimientos!E:E, Movimientos!D:D, A186, Movimientos!C:C, "Egreso", Movimientos!F:F, "G5000")+SUMIFS(Movimientos!E:E, Movimientos!D:D, A186, Movimientos!C:C, "Ajuste", Movimientos!F:F, "G5000")),"")</f>
        <v/>
      </c>
      <c r="I186" s="6" t="str">
        <f aca="false">IFERROR(IF(A186="","",SUMIFS(Movimientos!E:E, Movimientos!D:D, A186, Movimientos!C:C, "Ingreso", Movimientos!G:G, "G3")+SUMIFS(Movimientos!E:E, Movimientos!D:D, A186, Movimientos!C:C, "Traslado", Movimientos!G:G, "G3")-SUMIFS(Movimientos!E:E, Movimientos!D:D, A186, Movimientos!C:C, "Traslado", Movimientos!F:F, "G3")-SUMIFS(Movimientos!E:E, Movimientos!D:D, A186, Movimientos!C:C, "Egreso", Movimientos!F:F, "G3")+SUMIFS(Movimientos!E:E, Movimientos!D:D, A186, Movimientos!C:C, "Ajuste", Movimientos!F:F, "G3")),"")</f>
        <v/>
      </c>
      <c r="J186" s="6" t="str">
        <f aca="false">IFERROR(IF(A186="","",SUM(E186:I186)),"")</f>
        <v/>
      </c>
      <c r="K186" s="6" t="str">
        <f aca="false">IFERROR(IF(A186="","",SUMIFS(Movimientos!E:E, Movimientos!D:D, A186, Movimientos!C:C, "Reserva")-SUMIFS(Movimientos!E:E, Movimientos!D:D, A186, Movimientos!C:C, "Libera_Reserva")),"")</f>
        <v/>
      </c>
      <c r="L186" s="6" t="str">
        <f aca="false">IFERROR(IF(A186="","",J186-K186),"")</f>
        <v/>
      </c>
      <c r="M186" s="6" t="str">
        <f aca="false">IFERROR(IF(Productos!A186="","",Productos!G186),"")</f>
        <v/>
      </c>
      <c r="N186" s="6" t="str">
        <f aca="false">IFERROR(IF(A186="","",IF(L186&lt;M186,"BAJO STOCK","OK")),"")</f>
        <v/>
      </c>
    </row>
    <row r="187" customFormat="false" ht="15" hidden="false" customHeight="false" outlineLevel="0" collapsed="false">
      <c r="A187" s="0" t="str">
        <f aca="false">IFERROR(IF(Productos!A187="","",Productos!A187),"")</f>
        <v/>
      </c>
      <c r="B187" s="0" t="str">
        <f aca="false">IFERROR(IF(Productos!A187="","",Productos!B187),"")</f>
        <v/>
      </c>
      <c r="C187" s="0" t="str">
        <f aca="false">IFERROR(IF(Productos!A187="","",Productos!C187),"")</f>
        <v/>
      </c>
      <c r="D187" s="0" t="str">
        <f aca="false">IFERROR(IF(Productos!A187="","",Productos!E187),"")</f>
        <v/>
      </c>
      <c r="E187" s="6" t="str">
        <f aca="false">IFERROR(IF(A187="","",SUMIFS(Movimientos!E:E, Movimientos!D:D, A187, Movimientos!C:C, "Ingreso", Movimientos!G:G, "TIN")+SUMIFS(Movimientos!E:E, Movimientos!D:D, A187, Movimientos!C:C, "Traslado", Movimientos!G:G, "TIN")-SUMIFS(Movimientos!E:E, Movimientos!D:D, A187, Movimientos!C:C, "Traslado", Movimientos!F:F, "TIN")-SUMIFS(Movimientos!E:E, Movimientos!D:D, A187, Movimientos!C:C, "Egreso", Movimientos!F:F, "TIN")+SUMIFS(Movimientos!E:E, Movimientos!D:D, A187, Movimientos!C:C, "Ajuste", Movimientos!F:F, "TIN")),"")</f>
        <v/>
      </c>
      <c r="F187" s="6" t="str">
        <f aca="false">IFERROR(IF(A187="","",SUMIFS(Movimientos!E:E, Movimientos!D:D, A187, Movimientos!C:C, "Ingreso", Movimientos!G:G, "G1000")+SUMIFS(Movimientos!E:E, Movimientos!D:D, A187, Movimientos!C:C, "Traslado", Movimientos!G:G, "G1000")-SUMIFS(Movimientos!E:E, Movimientos!D:D, A187, Movimientos!C:C, "Traslado", Movimientos!F:F, "G1000")-SUMIFS(Movimientos!E:E, Movimientos!D:D, A187, Movimientos!C:C, "Egreso", Movimientos!F:F, "G1000")+SUMIFS(Movimientos!E:E, Movimientos!D:D, A187, Movimientos!C:C, "Ajuste", Movimientos!F:F, "G1000")),"")</f>
        <v/>
      </c>
      <c r="G187" s="6" t="str">
        <f aca="false">IFERROR(IF(A187="","",SUMIFS(Movimientos!E:E, Movimientos!D:D, A187, Movimientos!C:C, "Ingreso", Movimientos!G:G, "G710")+SUMIFS(Movimientos!E:E, Movimientos!D:D, A187, Movimientos!C:C, "Traslado", Movimientos!G:G, "G710")-SUMIFS(Movimientos!E:E, Movimientos!D:D, A187, Movimientos!C:C, "Traslado", Movimientos!F:F, "G710")-SUMIFS(Movimientos!E:E, Movimientos!D:D, A187, Movimientos!C:C, "Egreso", Movimientos!F:F, "G710")+SUMIFS(Movimientos!E:E, Movimientos!D:D, A187, Movimientos!C:C, "Ajuste", Movimientos!F:F, "G710")),"")</f>
        <v/>
      </c>
      <c r="H187" s="6" t="str">
        <f aca="false">IFERROR(IF(A187="","",SUMIFS(Movimientos!E:E, Movimientos!D:D, A187, Movimientos!C:C, "Ingreso", Movimientos!G:G, "G5000")+SUMIFS(Movimientos!E:E, Movimientos!D:D, A187, Movimientos!C:C, "Traslado", Movimientos!G:G, "G5000")-SUMIFS(Movimientos!E:E, Movimientos!D:D, A187, Movimientos!C:C, "Traslado", Movimientos!F:F, "G5000")-SUMIFS(Movimientos!E:E, Movimientos!D:D, A187, Movimientos!C:C, "Egreso", Movimientos!F:F, "G5000")+SUMIFS(Movimientos!E:E, Movimientos!D:D, A187, Movimientos!C:C, "Ajuste", Movimientos!F:F, "G5000")),"")</f>
        <v/>
      </c>
      <c r="I187" s="6" t="str">
        <f aca="false">IFERROR(IF(A187="","",SUMIFS(Movimientos!E:E, Movimientos!D:D, A187, Movimientos!C:C, "Ingreso", Movimientos!G:G, "G3")+SUMIFS(Movimientos!E:E, Movimientos!D:D, A187, Movimientos!C:C, "Traslado", Movimientos!G:G, "G3")-SUMIFS(Movimientos!E:E, Movimientos!D:D, A187, Movimientos!C:C, "Traslado", Movimientos!F:F, "G3")-SUMIFS(Movimientos!E:E, Movimientos!D:D, A187, Movimientos!C:C, "Egreso", Movimientos!F:F, "G3")+SUMIFS(Movimientos!E:E, Movimientos!D:D, A187, Movimientos!C:C, "Ajuste", Movimientos!F:F, "G3")),"")</f>
        <v/>
      </c>
      <c r="J187" s="6" t="str">
        <f aca="false">IFERROR(IF(A187="","",SUM(E187:I187)),"")</f>
        <v/>
      </c>
      <c r="K187" s="6" t="str">
        <f aca="false">IFERROR(IF(A187="","",SUMIFS(Movimientos!E:E, Movimientos!D:D, A187, Movimientos!C:C, "Reserva")-SUMIFS(Movimientos!E:E, Movimientos!D:D, A187, Movimientos!C:C, "Libera_Reserva")),"")</f>
        <v/>
      </c>
      <c r="L187" s="6" t="str">
        <f aca="false">IFERROR(IF(A187="","",J187-K187),"")</f>
        <v/>
      </c>
      <c r="M187" s="6" t="str">
        <f aca="false">IFERROR(IF(Productos!A187="","",Productos!G187),"")</f>
        <v/>
      </c>
      <c r="N187" s="6" t="str">
        <f aca="false">IFERROR(IF(A187="","",IF(L187&lt;M187,"BAJO STOCK","OK")),"")</f>
        <v/>
      </c>
    </row>
    <row r="188" customFormat="false" ht="15" hidden="false" customHeight="false" outlineLevel="0" collapsed="false">
      <c r="A188" s="0" t="str">
        <f aca="false">IFERROR(IF(Productos!A188="","",Productos!A188),"")</f>
        <v/>
      </c>
      <c r="B188" s="0" t="str">
        <f aca="false">IFERROR(IF(Productos!A188="","",Productos!B188),"")</f>
        <v/>
      </c>
      <c r="C188" s="0" t="str">
        <f aca="false">IFERROR(IF(Productos!A188="","",Productos!C188),"")</f>
        <v/>
      </c>
      <c r="D188" s="0" t="str">
        <f aca="false">IFERROR(IF(Productos!A188="","",Productos!E188),"")</f>
        <v/>
      </c>
      <c r="E188" s="6" t="str">
        <f aca="false">IFERROR(IF(A188="","",SUMIFS(Movimientos!E:E, Movimientos!D:D, A188, Movimientos!C:C, "Ingreso", Movimientos!G:G, "TIN")+SUMIFS(Movimientos!E:E, Movimientos!D:D, A188, Movimientos!C:C, "Traslado", Movimientos!G:G, "TIN")-SUMIFS(Movimientos!E:E, Movimientos!D:D, A188, Movimientos!C:C, "Traslado", Movimientos!F:F, "TIN")-SUMIFS(Movimientos!E:E, Movimientos!D:D, A188, Movimientos!C:C, "Egreso", Movimientos!F:F, "TIN")+SUMIFS(Movimientos!E:E, Movimientos!D:D, A188, Movimientos!C:C, "Ajuste", Movimientos!F:F, "TIN")),"")</f>
        <v/>
      </c>
      <c r="F188" s="6" t="str">
        <f aca="false">IFERROR(IF(A188="","",SUMIFS(Movimientos!E:E, Movimientos!D:D, A188, Movimientos!C:C, "Ingreso", Movimientos!G:G, "G1000")+SUMIFS(Movimientos!E:E, Movimientos!D:D, A188, Movimientos!C:C, "Traslado", Movimientos!G:G, "G1000")-SUMIFS(Movimientos!E:E, Movimientos!D:D, A188, Movimientos!C:C, "Traslado", Movimientos!F:F, "G1000")-SUMIFS(Movimientos!E:E, Movimientos!D:D, A188, Movimientos!C:C, "Egreso", Movimientos!F:F, "G1000")+SUMIFS(Movimientos!E:E, Movimientos!D:D, A188, Movimientos!C:C, "Ajuste", Movimientos!F:F, "G1000")),"")</f>
        <v/>
      </c>
      <c r="G188" s="6" t="str">
        <f aca="false">IFERROR(IF(A188="","",SUMIFS(Movimientos!E:E, Movimientos!D:D, A188, Movimientos!C:C, "Ingreso", Movimientos!G:G, "G710")+SUMIFS(Movimientos!E:E, Movimientos!D:D, A188, Movimientos!C:C, "Traslado", Movimientos!G:G, "G710")-SUMIFS(Movimientos!E:E, Movimientos!D:D, A188, Movimientos!C:C, "Traslado", Movimientos!F:F, "G710")-SUMIFS(Movimientos!E:E, Movimientos!D:D, A188, Movimientos!C:C, "Egreso", Movimientos!F:F, "G710")+SUMIFS(Movimientos!E:E, Movimientos!D:D, A188, Movimientos!C:C, "Ajuste", Movimientos!F:F, "G710")),"")</f>
        <v/>
      </c>
      <c r="H188" s="6" t="str">
        <f aca="false">IFERROR(IF(A188="","",SUMIFS(Movimientos!E:E, Movimientos!D:D, A188, Movimientos!C:C, "Ingreso", Movimientos!G:G, "G5000")+SUMIFS(Movimientos!E:E, Movimientos!D:D, A188, Movimientos!C:C, "Traslado", Movimientos!G:G, "G5000")-SUMIFS(Movimientos!E:E, Movimientos!D:D, A188, Movimientos!C:C, "Traslado", Movimientos!F:F, "G5000")-SUMIFS(Movimientos!E:E, Movimientos!D:D, A188, Movimientos!C:C, "Egreso", Movimientos!F:F, "G5000")+SUMIFS(Movimientos!E:E, Movimientos!D:D, A188, Movimientos!C:C, "Ajuste", Movimientos!F:F, "G5000")),"")</f>
        <v/>
      </c>
      <c r="I188" s="6" t="str">
        <f aca="false">IFERROR(IF(A188="","",SUMIFS(Movimientos!E:E, Movimientos!D:D, A188, Movimientos!C:C, "Ingreso", Movimientos!G:G, "G3")+SUMIFS(Movimientos!E:E, Movimientos!D:D, A188, Movimientos!C:C, "Traslado", Movimientos!G:G, "G3")-SUMIFS(Movimientos!E:E, Movimientos!D:D, A188, Movimientos!C:C, "Traslado", Movimientos!F:F, "G3")-SUMIFS(Movimientos!E:E, Movimientos!D:D, A188, Movimientos!C:C, "Egreso", Movimientos!F:F, "G3")+SUMIFS(Movimientos!E:E, Movimientos!D:D, A188, Movimientos!C:C, "Ajuste", Movimientos!F:F, "G3")),"")</f>
        <v/>
      </c>
      <c r="J188" s="6" t="str">
        <f aca="false">IFERROR(IF(A188="","",SUM(E188:I188)),"")</f>
        <v/>
      </c>
      <c r="K188" s="6" t="str">
        <f aca="false">IFERROR(IF(A188="","",SUMIFS(Movimientos!E:E, Movimientos!D:D, A188, Movimientos!C:C, "Reserva")-SUMIFS(Movimientos!E:E, Movimientos!D:D, A188, Movimientos!C:C, "Libera_Reserva")),"")</f>
        <v/>
      </c>
      <c r="L188" s="6" t="str">
        <f aca="false">IFERROR(IF(A188="","",J188-K188),"")</f>
        <v/>
      </c>
      <c r="M188" s="6" t="str">
        <f aca="false">IFERROR(IF(Productos!A188="","",Productos!G188),"")</f>
        <v/>
      </c>
      <c r="N188" s="6" t="str">
        <f aca="false">IFERROR(IF(A188="","",IF(L188&lt;M188,"BAJO STOCK","OK")),"")</f>
        <v/>
      </c>
    </row>
    <row r="189" customFormat="false" ht="15" hidden="false" customHeight="false" outlineLevel="0" collapsed="false">
      <c r="A189" s="0" t="str">
        <f aca="false">IFERROR(IF(Productos!A189="","",Productos!A189),"")</f>
        <v/>
      </c>
      <c r="B189" s="0" t="str">
        <f aca="false">IFERROR(IF(Productos!A189="","",Productos!B189),"")</f>
        <v/>
      </c>
      <c r="C189" s="0" t="str">
        <f aca="false">IFERROR(IF(Productos!A189="","",Productos!C189),"")</f>
        <v/>
      </c>
      <c r="D189" s="0" t="str">
        <f aca="false">IFERROR(IF(Productos!A189="","",Productos!E189),"")</f>
        <v/>
      </c>
      <c r="E189" s="6" t="str">
        <f aca="false">IFERROR(IF(A189="","",SUMIFS(Movimientos!E:E, Movimientos!D:D, A189, Movimientos!C:C, "Ingreso", Movimientos!G:G, "TIN")+SUMIFS(Movimientos!E:E, Movimientos!D:D, A189, Movimientos!C:C, "Traslado", Movimientos!G:G, "TIN")-SUMIFS(Movimientos!E:E, Movimientos!D:D, A189, Movimientos!C:C, "Traslado", Movimientos!F:F, "TIN")-SUMIFS(Movimientos!E:E, Movimientos!D:D, A189, Movimientos!C:C, "Egreso", Movimientos!F:F, "TIN")+SUMIFS(Movimientos!E:E, Movimientos!D:D, A189, Movimientos!C:C, "Ajuste", Movimientos!F:F, "TIN")),"")</f>
        <v/>
      </c>
      <c r="F189" s="6" t="str">
        <f aca="false">IFERROR(IF(A189="","",SUMIFS(Movimientos!E:E, Movimientos!D:D, A189, Movimientos!C:C, "Ingreso", Movimientos!G:G, "G1000")+SUMIFS(Movimientos!E:E, Movimientos!D:D, A189, Movimientos!C:C, "Traslado", Movimientos!G:G, "G1000")-SUMIFS(Movimientos!E:E, Movimientos!D:D, A189, Movimientos!C:C, "Traslado", Movimientos!F:F, "G1000")-SUMIFS(Movimientos!E:E, Movimientos!D:D, A189, Movimientos!C:C, "Egreso", Movimientos!F:F, "G1000")+SUMIFS(Movimientos!E:E, Movimientos!D:D, A189, Movimientos!C:C, "Ajuste", Movimientos!F:F, "G1000")),"")</f>
        <v/>
      </c>
      <c r="G189" s="6" t="str">
        <f aca="false">IFERROR(IF(A189="","",SUMIFS(Movimientos!E:E, Movimientos!D:D, A189, Movimientos!C:C, "Ingreso", Movimientos!G:G, "G710")+SUMIFS(Movimientos!E:E, Movimientos!D:D, A189, Movimientos!C:C, "Traslado", Movimientos!G:G, "G710")-SUMIFS(Movimientos!E:E, Movimientos!D:D, A189, Movimientos!C:C, "Traslado", Movimientos!F:F, "G710")-SUMIFS(Movimientos!E:E, Movimientos!D:D, A189, Movimientos!C:C, "Egreso", Movimientos!F:F, "G710")+SUMIFS(Movimientos!E:E, Movimientos!D:D, A189, Movimientos!C:C, "Ajuste", Movimientos!F:F, "G710")),"")</f>
        <v/>
      </c>
      <c r="H189" s="6" t="str">
        <f aca="false">IFERROR(IF(A189="","",SUMIFS(Movimientos!E:E, Movimientos!D:D, A189, Movimientos!C:C, "Ingreso", Movimientos!G:G, "G5000")+SUMIFS(Movimientos!E:E, Movimientos!D:D, A189, Movimientos!C:C, "Traslado", Movimientos!G:G, "G5000")-SUMIFS(Movimientos!E:E, Movimientos!D:D, A189, Movimientos!C:C, "Traslado", Movimientos!F:F, "G5000")-SUMIFS(Movimientos!E:E, Movimientos!D:D, A189, Movimientos!C:C, "Egreso", Movimientos!F:F, "G5000")+SUMIFS(Movimientos!E:E, Movimientos!D:D, A189, Movimientos!C:C, "Ajuste", Movimientos!F:F, "G5000")),"")</f>
        <v/>
      </c>
      <c r="I189" s="6" t="str">
        <f aca="false">IFERROR(IF(A189="","",SUMIFS(Movimientos!E:E, Movimientos!D:D, A189, Movimientos!C:C, "Ingreso", Movimientos!G:G, "G3")+SUMIFS(Movimientos!E:E, Movimientos!D:D, A189, Movimientos!C:C, "Traslado", Movimientos!G:G, "G3")-SUMIFS(Movimientos!E:E, Movimientos!D:D, A189, Movimientos!C:C, "Traslado", Movimientos!F:F, "G3")-SUMIFS(Movimientos!E:E, Movimientos!D:D, A189, Movimientos!C:C, "Egreso", Movimientos!F:F, "G3")+SUMIFS(Movimientos!E:E, Movimientos!D:D, A189, Movimientos!C:C, "Ajuste", Movimientos!F:F, "G3")),"")</f>
        <v/>
      </c>
      <c r="J189" s="6" t="str">
        <f aca="false">IFERROR(IF(A189="","",SUM(E189:I189)),"")</f>
        <v/>
      </c>
      <c r="K189" s="6" t="str">
        <f aca="false">IFERROR(IF(A189="","",SUMIFS(Movimientos!E:E, Movimientos!D:D, A189, Movimientos!C:C, "Reserva")-SUMIFS(Movimientos!E:E, Movimientos!D:D, A189, Movimientos!C:C, "Libera_Reserva")),"")</f>
        <v/>
      </c>
      <c r="L189" s="6" t="str">
        <f aca="false">IFERROR(IF(A189="","",J189-K189),"")</f>
        <v/>
      </c>
      <c r="M189" s="6" t="str">
        <f aca="false">IFERROR(IF(Productos!A189="","",Productos!G189),"")</f>
        <v/>
      </c>
      <c r="N189" s="6" t="str">
        <f aca="false">IFERROR(IF(A189="","",IF(L189&lt;M189,"BAJO STOCK","OK")),"")</f>
        <v/>
      </c>
    </row>
    <row r="190" customFormat="false" ht="15" hidden="false" customHeight="false" outlineLevel="0" collapsed="false">
      <c r="A190" s="0" t="str">
        <f aca="false">IFERROR(IF(Productos!A190="","",Productos!A190),"")</f>
        <v/>
      </c>
      <c r="B190" s="0" t="str">
        <f aca="false">IFERROR(IF(Productos!A190="","",Productos!B190),"")</f>
        <v/>
      </c>
      <c r="C190" s="0" t="str">
        <f aca="false">IFERROR(IF(Productos!A190="","",Productos!C190),"")</f>
        <v/>
      </c>
      <c r="D190" s="0" t="str">
        <f aca="false">IFERROR(IF(Productos!A190="","",Productos!E190),"")</f>
        <v/>
      </c>
      <c r="E190" s="6" t="str">
        <f aca="false">IFERROR(IF(A190="","",SUMIFS(Movimientos!E:E, Movimientos!D:D, A190, Movimientos!C:C, "Ingreso", Movimientos!G:G, "TIN")+SUMIFS(Movimientos!E:E, Movimientos!D:D, A190, Movimientos!C:C, "Traslado", Movimientos!G:G, "TIN")-SUMIFS(Movimientos!E:E, Movimientos!D:D, A190, Movimientos!C:C, "Traslado", Movimientos!F:F, "TIN")-SUMIFS(Movimientos!E:E, Movimientos!D:D, A190, Movimientos!C:C, "Egreso", Movimientos!F:F, "TIN")+SUMIFS(Movimientos!E:E, Movimientos!D:D, A190, Movimientos!C:C, "Ajuste", Movimientos!F:F, "TIN")),"")</f>
        <v/>
      </c>
      <c r="F190" s="6" t="str">
        <f aca="false">IFERROR(IF(A190="","",SUMIFS(Movimientos!E:E, Movimientos!D:D, A190, Movimientos!C:C, "Ingreso", Movimientos!G:G, "G1000")+SUMIFS(Movimientos!E:E, Movimientos!D:D, A190, Movimientos!C:C, "Traslado", Movimientos!G:G, "G1000")-SUMIFS(Movimientos!E:E, Movimientos!D:D, A190, Movimientos!C:C, "Traslado", Movimientos!F:F, "G1000")-SUMIFS(Movimientos!E:E, Movimientos!D:D, A190, Movimientos!C:C, "Egreso", Movimientos!F:F, "G1000")+SUMIFS(Movimientos!E:E, Movimientos!D:D, A190, Movimientos!C:C, "Ajuste", Movimientos!F:F, "G1000")),"")</f>
        <v/>
      </c>
      <c r="G190" s="6" t="str">
        <f aca="false">IFERROR(IF(A190="","",SUMIFS(Movimientos!E:E, Movimientos!D:D, A190, Movimientos!C:C, "Ingreso", Movimientos!G:G, "G710")+SUMIFS(Movimientos!E:E, Movimientos!D:D, A190, Movimientos!C:C, "Traslado", Movimientos!G:G, "G710")-SUMIFS(Movimientos!E:E, Movimientos!D:D, A190, Movimientos!C:C, "Traslado", Movimientos!F:F, "G710")-SUMIFS(Movimientos!E:E, Movimientos!D:D, A190, Movimientos!C:C, "Egreso", Movimientos!F:F, "G710")+SUMIFS(Movimientos!E:E, Movimientos!D:D, A190, Movimientos!C:C, "Ajuste", Movimientos!F:F, "G710")),"")</f>
        <v/>
      </c>
      <c r="H190" s="6" t="str">
        <f aca="false">IFERROR(IF(A190="","",SUMIFS(Movimientos!E:E, Movimientos!D:D, A190, Movimientos!C:C, "Ingreso", Movimientos!G:G, "G5000")+SUMIFS(Movimientos!E:E, Movimientos!D:D, A190, Movimientos!C:C, "Traslado", Movimientos!G:G, "G5000")-SUMIFS(Movimientos!E:E, Movimientos!D:D, A190, Movimientos!C:C, "Traslado", Movimientos!F:F, "G5000")-SUMIFS(Movimientos!E:E, Movimientos!D:D, A190, Movimientos!C:C, "Egreso", Movimientos!F:F, "G5000")+SUMIFS(Movimientos!E:E, Movimientos!D:D, A190, Movimientos!C:C, "Ajuste", Movimientos!F:F, "G5000")),"")</f>
        <v/>
      </c>
      <c r="I190" s="6" t="str">
        <f aca="false">IFERROR(IF(A190="","",SUMIFS(Movimientos!E:E, Movimientos!D:D, A190, Movimientos!C:C, "Ingreso", Movimientos!G:G, "G3")+SUMIFS(Movimientos!E:E, Movimientos!D:D, A190, Movimientos!C:C, "Traslado", Movimientos!G:G, "G3")-SUMIFS(Movimientos!E:E, Movimientos!D:D, A190, Movimientos!C:C, "Traslado", Movimientos!F:F, "G3")-SUMIFS(Movimientos!E:E, Movimientos!D:D, A190, Movimientos!C:C, "Egreso", Movimientos!F:F, "G3")+SUMIFS(Movimientos!E:E, Movimientos!D:D, A190, Movimientos!C:C, "Ajuste", Movimientos!F:F, "G3")),"")</f>
        <v/>
      </c>
      <c r="J190" s="6" t="str">
        <f aca="false">IFERROR(IF(A190="","",SUM(E190:I190)),"")</f>
        <v/>
      </c>
      <c r="K190" s="6" t="str">
        <f aca="false">IFERROR(IF(A190="","",SUMIFS(Movimientos!E:E, Movimientos!D:D, A190, Movimientos!C:C, "Reserva")-SUMIFS(Movimientos!E:E, Movimientos!D:D, A190, Movimientos!C:C, "Libera_Reserva")),"")</f>
        <v/>
      </c>
      <c r="L190" s="6" t="str">
        <f aca="false">IFERROR(IF(A190="","",J190-K190),"")</f>
        <v/>
      </c>
      <c r="M190" s="6" t="str">
        <f aca="false">IFERROR(IF(Productos!A190="","",Productos!G190),"")</f>
        <v/>
      </c>
      <c r="N190" s="6" t="str">
        <f aca="false">IFERROR(IF(A190="","",IF(L190&lt;M190,"BAJO STOCK","OK")),"")</f>
        <v/>
      </c>
    </row>
    <row r="191" customFormat="false" ht="15" hidden="false" customHeight="false" outlineLevel="0" collapsed="false">
      <c r="A191" s="0" t="str">
        <f aca="false">IFERROR(IF(Productos!A191="","",Productos!A191),"")</f>
        <v/>
      </c>
      <c r="B191" s="0" t="str">
        <f aca="false">IFERROR(IF(Productos!A191="","",Productos!B191),"")</f>
        <v/>
      </c>
      <c r="C191" s="0" t="str">
        <f aca="false">IFERROR(IF(Productos!A191="","",Productos!C191),"")</f>
        <v/>
      </c>
      <c r="D191" s="0" t="str">
        <f aca="false">IFERROR(IF(Productos!A191="","",Productos!E191),"")</f>
        <v/>
      </c>
      <c r="E191" s="6" t="str">
        <f aca="false">IFERROR(IF(A191="","",SUMIFS(Movimientos!E:E, Movimientos!D:D, A191, Movimientos!C:C, "Ingreso", Movimientos!G:G, "TIN")+SUMIFS(Movimientos!E:E, Movimientos!D:D, A191, Movimientos!C:C, "Traslado", Movimientos!G:G, "TIN")-SUMIFS(Movimientos!E:E, Movimientos!D:D, A191, Movimientos!C:C, "Traslado", Movimientos!F:F, "TIN")-SUMIFS(Movimientos!E:E, Movimientos!D:D, A191, Movimientos!C:C, "Egreso", Movimientos!F:F, "TIN")+SUMIFS(Movimientos!E:E, Movimientos!D:D, A191, Movimientos!C:C, "Ajuste", Movimientos!F:F, "TIN")),"")</f>
        <v/>
      </c>
      <c r="F191" s="6" t="str">
        <f aca="false">IFERROR(IF(A191="","",SUMIFS(Movimientos!E:E, Movimientos!D:D, A191, Movimientos!C:C, "Ingreso", Movimientos!G:G, "G1000")+SUMIFS(Movimientos!E:E, Movimientos!D:D, A191, Movimientos!C:C, "Traslado", Movimientos!G:G, "G1000")-SUMIFS(Movimientos!E:E, Movimientos!D:D, A191, Movimientos!C:C, "Traslado", Movimientos!F:F, "G1000")-SUMIFS(Movimientos!E:E, Movimientos!D:D, A191, Movimientos!C:C, "Egreso", Movimientos!F:F, "G1000")+SUMIFS(Movimientos!E:E, Movimientos!D:D, A191, Movimientos!C:C, "Ajuste", Movimientos!F:F, "G1000")),"")</f>
        <v/>
      </c>
      <c r="G191" s="6" t="str">
        <f aca="false">IFERROR(IF(A191="","",SUMIFS(Movimientos!E:E, Movimientos!D:D, A191, Movimientos!C:C, "Ingreso", Movimientos!G:G, "G710")+SUMIFS(Movimientos!E:E, Movimientos!D:D, A191, Movimientos!C:C, "Traslado", Movimientos!G:G, "G710")-SUMIFS(Movimientos!E:E, Movimientos!D:D, A191, Movimientos!C:C, "Traslado", Movimientos!F:F, "G710")-SUMIFS(Movimientos!E:E, Movimientos!D:D, A191, Movimientos!C:C, "Egreso", Movimientos!F:F, "G710")+SUMIFS(Movimientos!E:E, Movimientos!D:D, A191, Movimientos!C:C, "Ajuste", Movimientos!F:F, "G710")),"")</f>
        <v/>
      </c>
      <c r="H191" s="6" t="str">
        <f aca="false">IFERROR(IF(A191="","",SUMIFS(Movimientos!E:E, Movimientos!D:D, A191, Movimientos!C:C, "Ingreso", Movimientos!G:G, "G5000")+SUMIFS(Movimientos!E:E, Movimientos!D:D, A191, Movimientos!C:C, "Traslado", Movimientos!G:G, "G5000")-SUMIFS(Movimientos!E:E, Movimientos!D:D, A191, Movimientos!C:C, "Traslado", Movimientos!F:F, "G5000")-SUMIFS(Movimientos!E:E, Movimientos!D:D, A191, Movimientos!C:C, "Egreso", Movimientos!F:F, "G5000")+SUMIFS(Movimientos!E:E, Movimientos!D:D, A191, Movimientos!C:C, "Ajuste", Movimientos!F:F, "G5000")),"")</f>
        <v/>
      </c>
      <c r="I191" s="6" t="str">
        <f aca="false">IFERROR(IF(A191="","",SUMIFS(Movimientos!E:E, Movimientos!D:D, A191, Movimientos!C:C, "Ingreso", Movimientos!G:G, "G3")+SUMIFS(Movimientos!E:E, Movimientos!D:D, A191, Movimientos!C:C, "Traslado", Movimientos!G:G, "G3")-SUMIFS(Movimientos!E:E, Movimientos!D:D, A191, Movimientos!C:C, "Traslado", Movimientos!F:F, "G3")-SUMIFS(Movimientos!E:E, Movimientos!D:D, A191, Movimientos!C:C, "Egreso", Movimientos!F:F, "G3")+SUMIFS(Movimientos!E:E, Movimientos!D:D, A191, Movimientos!C:C, "Ajuste", Movimientos!F:F, "G3")),"")</f>
        <v/>
      </c>
      <c r="J191" s="6" t="str">
        <f aca="false">IFERROR(IF(A191="","",SUM(E191:I191)),"")</f>
        <v/>
      </c>
      <c r="K191" s="6" t="str">
        <f aca="false">IFERROR(IF(A191="","",SUMIFS(Movimientos!E:E, Movimientos!D:D, A191, Movimientos!C:C, "Reserva")-SUMIFS(Movimientos!E:E, Movimientos!D:D, A191, Movimientos!C:C, "Libera_Reserva")),"")</f>
        <v/>
      </c>
      <c r="L191" s="6" t="str">
        <f aca="false">IFERROR(IF(A191="","",J191-K191),"")</f>
        <v/>
      </c>
      <c r="M191" s="6" t="str">
        <f aca="false">IFERROR(IF(Productos!A191="","",Productos!G191),"")</f>
        <v/>
      </c>
      <c r="N191" s="6" t="str">
        <f aca="false">IFERROR(IF(A191="","",IF(L191&lt;M191,"BAJO STOCK","OK")),"")</f>
        <v/>
      </c>
    </row>
    <row r="192" customFormat="false" ht="15" hidden="false" customHeight="false" outlineLevel="0" collapsed="false">
      <c r="A192" s="0" t="str">
        <f aca="false">IFERROR(IF(Productos!A192="","",Productos!A192),"")</f>
        <v/>
      </c>
      <c r="B192" s="0" t="str">
        <f aca="false">IFERROR(IF(Productos!A192="","",Productos!B192),"")</f>
        <v/>
      </c>
      <c r="C192" s="0" t="str">
        <f aca="false">IFERROR(IF(Productos!A192="","",Productos!C192),"")</f>
        <v/>
      </c>
      <c r="D192" s="0" t="str">
        <f aca="false">IFERROR(IF(Productos!A192="","",Productos!E192),"")</f>
        <v/>
      </c>
      <c r="E192" s="6" t="str">
        <f aca="false">IFERROR(IF(A192="","",SUMIFS(Movimientos!E:E, Movimientos!D:D, A192, Movimientos!C:C, "Ingreso", Movimientos!G:G, "TIN")+SUMIFS(Movimientos!E:E, Movimientos!D:D, A192, Movimientos!C:C, "Traslado", Movimientos!G:G, "TIN")-SUMIFS(Movimientos!E:E, Movimientos!D:D, A192, Movimientos!C:C, "Traslado", Movimientos!F:F, "TIN")-SUMIFS(Movimientos!E:E, Movimientos!D:D, A192, Movimientos!C:C, "Egreso", Movimientos!F:F, "TIN")+SUMIFS(Movimientos!E:E, Movimientos!D:D, A192, Movimientos!C:C, "Ajuste", Movimientos!F:F, "TIN")),"")</f>
        <v/>
      </c>
      <c r="F192" s="6" t="str">
        <f aca="false">IFERROR(IF(A192="","",SUMIFS(Movimientos!E:E, Movimientos!D:D, A192, Movimientos!C:C, "Ingreso", Movimientos!G:G, "G1000")+SUMIFS(Movimientos!E:E, Movimientos!D:D, A192, Movimientos!C:C, "Traslado", Movimientos!G:G, "G1000")-SUMIFS(Movimientos!E:E, Movimientos!D:D, A192, Movimientos!C:C, "Traslado", Movimientos!F:F, "G1000")-SUMIFS(Movimientos!E:E, Movimientos!D:D, A192, Movimientos!C:C, "Egreso", Movimientos!F:F, "G1000")+SUMIFS(Movimientos!E:E, Movimientos!D:D, A192, Movimientos!C:C, "Ajuste", Movimientos!F:F, "G1000")),"")</f>
        <v/>
      </c>
      <c r="G192" s="6" t="str">
        <f aca="false">IFERROR(IF(A192="","",SUMIFS(Movimientos!E:E, Movimientos!D:D, A192, Movimientos!C:C, "Ingreso", Movimientos!G:G, "G710")+SUMIFS(Movimientos!E:E, Movimientos!D:D, A192, Movimientos!C:C, "Traslado", Movimientos!G:G, "G710")-SUMIFS(Movimientos!E:E, Movimientos!D:D, A192, Movimientos!C:C, "Traslado", Movimientos!F:F, "G710")-SUMIFS(Movimientos!E:E, Movimientos!D:D, A192, Movimientos!C:C, "Egreso", Movimientos!F:F, "G710")+SUMIFS(Movimientos!E:E, Movimientos!D:D, A192, Movimientos!C:C, "Ajuste", Movimientos!F:F, "G710")),"")</f>
        <v/>
      </c>
      <c r="H192" s="6" t="str">
        <f aca="false">IFERROR(IF(A192="","",SUMIFS(Movimientos!E:E, Movimientos!D:D, A192, Movimientos!C:C, "Ingreso", Movimientos!G:G, "G5000")+SUMIFS(Movimientos!E:E, Movimientos!D:D, A192, Movimientos!C:C, "Traslado", Movimientos!G:G, "G5000")-SUMIFS(Movimientos!E:E, Movimientos!D:D, A192, Movimientos!C:C, "Traslado", Movimientos!F:F, "G5000")-SUMIFS(Movimientos!E:E, Movimientos!D:D, A192, Movimientos!C:C, "Egreso", Movimientos!F:F, "G5000")+SUMIFS(Movimientos!E:E, Movimientos!D:D, A192, Movimientos!C:C, "Ajuste", Movimientos!F:F, "G5000")),"")</f>
        <v/>
      </c>
      <c r="I192" s="6" t="str">
        <f aca="false">IFERROR(IF(A192="","",SUMIFS(Movimientos!E:E, Movimientos!D:D, A192, Movimientos!C:C, "Ingreso", Movimientos!G:G, "G3")+SUMIFS(Movimientos!E:E, Movimientos!D:D, A192, Movimientos!C:C, "Traslado", Movimientos!G:G, "G3")-SUMIFS(Movimientos!E:E, Movimientos!D:D, A192, Movimientos!C:C, "Traslado", Movimientos!F:F, "G3")-SUMIFS(Movimientos!E:E, Movimientos!D:D, A192, Movimientos!C:C, "Egreso", Movimientos!F:F, "G3")+SUMIFS(Movimientos!E:E, Movimientos!D:D, A192, Movimientos!C:C, "Ajuste", Movimientos!F:F, "G3")),"")</f>
        <v/>
      </c>
      <c r="J192" s="6" t="str">
        <f aca="false">IFERROR(IF(A192="","",SUM(E192:I192)),"")</f>
        <v/>
      </c>
      <c r="K192" s="6" t="str">
        <f aca="false">IFERROR(IF(A192="","",SUMIFS(Movimientos!E:E, Movimientos!D:D, A192, Movimientos!C:C, "Reserva")-SUMIFS(Movimientos!E:E, Movimientos!D:D, A192, Movimientos!C:C, "Libera_Reserva")),"")</f>
        <v/>
      </c>
      <c r="L192" s="6" t="str">
        <f aca="false">IFERROR(IF(A192="","",J192-K192),"")</f>
        <v/>
      </c>
      <c r="M192" s="6" t="str">
        <f aca="false">IFERROR(IF(Productos!A192="","",Productos!G192),"")</f>
        <v/>
      </c>
      <c r="N192" s="6" t="str">
        <f aca="false">IFERROR(IF(A192="","",IF(L192&lt;M192,"BAJO STOCK","OK")),"")</f>
        <v/>
      </c>
    </row>
    <row r="193" customFormat="false" ht="15" hidden="false" customHeight="false" outlineLevel="0" collapsed="false">
      <c r="A193" s="0" t="str">
        <f aca="false">IFERROR(IF(Productos!A193="","",Productos!A193),"")</f>
        <v/>
      </c>
      <c r="B193" s="0" t="str">
        <f aca="false">IFERROR(IF(Productos!A193="","",Productos!B193),"")</f>
        <v/>
      </c>
      <c r="C193" s="0" t="str">
        <f aca="false">IFERROR(IF(Productos!A193="","",Productos!C193),"")</f>
        <v/>
      </c>
      <c r="D193" s="0" t="str">
        <f aca="false">IFERROR(IF(Productos!A193="","",Productos!E193),"")</f>
        <v/>
      </c>
      <c r="E193" s="6" t="str">
        <f aca="false">IFERROR(IF(A193="","",SUMIFS(Movimientos!E:E, Movimientos!D:D, A193, Movimientos!C:C, "Ingreso", Movimientos!G:G, "TIN")+SUMIFS(Movimientos!E:E, Movimientos!D:D, A193, Movimientos!C:C, "Traslado", Movimientos!G:G, "TIN")-SUMIFS(Movimientos!E:E, Movimientos!D:D, A193, Movimientos!C:C, "Traslado", Movimientos!F:F, "TIN")-SUMIFS(Movimientos!E:E, Movimientos!D:D, A193, Movimientos!C:C, "Egreso", Movimientos!F:F, "TIN")+SUMIFS(Movimientos!E:E, Movimientos!D:D, A193, Movimientos!C:C, "Ajuste", Movimientos!F:F, "TIN")),"")</f>
        <v/>
      </c>
      <c r="F193" s="6" t="str">
        <f aca="false">IFERROR(IF(A193="","",SUMIFS(Movimientos!E:E, Movimientos!D:D, A193, Movimientos!C:C, "Ingreso", Movimientos!G:G, "G1000")+SUMIFS(Movimientos!E:E, Movimientos!D:D, A193, Movimientos!C:C, "Traslado", Movimientos!G:G, "G1000")-SUMIFS(Movimientos!E:E, Movimientos!D:D, A193, Movimientos!C:C, "Traslado", Movimientos!F:F, "G1000")-SUMIFS(Movimientos!E:E, Movimientos!D:D, A193, Movimientos!C:C, "Egreso", Movimientos!F:F, "G1000")+SUMIFS(Movimientos!E:E, Movimientos!D:D, A193, Movimientos!C:C, "Ajuste", Movimientos!F:F, "G1000")),"")</f>
        <v/>
      </c>
      <c r="G193" s="6" t="str">
        <f aca="false">IFERROR(IF(A193="","",SUMIFS(Movimientos!E:E, Movimientos!D:D, A193, Movimientos!C:C, "Ingreso", Movimientos!G:G, "G710")+SUMIFS(Movimientos!E:E, Movimientos!D:D, A193, Movimientos!C:C, "Traslado", Movimientos!G:G, "G710")-SUMIFS(Movimientos!E:E, Movimientos!D:D, A193, Movimientos!C:C, "Traslado", Movimientos!F:F, "G710")-SUMIFS(Movimientos!E:E, Movimientos!D:D, A193, Movimientos!C:C, "Egreso", Movimientos!F:F, "G710")+SUMIFS(Movimientos!E:E, Movimientos!D:D, A193, Movimientos!C:C, "Ajuste", Movimientos!F:F, "G710")),"")</f>
        <v/>
      </c>
      <c r="H193" s="6" t="str">
        <f aca="false">IFERROR(IF(A193="","",SUMIFS(Movimientos!E:E, Movimientos!D:D, A193, Movimientos!C:C, "Ingreso", Movimientos!G:G, "G5000")+SUMIFS(Movimientos!E:E, Movimientos!D:D, A193, Movimientos!C:C, "Traslado", Movimientos!G:G, "G5000")-SUMIFS(Movimientos!E:E, Movimientos!D:D, A193, Movimientos!C:C, "Traslado", Movimientos!F:F, "G5000")-SUMIFS(Movimientos!E:E, Movimientos!D:D, A193, Movimientos!C:C, "Egreso", Movimientos!F:F, "G5000")+SUMIFS(Movimientos!E:E, Movimientos!D:D, A193, Movimientos!C:C, "Ajuste", Movimientos!F:F, "G5000")),"")</f>
        <v/>
      </c>
      <c r="I193" s="6" t="str">
        <f aca="false">IFERROR(IF(A193="","",SUMIFS(Movimientos!E:E, Movimientos!D:D, A193, Movimientos!C:C, "Ingreso", Movimientos!G:G, "G3")+SUMIFS(Movimientos!E:E, Movimientos!D:D, A193, Movimientos!C:C, "Traslado", Movimientos!G:G, "G3")-SUMIFS(Movimientos!E:E, Movimientos!D:D, A193, Movimientos!C:C, "Traslado", Movimientos!F:F, "G3")-SUMIFS(Movimientos!E:E, Movimientos!D:D, A193, Movimientos!C:C, "Egreso", Movimientos!F:F, "G3")+SUMIFS(Movimientos!E:E, Movimientos!D:D, A193, Movimientos!C:C, "Ajuste", Movimientos!F:F, "G3")),"")</f>
        <v/>
      </c>
      <c r="J193" s="6" t="str">
        <f aca="false">IFERROR(IF(A193="","",SUM(E193:I193)),"")</f>
        <v/>
      </c>
      <c r="K193" s="6" t="str">
        <f aca="false">IFERROR(IF(A193="","",SUMIFS(Movimientos!E:E, Movimientos!D:D, A193, Movimientos!C:C, "Reserva")-SUMIFS(Movimientos!E:E, Movimientos!D:D, A193, Movimientos!C:C, "Libera_Reserva")),"")</f>
        <v/>
      </c>
      <c r="L193" s="6" t="str">
        <f aca="false">IFERROR(IF(A193="","",J193-K193),"")</f>
        <v/>
      </c>
      <c r="M193" s="6" t="str">
        <f aca="false">IFERROR(IF(Productos!A193="","",Productos!G193),"")</f>
        <v/>
      </c>
      <c r="N193" s="6" t="str">
        <f aca="false">IFERROR(IF(A193="","",IF(L193&lt;M193,"BAJO STOCK","OK")),"")</f>
        <v/>
      </c>
    </row>
    <row r="194" customFormat="false" ht="15" hidden="false" customHeight="false" outlineLevel="0" collapsed="false">
      <c r="A194" s="0" t="str">
        <f aca="false">IFERROR(IF(Productos!A194="","",Productos!A194),"")</f>
        <v/>
      </c>
      <c r="B194" s="0" t="str">
        <f aca="false">IFERROR(IF(Productos!A194="","",Productos!B194),"")</f>
        <v/>
      </c>
      <c r="C194" s="0" t="str">
        <f aca="false">IFERROR(IF(Productos!A194="","",Productos!C194),"")</f>
        <v/>
      </c>
      <c r="D194" s="0" t="str">
        <f aca="false">IFERROR(IF(Productos!A194="","",Productos!E194),"")</f>
        <v/>
      </c>
      <c r="E194" s="6" t="str">
        <f aca="false">IFERROR(IF(A194="","",SUMIFS(Movimientos!E:E, Movimientos!D:D, A194, Movimientos!C:C, "Ingreso", Movimientos!G:G, "TIN")+SUMIFS(Movimientos!E:E, Movimientos!D:D, A194, Movimientos!C:C, "Traslado", Movimientos!G:G, "TIN")-SUMIFS(Movimientos!E:E, Movimientos!D:D, A194, Movimientos!C:C, "Traslado", Movimientos!F:F, "TIN")-SUMIFS(Movimientos!E:E, Movimientos!D:D, A194, Movimientos!C:C, "Egreso", Movimientos!F:F, "TIN")+SUMIFS(Movimientos!E:E, Movimientos!D:D, A194, Movimientos!C:C, "Ajuste", Movimientos!F:F, "TIN")),"")</f>
        <v/>
      </c>
      <c r="F194" s="6" t="str">
        <f aca="false">IFERROR(IF(A194="","",SUMIFS(Movimientos!E:E, Movimientos!D:D, A194, Movimientos!C:C, "Ingreso", Movimientos!G:G, "G1000")+SUMIFS(Movimientos!E:E, Movimientos!D:D, A194, Movimientos!C:C, "Traslado", Movimientos!G:G, "G1000")-SUMIFS(Movimientos!E:E, Movimientos!D:D, A194, Movimientos!C:C, "Traslado", Movimientos!F:F, "G1000")-SUMIFS(Movimientos!E:E, Movimientos!D:D, A194, Movimientos!C:C, "Egreso", Movimientos!F:F, "G1000")+SUMIFS(Movimientos!E:E, Movimientos!D:D, A194, Movimientos!C:C, "Ajuste", Movimientos!F:F, "G1000")),"")</f>
        <v/>
      </c>
      <c r="G194" s="6" t="str">
        <f aca="false">IFERROR(IF(A194="","",SUMIFS(Movimientos!E:E, Movimientos!D:D, A194, Movimientos!C:C, "Ingreso", Movimientos!G:G, "G710")+SUMIFS(Movimientos!E:E, Movimientos!D:D, A194, Movimientos!C:C, "Traslado", Movimientos!G:G, "G710")-SUMIFS(Movimientos!E:E, Movimientos!D:D, A194, Movimientos!C:C, "Traslado", Movimientos!F:F, "G710")-SUMIFS(Movimientos!E:E, Movimientos!D:D, A194, Movimientos!C:C, "Egreso", Movimientos!F:F, "G710")+SUMIFS(Movimientos!E:E, Movimientos!D:D, A194, Movimientos!C:C, "Ajuste", Movimientos!F:F, "G710")),"")</f>
        <v/>
      </c>
      <c r="H194" s="6" t="str">
        <f aca="false">IFERROR(IF(A194="","",SUMIFS(Movimientos!E:E, Movimientos!D:D, A194, Movimientos!C:C, "Ingreso", Movimientos!G:G, "G5000")+SUMIFS(Movimientos!E:E, Movimientos!D:D, A194, Movimientos!C:C, "Traslado", Movimientos!G:G, "G5000")-SUMIFS(Movimientos!E:E, Movimientos!D:D, A194, Movimientos!C:C, "Traslado", Movimientos!F:F, "G5000")-SUMIFS(Movimientos!E:E, Movimientos!D:D, A194, Movimientos!C:C, "Egreso", Movimientos!F:F, "G5000")+SUMIFS(Movimientos!E:E, Movimientos!D:D, A194, Movimientos!C:C, "Ajuste", Movimientos!F:F, "G5000")),"")</f>
        <v/>
      </c>
      <c r="I194" s="6" t="str">
        <f aca="false">IFERROR(IF(A194="","",SUMIFS(Movimientos!E:E, Movimientos!D:D, A194, Movimientos!C:C, "Ingreso", Movimientos!G:G, "G3")+SUMIFS(Movimientos!E:E, Movimientos!D:D, A194, Movimientos!C:C, "Traslado", Movimientos!G:G, "G3")-SUMIFS(Movimientos!E:E, Movimientos!D:D, A194, Movimientos!C:C, "Traslado", Movimientos!F:F, "G3")-SUMIFS(Movimientos!E:E, Movimientos!D:D, A194, Movimientos!C:C, "Egreso", Movimientos!F:F, "G3")+SUMIFS(Movimientos!E:E, Movimientos!D:D, A194, Movimientos!C:C, "Ajuste", Movimientos!F:F, "G3")),"")</f>
        <v/>
      </c>
      <c r="J194" s="6" t="str">
        <f aca="false">IFERROR(IF(A194="","",SUM(E194:I194)),"")</f>
        <v/>
      </c>
      <c r="K194" s="6" t="str">
        <f aca="false">IFERROR(IF(A194="","",SUMIFS(Movimientos!E:E, Movimientos!D:D, A194, Movimientos!C:C, "Reserva")-SUMIFS(Movimientos!E:E, Movimientos!D:D, A194, Movimientos!C:C, "Libera_Reserva")),"")</f>
        <v/>
      </c>
      <c r="L194" s="6" t="str">
        <f aca="false">IFERROR(IF(A194="","",J194-K194),"")</f>
        <v/>
      </c>
      <c r="M194" s="6" t="str">
        <f aca="false">IFERROR(IF(Productos!A194="","",Productos!G194),"")</f>
        <v/>
      </c>
      <c r="N194" s="6" t="str">
        <f aca="false">IFERROR(IF(A194="","",IF(L194&lt;M194,"BAJO STOCK","OK")),"")</f>
        <v/>
      </c>
    </row>
    <row r="195" customFormat="false" ht="15" hidden="false" customHeight="false" outlineLevel="0" collapsed="false">
      <c r="A195" s="0" t="str">
        <f aca="false">IFERROR(IF(Productos!A195="","",Productos!A195),"")</f>
        <v/>
      </c>
      <c r="B195" s="0" t="str">
        <f aca="false">IFERROR(IF(Productos!A195="","",Productos!B195),"")</f>
        <v/>
      </c>
      <c r="C195" s="0" t="str">
        <f aca="false">IFERROR(IF(Productos!A195="","",Productos!C195),"")</f>
        <v/>
      </c>
      <c r="D195" s="0" t="str">
        <f aca="false">IFERROR(IF(Productos!A195="","",Productos!E195),"")</f>
        <v/>
      </c>
      <c r="E195" s="6" t="str">
        <f aca="false">IFERROR(IF(A195="","",SUMIFS(Movimientos!E:E, Movimientos!D:D, A195, Movimientos!C:C, "Ingreso", Movimientos!G:G, "TIN")+SUMIFS(Movimientos!E:E, Movimientos!D:D, A195, Movimientos!C:C, "Traslado", Movimientos!G:G, "TIN")-SUMIFS(Movimientos!E:E, Movimientos!D:D, A195, Movimientos!C:C, "Traslado", Movimientos!F:F, "TIN")-SUMIFS(Movimientos!E:E, Movimientos!D:D, A195, Movimientos!C:C, "Egreso", Movimientos!F:F, "TIN")+SUMIFS(Movimientos!E:E, Movimientos!D:D, A195, Movimientos!C:C, "Ajuste", Movimientos!F:F, "TIN")),"")</f>
        <v/>
      </c>
      <c r="F195" s="6" t="str">
        <f aca="false">IFERROR(IF(A195="","",SUMIFS(Movimientos!E:E, Movimientos!D:D, A195, Movimientos!C:C, "Ingreso", Movimientos!G:G, "G1000")+SUMIFS(Movimientos!E:E, Movimientos!D:D, A195, Movimientos!C:C, "Traslado", Movimientos!G:G, "G1000")-SUMIFS(Movimientos!E:E, Movimientos!D:D, A195, Movimientos!C:C, "Traslado", Movimientos!F:F, "G1000")-SUMIFS(Movimientos!E:E, Movimientos!D:D, A195, Movimientos!C:C, "Egreso", Movimientos!F:F, "G1000")+SUMIFS(Movimientos!E:E, Movimientos!D:D, A195, Movimientos!C:C, "Ajuste", Movimientos!F:F, "G1000")),"")</f>
        <v/>
      </c>
      <c r="G195" s="6" t="str">
        <f aca="false">IFERROR(IF(A195="","",SUMIFS(Movimientos!E:E, Movimientos!D:D, A195, Movimientos!C:C, "Ingreso", Movimientos!G:G, "G710")+SUMIFS(Movimientos!E:E, Movimientos!D:D, A195, Movimientos!C:C, "Traslado", Movimientos!G:G, "G710")-SUMIFS(Movimientos!E:E, Movimientos!D:D, A195, Movimientos!C:C, "Traslado", Movimientos!F:F, "G710")-SUMIFS(Movimientos!E:E, Movimientos!D:D, A195, Movimientos!C:C, "Egreso", Movimientos!F:F, "G710")+SUMIFS(Movimientos!E:E, Movimientos!D:D, A195, Movimientos!C:C, "Ajuste", Movimientos!F:F, "G710")),"")</f>
        <v/>
      </c>
      <c r="H195" s="6" t="str">
        <f aca="false">IFERROR(IF(A195="","",SUMIFS(Movimientos!E:E, Movimientos!D:D, A195, Movimientos!C:C, "Ingreso", Movimientos!G:G, "G5000")+SUMIFS(Movimientos!E:E, Movimientos!D:D, A195, Movimientos!C:C, "Traslado", Movimientos!G:G, "G5000")-SUMIFS(Movimientos!E:E, Movimientos!D:D, A195, Movimientos!C:C, "Traslado", Movimientos!F:F, "G5000")-SUMIFS(Movimientos!E:E, Movimientos!D:D, A195, Movimientos!C:C, "Egreso", Movimientos!F:F, "G5000")+SUMIFS(Movimientos!E:E, Movimientos!D:D, A195, Movimientos!C:C, "Ajuste", Movimientos!F:F, "G5000")),"")</f>
        <v/>
      </c>
      <c r="I195" s="6" t="str">
        <f aca="false">IFERROR(IF(A195="","",SUMIFS(Movimientos!E:E, Movimientos!D:D, A195, Movimientos!C:C, "Ingreso", Movimientos!G:G, "G3")+SUMIFS(Movimientos!E:E, Movimientos!D:D, A195, Movimientos!C:C, "Traslado", Movimientos!G:G, "G3")-SUMIFS(Movimientos!E:E, Movimientos!D:D, A195, Movimientos!C:C, "Traslado", Movimientos!F:F, "G3")-SUMIFS(Movimientos!E:E, Movimientos!D:D, A195, Movimientos!C:C, "Egreso", Movimientos!F:F, "G3")+SUMIFS(Movimientos!E:E, Movimientos!D:D, A195, Movimientos!C:C, "Ajuste", Movimientos!F:F, "G3")),"")</f>
        <v/>
      </c>
      <c r="J195" s="6" t="str">
        <f aca="false">IFERROR(IF(A195="","",SUM(E195:I195)),"")</f>
        <v/>
      </c>
      <c r="K195" s="6" t="str">
        <f aca="false">IFERROR(IF(A195="","",SUMIFS(Movimientos!E:E, Movimientos!D:D, A195, Movimientos!C:C, "Reserva")-SUMIFS(Movimientos!E:E, Movimientos!D:D, A195, Movimientos!C:C, "Libera_Reserva")),"")</f>
        <v/>
      </c>
      <c r="L195" s="6" t="str">
        <f aca="false">IFERROR(IF(A195="","",J195-K195),"")</f>
        <v/>
      </c>
      <c r="M195" s="6" t="str">
        <f aca="false">IFERROR(IF(Productos!A195="","",Productos!G195),"")</f>
        <v/>
      </c>
      <c r="N195" s="6" t="str">
        <f aca="false">IFERROR(IF(A195="","",IF(L195&lt;M195,"BAJO STOCK","OK")),"")</f>
        <v/>
      </c>
    </row>
    <row r="196" customFormat="false" ht="15" hidden="false" customHeight="false" outlineLevel="0" collapsed="false">
      <c r="A196" s="0" t="str">
        <f aca="false">IFERROR(IF(Productos!A196="","",Productos!A196),"")</f>
        <v/>
      </c>
      <c r="B196" s="0" t="str">
        <f aca="false">IFERROR(IF(Productos!A196="","",Productos!B196),"")</f>
        <v/>
      </c>
      <c r="C196" s="0" t="str">
        <f aca="false">IFERROR(IF(Productos!A196="","",Productos!C196),"")</f>
        <v/>
      </c>
      <c r="D196" s="0" t="str">
        <f aca="false">IFERROR(IF(Productos!A196="","",Productos!E196),"")</f>
        <v/>
      </c>
      <c r="E196" s="6" t="str">
        <f aca="false">IFERROR(IF(A196="","",SUMIFS(Movimientos!E:E, Movimientos!D:D, A196, Movimientos!C:C, "Ingreso", Movimientos!G:G, "TIN")+SUMIFS(Movimientos!E:E, Movimientos!D:D, A196, Movimientos!C:C, "Traslado", Movimientos!G:G, "TIN")-SUMIFS(Movimientos!E:E, Movimientos!D:D, A196, Movimientos!C:C, "Traslado", Movimientos!F:F, "TIN")-SUMIFS(Movimientos!E:E, Movimientos!D:D, A196, Movimientos!C:C, "Egreso", Movimientos!F:F, "TIN")+SUMIFS(Movimientos!E:E, Movimientos!D:D, A196, Movimientos!C:C, "Ajuste", Movimientos!F:F, "TIN")),"")</f>
        <v/>
      </c>
      <c r="F196" s="6" t="str">
        <f aca="false">IFERROR(IF(A196="","",SUMIFS(Movimientos!E:E, Movimientos!D:D, A196, Movimientos!C:C, "Ingreso", Movimientos!G:G, "G1000")+SUMIFS(Movimientos!E:E, Movimientos!D:D, A196, Movimientos!C:C, "Traslado", Movimientos!G:G, "G1000")-SUMIFS(Movimientos!E:E, Movimientos!D:D, A196, Movimientos!C:C, "Traslado", Movimientos!F:F, "G1000")-SUMIFS(Movimientos!E:E, Movimientos!D:D, A196, Movimientos!C:C, "Egreso", Movimientos!F:F, "G1000")+SUMIFS(Movimientos!E:E, Movimientos!D:D, A196, Movimientos!C:C, "Ajuste", Movimientos!F:F, "G1000")),"")</f>
        <v/>
      </c>
      <c r="G196" s="6" t="str">
        <f aca="false">IFERROR(IF(A196="","",SUMIFS(Movimientos!E:E, Movimientos!D:D, A196, Movimientos!C:C, "Ingreso", Movimientos!G:G, "G710")+SUMIFS(Movimientos!E:E, Movimientos!D:D, A196, Movimientos!C:C, "Traslado", Movimientos!G:G, "G710")-SUMIFS(Movimientos!E:E, Movimientos!D:D, A196, Movimientos!C:C, "Traslado", Movimientos!F:F, "G710")-SUMIFS(Movimientos!E:E, Movimientos!D:D, A196, Movimientos!C:C, "Egreso", Movimientos!F:F, "G710")+SUMIFS(Movimientos!E:E, Movimientos!D:D, A196, Movimientos!C:C, "Ajuste", Movimientos!F:F, "G710")),"")</f>
        <v/>
      </c>
      <c r="H196" s="6" t="str">
        <f aca="false">IFERROR(IF(A196="","",SUMIFS(Movimientos!E:E, Movimientos!D:D, A196, Movimientos!C:C, "Ingreso", Movimientos!G:G, "G5000")+SUMIFS(Movimientos!E:E, Movimientos!D:D, A196, Movimientos!C:C, "Traslado", Movimientos!G:G, "G5000")-SUMIFS(Movimientos!E:E, Movimientos!D:D, A196, Movimientos!C:C, "Traslado", Movimientos!F:F, "G5000")-SUMIFS(Movimientos!E:E, Movimientos!D:D, A196, Movimientos!C:C, "Egreso", Movimientos!F:F, "G5000")+SUMIFS(Movimientos!E:E, Movimientos!D:D, A196, Movimientos!C:C, "Ajuste", Movimientos!F:F, "G5000")),"")</f>
        <v/>
      </c>
      <c r="I196" s="6" t="str">
        <f aca="false">IFERROR(IF(A196="","",SUMIFS(Movimientos!E:E, Movimientos!D:D, A196, Movimientos!C:C, "Ingreso", Movimientos!G:G, "G3")+SUMIFS(Movimientos!E:E, Movimientos!D:D, A196, Movimientos!C:C, "Traslado", Movimientos!G:G, "G3")-SUMIFS(Movimientos!E:E, Movimientos!D:D, A196, Movimientos!C:C, "Traslado", Movimientos!F:F, "G3")-SUMIFS(Movimientos!E:E, Movimientos!D:D, A196, Movimientos!C:C, "Egreso", Movimientos!F:F, "G3")+SUMIFS(Movimientos!E:E, Movimientos!D:D, A196, Movimientos!C:C, "Ajuste", Movimientos!F:F, "G3")),"")</f>
        <v/>
      </c>
      <c r="J196" s="6" t="str">
        <f aca="false">IFERROR(IF(A196="","",SUM(E196:I196)),"")</f>
        <v/>
      </c>
      <c r="K196" s="6" t="str">
        <f aca="false">IFERROR(IF(A196="","",SUMIFS(Movimientos!E:E, Movimientos!D:D, A196, Movimientos!C:C, "Reserva")-SUMIFS(Movimientos!E:E, Movimientos!D:D, A196, Movimientos!C:C, "Libera_Reserva")),"")</f>
        <v/>
      </c>
      <c r="L196" s="6" t="str">
        <f aca="false">IFERROR(IF(A196="","",J196-K196),"")</f>
        <v/>
      </c>
      <c r="M196" s="6" t="str">
        <f aca="false">IFERROR(IF(Productos!A196="","",Productos!G196),"")</f>
        <v/>
      </c>
      <c r="N196" s="6" t="str">
        <f aca="false">IFERROR(IF(A196="","",IF(L196&lt;M196,"BAJO STOCK","OK")),"")</f>
        <v/>
      </c>
    </row>
    <row r="197" customFormat="false" ht="15" hidden="false" customHeight="false" outlineLevel="0" collapsed="false">
      <c r="A197" s="0" t="str">
        <f aca="false">IFERROR(IF(Productos!A197="","",Productos!A197),"")</f>
        <v/>
      </c>
      <c r="B197" s="0" t="str">
        <f aca="false">IFERROR(IF(Productos!A197="","",Productos!B197),"")</f>
        <v/>
      </c>
      <c r="C197" s="0" t="str">
        <f aca="false">IFERROR(IF(Productos!A197="","",Productos!C197),"")</f>
        <v/>
      </c>
      <c r="D197" s="0" t="str">
        <f aca="false">IFERROR(IF(Productos!A197="","",Productos!E197),"")</f>
        <v/>
      </c>
      <c r="E197" s="6" t="str">
        <f aca="false">IFERROR(IF(A197="","",SUMIFS(Movimientos!E:E, Movimientos!D:D, A197, Movimientos!C:C, "Ingreso", Movimientos!G:G, "TIN")+SUMIFS(Movimientos!E:E, Movimientos!D:D, A197, Movimientos!C:C, "Traslado", Movimientos!G:G, "TIN")-SUMIFS(Movimientos!E:E, Movimientos!D:D, A197, Movimientos!C:C, "Traslado", Movimientos!F:F, "TIN")-SUMIFS(Movimientos!E:E, Movimientos!D:D, A197, Movimientos!C:C, "Egreso", Movimientos!F:F, "TIN")+SUMIFS(Movimientos!E:E, Movimientos!D:D, A197, Movimientos!C:C, "Ajuste", Movimientos!F:F, "TIN")),"")</f>
        <v/>
      </c>
      <c r="F197" s="6" t="str">
        <f aca="false">IFERROR(IF(A197="","",SUMIFS(Movimientos!E:E, Movimientos!D:D, A197, Movimientos!C:C, "Ingreso", Movimientos!G:G, "G1000")+SUMIFS(Movimientos!E:E, Movimientos!D:D, A197, Movimientos!C:C, "Traslado", Movimientos!G:G, "G1000")-SUMIFS(Movimientos!E:E, Movimientos!D:D, A197, Movimientos!C:C, "Traslado", Movimientos!F:F, "G1000")-SUMIFS(Movimientos!E:E, Movimientos!D:D, A197, Movimientos!C:C, "Egreso", Movimientos!F:F, "G1000")+SUMIFS(Movimientos!E:E, Movimientos!D:D, A197, Movimientos!C:C, "Ajuste", Movimientos!F:F, "G1000")),"")</f>
        <v/>
      </c>
      <c r="G197" s="6" t="str">
        <f aca="false">IFERROR(IF(A197="","",SUMIFS(Movimientos!E:E, Movimientos!D:D, A197, Movimientos!C:C, "Ingreso", Movimientos!G:G, "G710")+SUMIFS(Movimientos!E:E, Movimientos!D:D, A197, Movimientos!C:C, "Traslado", Movimientos!G:G, "G710")-SUMIFS(Movimientos!E:E, Movimientos!D:D, A197, Movimientos!C:C, "Traslado", Movimientos!F:F, "G710")-SUMIFS(Movimientos!E:E, Movimientos!D:D, A197, Movimientos!C:C, "Egreso", Movimientos!F:F, "G710")+SUMIFS(Movimientos!E:E, Movimientos!D:D, A197, Movimientos!C:C, "Ajuste", Movimientos!F:F, "G710")),"")</f>
        <v/>
      </c>
      <c r="H197" s="6" t="str">
        <f aca="false">IFERROR(IF(A197="","",SUMIFS(Movimientos!E:E, Movimientos!D:D, A197, Movimientos!C:C, "Ingreso", Movimientos!G:G, "G5000")+SUMIFS(Movimientos!E:E, Movimientos!D:D, A197, Movimientos!C:C, "Traslado", Movimientos!G:G, "G5000")-SUMIFS(Movimientos!E:E, Movimientos!D:D, A197, Movimientos!C:C, "Traslado", Movimientos!F:F, "G5000")-SUMIFS(Movimientos!E:E, Movimientos!D:D, A197, Movimientos!C:C, "Egreso", Movimientos!F:F, "G5000")+SUMIFS(Movimientos!E:E, Movimientos!D:D, A197, Movimientos!C:C, "Ajuste", Movimientos!F:F, "G5000")),"")</f>
        <v/>
      </c>
      <c r="I197" s="6" t="str">
        <f aca="false">IFERROR(IF(A197="","",SUMIFS(Movimientos!E:E, Movimientos!D:D, A197, Movimientos!C:C, "Ingreso", Movimientos!G:G, "G3")+SUMIFS(Movimientos!E:E, Movimientos!D:D, A197, Movimientos!C:C, "Traslado", Movimientos!G:G, "G3")-SUMIFS(Movimientos!E:E, Movimientos!D:D, A197, Movimientos!C:C, "Traslado", Movimientos!F:F, "G3")-SUMIFS(Movimientos!E:E, Movimientos!D:D, A197, Movimientos!C:C, "Egreso", Movimientos!F:F, "G3")+SUMIFS(Movimientos!E:E, Movimientos!D:D, A197, Movimientos!C:C, "Ajuste", Movimientos!F:F, "G3")),"")</f>
        <v/>
      </c>
      <c r="J197" s="6" t="str">
        <f aca="false">IFERROR(IF(A197="","",SUM(E197:I197)),"")</f>
        <v/>
      </c>
      <c r="K197" s="6" t="str">
        <f aca="false">IFERROR(IF(A197="","",SUMIFS(Movimientos!E:E, Movimientos!D:D, A197, Movimientos!C:C, "Reserva")-SUMIFS(Movimientos!E:E, Movimientos!D:D, A197, Movimientos!C:C, "Libera_Reserva")),"")</f>
        <v/>
      </c>
      <c r="L197" s="6" t="str">
        <f aca="false">IFERROR(IF(A197="","",J197-K197),"")</f>
        <v/>
      </c>
      <c r="M197" s="6" t="str">
        <f aca="false">IFERROR(IF(Productos!A197="","",Productos!G197),"")</f>
        <v/>
      </c>
      <c r="N197" s="6" t="str">
        <f aca="false">IFERROR(IF(A197="","",IF(L197&lt;M197,"BAJO STOCK","OK")),"")</f>
        <v/>
      </c>
    </row>
    <row r="198" customFormat="false" ht="15" hidden="false" customHeight="false" outlineLevel="0" collapsed="false">
      <c r="A198" s="0" t="str">
        <f aca="false">IFERROR(IF(Productos!A198="","",Productos!A198),"")</f>
        <v/>
      </c>
      <c r="B198" s="0" t="str">
        <f aca="false">IFERROR(IF(Productos!A198="","",Productos!B198),"")</f>
        <v/>
      </c>
      <c r="C198" s="0" t="str">
        <f aca="false">IFERROR(IF(Productos!A198="","",Productos!C198),"")</f>
        <v/>
      </c>
      <c r="D198" s="0" t="str">
        <f aca="false">IFERROR(IF(Productos!A198="","",Productos!E198),"")</f>
        <v/>
      </c>
      <c r="E198" s="6" t="str">
        <f aca="false">IFERROR(IF(A198="","",SUMIFS(Movimientos!E:E, Movimientos!D:D, A198, Movimientos!C:C, "Ingreso", Movimientos!G:G, "TIN")+SUMIFS(Movimientos!E:E, Movimientos!D:D, A198, Movimientos!C:C, "Traslado", Movimientos!G:G, "TIN")-SUMIFS(Movimientos!E:E, Movimientos!D:D, A198, Movimientos!C:C, "Traslado", Movimientos!F:F, "TIN")-SUMIFS(Movimientos!E:E, Movimientos!D:D, A198, Movimientos!C:C, "Egreso", Movimientos!F:F, "TIN")+SUMIFS(Movimientos!E:E, Movimientos!D:D, A198, Movimientos!C:C, "Ajuste", Movimientos!F:F, "TIN")),"")</f>
        <v/>
      </c>
      <c r="F198" s="6" t="str">
        <f aca="false">IFERROR(IF(A198="","",SUMIFS(Movimientos!E:E, Movimientos!D:D, A198, Movimientos!C:C, "Ingreso", Movimientos!G:G, "G1000")+SUMIFS(Movimientos!E:E, Movimientos!D:D, A198, Movimientos!C:C, "Traslado", Movimientos!G:G, "G1000")-SUMIFS(Movimientos!E:E, Movimientos!D:D, A198, Movimientos!C:C, "Traslado", Movimientos!F:F, "G1000")-SUMIFS(Movimientos!E:E, Movimientos!D:D, A198, Movimientos!C:C, "Egreso", Movimientos!F:F, "G1000")+SUMIFS(Movimientos!E:E, Movimientos!D:D, A198, Movimientos!C:C, "Ajuste", Movimientos!F:F, "G1000")),"")</f>
        <v/>
      </c>
      <c r="G198" s="6" t="str">
        <f aca="false">IFERROR(IF(A198="","",SUMIFS(Movimientos!E:E, Movimientos!D:D, A198, Movimientos!C:C, "Ingreso", Movimientos!G:G, "G710")+SUMIFS(Movimientos!E:E, Movimientos!D:D, A198, Movimientos!C:C, "Traslado", Movimientos!G:G, "G710")-SUMIFS(Movimientos!E:E, Movimientos!D:D, A198, Movimientos!C:C, "Traslado", Movimientos!F:F, "G710")-SUMIFS(Movimientos!E:E, Movimientos!D:D, A198, Movimientos!C:C, "Egreso", Movimientos!F:F, "G710")+SUMIFS(Movimientos!E:E, Movimientos!D:D, A198, Movimientos!C:C, "Ajuste", Movimientos!F:F, "G710")),"")</f>
        <v/>
      </c>
      <c r="H198" s="6" t="str">
        <f aca="false">IFERROR(IF(A198="","",SUMIFS(Movimientos!E:E, Movimientos!D:D, A198, Movimientos!C:C, "Ingreso", Movimientos!G:G, "G5000")+SUMIFS(Movimientos!E:E, Movimientos!D:D, A198, Movimientos!C:C, "Traslado", Movimientos!G:G, "G5000")-SUMIFS(Movimientos!E:E, Movimientos!D:D, A198, Movimientos!C:C, "Traslado", Movimientos!F:F, "G5000")-SUMIFS(Movimientos!E:E, Movimientos!D:D, A198, Movimientos!C:C, "Egreso", Movimientos!F:F, "G5000")+SUMIFS(Movimientos!E:E, Movimientos!D:D, A198, Movimientos!C:C, "Ajuste", Movimientos!F:F, "G5000")),"")</f>
        <v/>
      </c>
      <c r="I198" s="6" t="str">
        <f aca="false">IFERROR(IF(A198="","",SUMIFS(Movimientos!E:E, Movimientos!D:D, A198, Movimientos!C:C, "Ingreso", Movimientos!G:G, "G3")+SUMIFS(Movimientos!E:E, Movimientos!D:D, A198, Movimientos!C:C, "Traslado", Movimientos!G:G, "G3")-SUMIFS(Movimientos!E:E, Movimientos!D:D, A198, Movimientos!C:C, "Traslado", Movimientos!F:F, "G3")-SUMIFS(Movimientos!E:E, Movimientos!D:D, A198, Movimientos!C:C, "Egreso", Movimientos!F:F, "G3")+SUMIFS(Movimientos!E:E, Movimientos!D:D, A198, Movimientos!C:C, "Ajuste", Movimientos!F:F, "G3")),"")</f>
        <v/>
      </c>
      <c r="J198" s="6" t="str">
        <f aca="false">IFERROR(IF(A198="","",SUM(E198:I198)),"")</f>
        <v/>
      </c>
      <c r="K198" s="6" t="str">
        <f aca="false">IFERROR(IF(A198="","",SUMIFS(Movimientos!E:E, Movimientos!D:D, A198, Movimientos!C:C, "Reserva")-SUMIFS(Movimientos!E:E, Movimientos!D:D, A198, Movimientos!C:C, "Libera_Reserva")),"")</f>
        <v/>
      </c>
      <c r="L198" s="6" t="str">
        <f aca="false">IFERROR(IF(A198="","",J198-K198),"")</f>
        <v/>
      </c>
      <c r="M198" s="6" t="str">
        <f aca="false">IFERROR(IF(Productos!A198="","",Productos!G198),"")</f>
        <v/>
      </c>
      <c r="N198" s="6" t="str">
        <f aca="false">IFERROR(IF(A198="","",IF(L198&lt;M198,"BAJO STOCK","OK")),"")</f>
        <v/>
      </c>
    </row>
    <row r="199" customFormat="false" ht="15" hidden="false" customHeight="false" outlineLevel="0" collapsed="false">
      <c r="A199" s="0" t="str">
        <f aca="false">IFERROR(IF(Productos!A199="","",Productos!A199),"")</f>
        <v/>
      </c>
      <c r="B199" s="0" t="str">
        <f aca="false">IFERROR(IF(Productos!A199="","",Productos!B199),"")</f>
        <v/>
      </c>
      <c r="C199" s="0" t="str">
        <f aca="false">IFERROR(IF(Productos!A199="","",Productos!C199),"")</f>
        <v/>
      </c>
      <c r="D199" s="0" t="str">
        <f aca="false">IFERROR(IF(Productos!A199="","",Productos!E199),"")</f>
        <v/>
      </c>
      <c r="E199" s="6" t="str">
        <f aca="false">IFERROR(IF(A199="","",SUMIFS(Movimientos!E:E, Movimientos!D:D, A199, Movimientos!C:C, "Ingreso", Movimientos!G:G, "TIN")+SUMIFS(Movimientos!E:E, Movimientos!D:D, A199, Movimientos!C:C, "Traslado", Movimientos!G:G, "TIN")-SUMIFS(Movimientos!E:E, Movimientos!D:D, A199, Movimientos!C:C, "Traslado", Movimientos!F:F, "TIN")-SUMIFS(Movimientos!E:E, Movimientos!D:D, A199, Movimientos!C:C, "Egreso", Movimientos!F:F, "TIN")+SUMIFS(Movimientos!E:E, Movimientos!D:D, A199, Movimientos!C:C, "Ajuste", Movimientos!F:F, "TIN")),"")</f>
        <v/>
      </c>
      <c r="F199" s="6" t="str">
        <f aca="false">IFERROR(IF(A199="","",SUMIFS(Movimientos!E:E, Movimientos!D:D, A199, Movimientos!C:C, "Ingreso", Movimientos!G:G, "G1000")+SUMIFS(Movimientos!E:E, Movimientos!D:D, A199, Movimientos!C:C, "Traslado", Movimientos!G:G, "G1000")-SUMIFS(Movimientos!E:E, Movimientos!D:D, A199, Movimientos!C:C, "Traslado", Movimientos!F:F, "G1000")-SUMIFS(Movimientos!E:E, Movimientos!D:D, A199, Movimientos!C:C, "Egreso", Movimientos!F:F, "G1000")+SUMIFS(Movimientos!E:E, Movimientos!D:D, A199, Movimientos!C:C, "Ajuste", Movimientos!F:F, "G1000")),"")</f>
        <v/>
      </c>
      <c r="G199" s="6" t="str">
        <f aca="false">IFERROR(IF(A199="","",SUMIFS(Movimientos!E:E, Movimientos!D:D, A199, Movimientos!C:C, "Ingreso", Movimientos!G:G, "G710")+SUMIFS(Movimientos!E:E, Movimientos!D:D, A199, Movimientos!C:C, "Traslado", Movimientos!G:G, "G710")-SUMIFS(Movimientos!E:E, Movimientos!D:D, A199, Movimientos!C:C, "Traslado", Movimientos!F:F, "G710")-SUMIFS(Movimientos!E:E, Movimientos!D:D, A199, Movimientos!C:C, "Egreso", Movimientos!F:F, "G710")+SUMIFS(Movimientos!E:E, Movimientos!D:D, A199, Movimientos!C:C, "Ajuste", Movimientos!F:F, "G710")),"")</f>
        <v/>
      </c>
      <c r="H199" s="6" t="str">
        <f aca="false">IFERROR(IF(A199="","",SUMIFS(Movimientos!E:E, Movimientos!D:D, A199, Movimientos!C:C, "Ingreso", Movimientos!G:G, "G5000")+SUMIFS(Movimientos!E:E, Movimientos!D:D, A199, Movimientos!C:C, "Traslado", Movimientos!G:G, "G5000")-SUMIFS(Movimientos!E:E, Movimientos!D:D, A199, Movimientos!C:C, "Traslado", Movimientos!F:F, "G5000")-SUMIFS(Movimientos!E:E, Movimientos!D:D, A199, Movimientos!C:C, "Egreso", Movimientos!F:F, "G5000")+SUMIFS(Movimientos!E:E, Movimientos!D:D, A199, Movimientos!C:C, "Ajuste", Movimientos!F:F, "G5000")),"")</f>
        <v/>
      </c>
      <c r="I199" s="6" t="str">
        <f aca="false">IFERROR(IF(A199="","",SUMIFS(Movimientos!E:E, Movimientos!D:D, A199, Movimientos!C:C, "Ingreso", Movimientos!G:G, "G3")+SUMIFS(Movimientos!E:E, Movimientos!D:D, A199, Movimientos!C:C, "Traslado", Movimientos!G:G, "G3")-SUMIFS(Movimientos!E:E, Movimientos!D:D, A199, Movimientos!C:C, "Traslado", Movimientos!F:F, "G3")-SUMIFS(Movimientos!E:E, Movimientos!D:D, A199, Movimientos!C:C, "Egreso", Movimientos!F:F, "G3")+SUMIFS(Movimientos!E:E, Movimientos!D:D, A199, Movimientos!C:C, "Ajuste", Movimientos!F:F, "G3")),"")</f>
        <v/>
      </c>
      <c r="J199" s="6" t="str">
        <f aca="false">IFERROR(IF(A199="","",SUM(E199:I199)),"")</f>
        <v/>
      </c>
      <c r="K199" s="6" t="str">
        <f aca="false">IFERROR(IF(A199="","",SUMIFS(Movimientos!E:E, Movimientos!D:D, A199, Movimientos!C:C, "Reserva")-SUMIFS(Movimientos!E:E, Movimientos!D:D, A199, Movimientos!C:C, "Libera_Reserva")),"")</f>
        <v/>
      </c>
      <c r="L199" s="6" t="str">
        <f aca="false">IFERROR(IF(A199="","",J199-K199),"")</f>
        <v/>
      </c>
      <c r="M199" s="6" t="str">
        <f aca="false">IFERROR(IF(Productos!A199="","",Productos!G199),"")</f>
        <v/>
      </c>
      <c r="N199" s="6" t="str">
        <f aca="false">IFERROR(IF(A199="","",IF(L199&lt;M199,"BAJO STOCK","OK")),"")</f>
        <v/>
      </c>
    </row>
    <row r="200" customFormat="false" ht="15" hidden="false" customHeight="false" outlineLevel="0" collapsed="false">
      <c r="A200" s="0" t="str">
        <f aca="false">IFERROR(IF(Productos!A200="","",Productos!A200),"")</f>
        <v/>
      </c>
      <c r="B200" s="0" t="str">
        <f aca="false">IFERROR(IF(Productos!A200="","",Productos!B200),"")</f>
        <v/>
      </c>
      <c r="C200" s="0" t="str">
        <f aca="false">IFERROR(IF(Productos!A200="","",Productos!C200),"")</f>
        <v/>
      </c>
      <c r="D200" s="0" t="str">
        <f aca="false">IFERROR(IF(Productos!A200="","",Productos!E200),"")</f>
        <v/>
      </c>
      <c r="E200" s="6" t="str">
        <f aca="false">IFERROR(IF(A200="","",SUMIFS(Movimientos!E:E, Movimientos!D:D, A200, Movimientos!C:C, "Ingreso", Movimientos!G:G, "TIN")+SUMIFS(Movimientos!E:E, Movimientos!D:D, A200, Movimientos!C:C, "Traslado", Movimientos!G:G, "TIN")-SUMIFS(Movimientos!E:E, Movimientos!D:D, A200, Movimientos!C:C, "Traslado", Movimientos!F:F, "TIN")-SUMIFS(Movimientos!E:E, Movimientos!D:D, A200, Movimientos!C:C, "Egreso", Movimientos!F:F, "TIN")+SUMIFS(Movimientos!E:E, Movimientos!D:D, A200, Movimientos!C:C, "Ajuste", Movimientos!F:F, "TIN")),"")</f>
        <v/>
      </c>
      <c r="F200" s="6" t="str">
        <f aca="false">IFERROR(IF(A200="","",SUMIFS(Movimientos!E:E, Movimientos!D:D, A200, Movimientos!C:C, "Ingreso", Movimientos!G:G, "G1000")+SUMIFS(Movimientos!E:E, Movimientos!D:D, A200, Movimientos!C:C, "Traslado", Movimientos!G:G, "G1000")-SUMIFS(Movimientos!E:E, Movimientos!D:D, A200, Movimientos!C:C, "Traslado", Movimientos!F:F, "G1000")-SUMIFS(Movimientos!E:E, Movimientos!D:D, A200, Movimientos!C:C, "Egreso", Movimientos!F:F, "G1000")+SUMIFS(Movimientos!E:E, Movimientos!D:D, A200, Movimientos!C:C, "Ajuste", Movimientos!F:F, "G1000")),"")</f>
        <v/>
      </c>
      <c r="G200" s="6" t="str">
        <f aca="false">IFERROR(IF(A200="","",SUMIFS(Movimientos!E:E, Movimientos!D:D, A200, Movimientos!C:C, "Ingreso", Movimientos!G:G, "G710")+SUMIFS(Movimientos!E:E, Movimientos!D:D, A200, Movimientos!C:C, "Traslado", Movimientos!G:G, "G710")-SUMIFS(Movimientos!E:E, Movimientos!D:D, A200, Movimientos!C:C, "Traslado", Movimientos!F:F, "G710")-SUMIFS(Movimientos!E:E, Movimientos!D:D, A200, Movimientos!C:C, "Egreso", Movimientos!F:F, "G710")+SUMIFS(Movimientos!E:E, Movimientos!D:D, A200, Movimientos!C:C, "Ajuste", Movimientos!F:F, "G710")),"")</f>
        <v/>
      </c>
      <c r="H200" s="6" t="str">
        <f aca="false">IFERROR(IF(A200="","",SUMIFS(Movimientos!E:E, Movimientos!D:D, A200, Movimientos!C:C, "Ingreso", Movimientos!G:G, "G5000")+SUMIFS(Movimientos!E:E, Movimientos!D:D, A200, Movimientos!C:C, "Traslado", Movimientos!G:G, "G5000")-SUMIFS(Movimientos!E:E, Movimientos!D:D, A200, Movimientos!C:C, "Traslado", Movimientos!F:F, "G5000")-SUMIFS(Movimientos!E:E, Movimientos!D:D, A200, Movimientos!C:C, "Egreso", Movimientos!F:F, "G5000")+SUMIFS(Movimientos!E:E, Movimientos!D:D, A200, Movimientos!C:C, "Ajuste", Movimientos!F:F, "G5000")),"")</f>
        <v/>
      </c>
      <c r="I200" s="6" t="str">
        <f aca="false">IFERROR(IF(A200="","",SUMIFS(Movimientos!E:E, Movimientos!D:D, A200, Movimientos!C:C, "Ingreso", Movimientos!G:G, "G3")+SUMIFS(Movimientos!E:E, Movimientos!D:D, A200, Movimientos!C:C, "Traslado", Movimientos!G:G, "G3")-SUMIFS(Movimientos!E:E, Movimientos!D:D, A200, Movimientos!C:C, "Traslado", Movimientos!F:F, "G3")-SUMIFS(Movimientos!E:E, Movimientos!D:D, A200, Movimientos!C:C, "Egreso", Movimientos!F:F, "G3")+SUMIFS(Movimientos!E:E, Movimientos!D:D, A200, Movimientos!C:C, "Ajuste", Movimientos!F:F, "G3")),"")</f>
        <v/>
      </c>
      <c r="J200" s="6" t="str">
        <f aca="false">IFERROR(IF(A200="","",SUM(E200:I200)),"")</f>
        <v/>
      </c>
      <c r="K200" s="6" t="str">
        <f aca="false">IFERROR(IF(A200="","",SUMIFS(Movimientos!E:E, Movimientos!D:D, A200, Movimientos!C:C, "Reserva")-SUMIFS(Movimientos!E:E, Movimientos!D:D, A200, Movimientos!C:C, "Libera_Reserva")),"")</f>
        <v/>
      </c>
      <c r="L200" s="6" t="str">
        <f aca="false">IFERROR(IF(A200="","",J200-K200),"")</f>
        <v/>
      </c>
      <c r="M200" s="6" t="str">
        <f aca="false">IFERROR(IF(Productos!A200="","",Productos!G200),"")</f>
        <v/>
      </c>
      <c r="N200" s="6" t="str">
        <f aca="false">IFERROR(IF(A200="","",IF(L200&lt;M200,"BAJO STOCK","OK")),"")</f>
        <v/>
      </c>
    </row>
    <row r="201" customFormat="false" ht="15" hidden="false" customHeight="false" outlineLevel="0" collapsed="false">
      <c r="A201" s="0" t="str">
        <f aca="false">IFERROR(IF(Productos!A201="","",Productos!A201),"")</f>
        <v/>
      </c>
      <c r="B201" s="0" t="str">
        <f aca="false">IFERROR(IF(Productos!A201="","",Productos!B201),"")</f>
        <v/>
      </c>
      <c r="C201" s="0" t="str">
        <f aca="false">IFERROR(IF(Productos!A201="","",Productos!C201),"")</f>
        <v/>
      </c>
      <c r="D201" s="0" t="str">
        <f aca="false">IFERROR(IF(Productos!A201="","",Productos!E201),"")</f>
        <v/>
      </c>
      <c r="E201" s="6" t="str">
        <f aca="false">IFERROR(IF(A201="","",SUMIFS(Movimientos!E:E, Movimientos!D:D, A201, Movimientos!C:C, "Ingreso", Movimientos!G:G, "TIN")+SUMIFS(Movimientos!E:E, Movimientos!D:D, A201, Movimientos!C:C, "Traslado", Movimientos!G:G, "TIN")-SUMIFS(Movimientos!E:E, Movimientos!D:D, A201, Movimientos!C:C, "Traslado", Movimientos!F:F, "TIN")-SUMIFS(Movimientos!E:E, Movimientos!D:D, A201, Movimientos!C:C, "Egreso", Movimientos!F:F, "TIN")+SUMIFS(Movimientos!E:E, Movimientos!D:D, A201, Movimientos!C:C, "Ajuste", Movimientos!F:F, "TIN")),"")</f>
        <v/>
      </c>
      <c r="F201" s="6" t="str">
        <f aca="false">IFERROR(IF(A201="","",SUMIFS(Movimientos!E:E, Movimientos!D:D, A201, Movimientos!C:C, "Ingreso", Movimientos!G:G, "G1000")+SUMIFS(Movimientos!E:E, Movimientos!D:D, A201, Movimientos!C:C, "Traslado", Movimientos!G:G, "G1000")-SUMIFS(Movimientos!E:E, Movimientos!D:D, A201, Movimientos!C:C, "Traslado", Movimientos!F:F, "G1000")-SUMIFS(Movimientos!E:E, Movimientos!D:D, A201, Movimientos!C:C, "Egreso", Movimientos!F:F, "G1000")+SUMIFS(Movimientos!E:E, Movimientos!D:D, A201, Movimientos!C:C, "Ajuste", Movimientos!F:F, "G1000")),"")</f>
        <v/>
      </c>
      <c r="G201" s="6" t="str">
        <f aca="false">IFERROR(IF(A201="","",SUMIFS(Movimientos!E:E, Movimientos!D:D, A201, Movimientos!C:C, "Ingreso", Movimientos!G:G, "G710")+SUMIFS(Movimientos!E:E, Movimientos!D:D, A201, Movimientos!C:C, "Traslado", Movimientos!G:G, "G710")-SUMIFS(Movimientos!E:E, Movimientos!D:D, A201, Movimientos!C:C, "Traslado", Movimientos!F:F, "G710")-SUMIFS(Movimientos!E:E, Movimientos!D:D, A201, Movimientos!C:C, "Egreso", Movimientos!F:F, "G710")+SUMIFS(Movimientos!E:E, Movimientos!D:D, A201, Movimientos!C:C, "Ajuste", Movimientos!F:F, "G710")),"")</f>
        <v/>
      </c>
      <c r="H201" s="6" t="str">
        <f aca="false">IFERROR(IF(A201="","",SUMIFS(Movimientos!E:E, Movimientos!D:D, A201, Movimientos!C:C, "Ingreso", Movimientos!G:G, "G5000")+SUMIFS(Movimientos!E:E, Movimientos!D:D, A201, Movimientos!C:C, "Traslado", Movimientos!G:G, "G5000")-SUMIFS(Movimientos!E:E, Movimientos!D:D, A201, Movimientos!C:C, "Traslado", Movimientos!F:F, "G5000")-SUMIFS(Movimientos!E:E, Movimientos!D:D, A201, Movimientos!C:C, "Egreso", Movimientos!F:F, "G5000")+SUMIFS(Movimientos!E:E, Movimientos!D:D, A201, Movimientos!C:C, "Ajuste", Movimientos!F:F, "G5000")),"")</f>
        <v/>
      </c>
      <c r="I201" s="6" t="str">
        <f aca="false">IFERROR(IF(A201="","",SUMIFS(Movimientos!E:E, Movimientos!D:D, A201, Movimientos!C:C, "Ingreso", Movimientos!G:G, "G3")+SUMIFS(Movimientos!E:E, Movimientos!D:D, A201, Movimientos!C:C, "Traslado", Movimientos!G:G, "G3")-SUMIFS(Movimientos!E:E, Movimientos!D:D, A201, Movimientos!C:C, "Traslado", Movimientos!F:F, "G3")-SUMIFS(Movimientos!E:E, Movimientos!D:D, A201, Movimientos!C:C, "Egreso", Movimientos!F:F, "G3")+SUMIFS(Movimientos!E:E, Movimientos!D:D, A201, Movimientos!C:C, "Ajuste", Movimientos!F:F, "G3")),"")</f>
        <v/>
      </c>
      <c r="J201" s="6" t="str">
        <f aca="false">IFERROR(IF(A201="","",SUM(E201:I201)),"")</f>
        <v/>
      </c>
      <c r="K201" s="6" t="str">
        <f aca="false">IFERROR(IF(A201="","",SUMIFS(Movimientos!E:E, Movimientos!D:D, A201, Movimientos!C:C, "Reserva")-SUMIFS(Movimientos!E:E, Movimientos!D:D, A201, Movimientos!C:C, "Libera_Reserva")),"")</f>
        <v/>
      </c>
      <c r="L201" s="6" t="str">
        <f aca="false">IFERROR(IF(A201="","",J201-K201),"")</f>
        <v/>
      </c>
      <c r="M201" s="6" t="str">
        <f aca="false">IFERROR(IF(Productos!A201="","",Productos!G201),"")</f>
        <v/>
      </c>
      <c r="N201" s="6" t="str">
        <f aca="false">IFERROR(IF(A201="","",IF(L201&lt;M201,"BAJO STOCK","OK")),"")</f>
        <v/>
      </c>
    </row>
    <row r="202" customFormat="false" ht="15" hidden="false" customHeight="false" outlineLevel="0" collapsed="false">
      <c r="A202" s="0" t="str">
        <f aca="false">IFERROR(IF(Productos!A202="","",Productos!A202),"")</f>
        <v/>
      </c>
      <c r="B202" s="0" t="str">
        <f aca="false">IFERROR(IF(Productos!A202="","",Productos!B202),"")</f>
        <v/>
      </c>
      <c r="C202" s="0" t="str">
        <f aca="false">IFERROR(IF(Productos!A202="","",Productos!C202),"")</f>
        <v/>
      </c>
      <c r="D202" s="0" t="str">
        <f aca="false">IFERROR(IF(Productos!A202="","",Productos!E202),"")</f>
        <v/>
      </c>
      <c r="E202" s="6" t="str">
        <f aca="false">IFERROR(IF(A202="","",SUMIFS(Movimientos!E:E, Movimientos!D:D, A202, Movimientos!C:C, "Ingreso", Movimientos!G:G, "TIN")+SUMIFS(Movimientos!E:E, Movimientos!D:D, A202, Movimientos!C:C, "Traslado", Movimientos!G:G, "TIN")-SUMIFS(Movimientos!E:E, Movimientos!D:D, A202, Movimientos!C:C, "Traslado", Movimientos!F:F, "TIN")-SUMIFS(Movimientos!E:E, Movimientos!D:D, A202, Movimientos!C:C, "Egreso", Movimientos!F:F, "TIN")+SUMIFS(Movimientos!E:E, Movimientos!D:D, A202, Movimientos!C:C, "Ajuste", Movimientos!F:F, "TIN")),"")</f>
        <v/>
      </c>
      <c r="F202" s="6" t="str">
        <f aca="false">IFERROR(IF(A202="","",SUMIFS(Movimientos!E:E, Movimientos!D:D, A202, Movimientos!C:C, "Ingreso", Movimientos!G:G, "G1000")+SUMIFS(Movimientos!E:E, Movimientos!D:D, A202, Movimientos!C:C, "Traslado", Movimientos!G:G, "G1000")-SUMIFS(Movimientos!E:E, Movimientos!D:D, A202, Movimientos!C:C, "Traslado", Movimientos!F:F, "G1000")-SUMIFS(Movimientos!E:E, Movimientos!D:D, A202, Movimientos!C:C, "Egreso", Movimientos!F:F, "G1000")+SUMIFS(Movimientos!E:E, Movimientos!D:D, A202, Movimientos!C:C, "Ajuste", Movimientos!F:F, "G1000")),"")</f>
        <v/>
      </c>
      <c r="G202" s="6" t="str">
        <f aca="false">IFERROR(IF(A202="","",SUMIFS(Movimientos!E:E, Movimientos!D:D, A202, Movimientos!C:C, "Ingreso", Movimientos!G:G, "G710")+SUMIFS(Movimientos!E:E, Movimientos!D:D, A202, Movimientos!C:C, "Traslado", Movimientos!G:G, "G710")-SUMIFS(Movimientos!E:E, Movimientos!D:D, A202, Movimientos!C:C, "Traslado", Movimientos!F:F, "G710")-SUMIFS(Movimientos!E:E, Movimientos!D:D, A202, Movimientos!C:C, "Egreso", Movimientos!F:F, "G710")+SUMIFS(Movimientos!E:E, Movimientos!D:D, A202, Movimientos!C:C, "Ajuste", Movimientos!F:F, "G710")),"")</f>
        <v/>
      </c>
      <c r="H202" s="6" t="str">
        <f aca="false">IFERROR(IF(A202="","",SUMIFS(Movimientos!E:E, Movimientos!D:D, A202, Movimientos!C:C, "Ingreso", Movimientos!G:G, "G5000")+SUMIFS(Movimientos!E:E, Movimientos!D:D, A202, Movimientos!C:C, "Traslado", Movimientos!G:G, "G5000")-SUMIFS(Movimientos!E:E, Movimientos!D:D, A202, Movimientos!C:C, "Traslado", Movimientos!F:F, "G5000")-SUMIFS(Movimientos!E:E, Movimientos!D:D, A202, Movimientos!C:C, "Egreso", Movimientos!F:F, "G5000")+SUMIFS(Movimientos!E:E, Movimientos!D:D, A202, Movimientos!C:C, "Ajuste", Movimientos!F:F, "G5000")),"")</f>
        <v/>
      </c>
      <c r="I202" s="6" t="str">
        <f aca="false">IFERROR(IF(A202="","",SUMIFS(Movimientos!E:E, Movimientos!D:D, A202, Movimientos!C:C, "Ingreso", Movimientos!G:G, "G3")+SUMIFS(Movimientos!E:E, Movimientos!D:D, A202, Movimientos!C:C, "Traslado", Movimientos!G:G, "G3")-SUMIFS(Movimientos!E:E, Movimientos!D:D, A202, Movimientos!C:C, "Traslado", Movimientos!F:F, "G3")-SUMIFS(Movimientos!E:E, Movimientos!D:D, A202, Movimientos!C:C, "Egreso", Movimientos!F:F, "G3")+SUMIFS(Movimientos!E:E, Movimientos!D:D, A202, Movimientos!C:C, "Ajuste", Movimientos!F:F, "G3")),"")</f>
        <v/>
      </c>
      <c r="J202" s="6" t="str">
        <f aca="false">IFERROR(IF(A202="","",SUM(E202:I202)),"")</f>
        <v/>
      </c>
      <c r="K202" s="6" t="str">
        <f aca="false">IFERROR(IF(A202="","",SUMIFS(Movimientos!E:E, Movimientos!D:D, A202, Movimientos!C:C, "Reserva")-SUMIFS(Movimientos!E:E, Movimientos!D:D, A202, Movimientos!C:C, "Libera_Reserva")),"")</f>
        <v/>
      </c>
      <c r="L202" s="6" t="str">
        <f aca="false">IFERROR(IF(A202="","",J202-K202),"")</f>
        <v/>
      </c>
      <c r="M202" s="6" t="str">
        <f aca="false">IFERROR(IF(Productos!A202="","",Productos!G202),"")</f>
        <v/>
      </c>
      <c r="N202" s="6" t="str">
        <f aca="false">IFERROR(IF(A202="","",IF(L202&lt;M202,"BAJO STOCK","OK")),"")</f>
        <v/>
      </c>
    </row>
    <row r="203" customFormat="false" ht="15" hidden="false" customHeight="false" outlineLevel="0" collapsed="false">
      <c r="A203" s="0" t="str">
        <f aca="false">IFERROR(IF(Productos!A203="","",Productos!A203),"")</f>
        <v/>
      </c>
      <c r="B203" s="0" t="str">
        <f aca="false">IFERROR(IF(Productos!A203="","",Productos!B203),"")</f>
        <v/>
      </c>
      <c r="C203" s="0" t="str">
        <f aca="false">IFERROR(IF(Productos!A203="","",Productos!C203),"")</f>
        <v/>
      </c>
      <c r="D203" s="0" t="str">
        <f aca="false">IFERROR(IF(Productos!A203="","",Productos!E203),"")</f>
        <v/>
      </c>
      <c r="E203" s="6" t="str">
        <f aca="false">IFERROR(IF(A203="","",SUMIFS(Movimientos!E:E, Movimientos!D:D, A203, Movimientos!C:C, "Ingreso", Movimientos!G:G, "TIN")+SUMIFS(Movimientos!E:E, Movimientos!D:D, A203, Movimientos!C:C, "Traslado", Movimientos!G:G, "TIN")-SUMIFS(Movimientos!E:E, Movimientos!D:D, A203, Movimientos!C:C, "Traslado", Movimientos!F:F, "TIN")-SUMIFS(Movimientos!E:E, Movimientos!D:D, A203, Movimientos!C:C, "Egreso", Movimientos!F:F, "TIN")+SUMIFS(Movimientos!E:E, Movimientos!D:D, A203, Movimientos!C:C, "Ajuste", Movimientos!F:F, "TIN")),"")</f>
        <v/>
      </c>
      <c r="F203" s="6" t="str">
        <f aca="false">IFERROR(IF(A203="","",SUMIFS(Movimientos!E:E, Movimientos!D:D, A203, Movimientos!C:C, "Ingreso", Movimientos!G:G, "G1000")+SUMIFS(Movimientos!E:E, Movimientos!D:D, A203, Movimientos!C:C, "Traslado", Movimientos!G:G, "G1000")-SUMIFS(Movimientos!E:E, Movimientos!D:D, A203, Movimientos!C:C, "Traslado", Movimientos!F:F, "G1000")-SUMIFS(Movimientos!E:E, Movimientos!D:D, A203, Movimientos!C:C, "Egreso", Movimientos!F:F, "G1000")+SUMIFS(Movimientos!E:E, Movimientos!D:D, A203, Movimientos!C:C, "Ajuste", Movimientos!F:F, "G1000")),"")</f>
        <v/>
      </c>
      <c r="G203" s="6" t="str">
        <f aca="false">IFERROR(IF(A203="","",SUMIFS(Movimientos!E:E, Movimientos!D:D, A203, Movimientos!C:C, "Ingreso", Movimientos!G:G, "G710")+SUMIFS(Movimientos!E:E, Movimientos!D:D, A203, Movimientos!C:C, "Traslado", Movimientos!G:G, "G710")-SUMIFS(Movimientos!E:E, Movimientos!D:D, A203, Movimientos!C:C, "Traslado", Movimientos!F:F, "G710")-SUMIFS(Movimientos!E:E, Movimientos!D:D, A203, Movimientos!C:C, "Egreso", Movimientos!F:F, "G710")+SUMIFS(Movimientos!E:E, Movimientos!D:D, A203, Movimientos!C:C, "Ajuste", Movimientos!F:F, "G710")),"")</f>
        <v/>
      </c>
      <c r="H203" s="6" t="str">
        <f aca="false">IFERROR(IF(A203="","",SUMIFS(Movimientos!E:E, Movimientos!D:D, A203, Movimientos!C:C, "Ingreso", Movimientos!G:G, "G5000")+SUMIFS(Movimientos!E:E, Movimientos!D:D, A203, Movimientos!C:C, "Traslado", Movimientos!G:G, "G5000")-SUMIFS(Movimientos!E:E, Movimientos!D:D, A203, Movimientos!C:C, "Traslado", Movimientos!F:F, "G5000")-SUMIFS(Movimientos!E:E, Movimientos!D:D, A203, Movimientos!C:C, "Egreso", Movimientos!F:F, "G5000")+SUMIFS(Movimientos!E:E, Movimientos!D:D, A203, Movimientos!C:C, "Ajuste", Movimientos!F:F, "G5000")),"")</f>
        <v/>
      </c>
      <c r="I203" s="6" t="str">
        <f aca="false">IFERROR(IF(A203="","",SUMIFS(Movimientos!E:E, Movimientos!D:D, A203, Movimientos!C:C, "Ingreso", Movimientos!G:G, "G3")+SUMIFS(Movimientos!E:E, Movimientos!D:D, A203, Movimientos!C:C, "Traslado", Movimientos!G:G, "G3")-SUMIFS(Movimientos!E:E, Movimientos!D:D, A203, Movimientos!C:C, "Traslado", Movimientos!F:F, "G3")-SUMIFS(Movimientos!E:E, Movimientos!D:D, A203, Movimientos!C:C, "Egreso", Movimientos!F:F, "G3")+SUMIFS(Movimientos!E:E, Movimientos!D:D, A203, Movimientos!C:C, "Ajuste", Movimientos!F:F, "G3")),"")</f>
        <v/>
      </c>
      <c r="J203" s="6" t="str">
        <f aca="false">IFERROR(IF(A203="","",SUM(E203:I203)),"")</f>
        <v/>
      </c>
      <c r="K203" s="6" t="str">
        <f aca="false">IFERROR(IF(A203="","",SUMIFS(Movimientos!E:E, Movimientos!D:D, A203, Movimientos!C:C, "Reserva")-SUMIFS(Movimientos!E:E, Movimientos!D:D, A203, Movimientos!C:C, "Libera_Reserva")),"")</f>
        <v/>
      </c>
      <c r="L203" s="6" t="str">
        <f aca="false">IFERROR(IF(A203="","",J203-K203),"")</f>
        <v/>
      </c>
      <c r="M203" s="6" t="str">
        <f aca="false">IFERROR(IF(Productos!A203="","",Productos!G203),"")</f>
        <v/>
      </c>
      <c r="N203" s="6" t="str">
        <f aca="false">IFERROR(IF(A203="","",IF(L203&lt;M203,"BAJO STOCK","OK")),"")</f>
        <v/>
      </c>
    </row>
    <row r="204" customFormat="false" ht="15" hidden="false" customHeight="false" outlineLevel="0" collapsed="false">
      <c r="A204" s="0" t="str">
        <f aca="false">IFERROR(IF(Productos!A204="","",Productos!A204),"")</f>
        <v/>
      </c>
      <c r="B204" s="0" t="str">
        <f aca="false">IFERROR(IF(Productos!A204="","",Productos!B204),"")</f>
        <v/>
      </c>
      <c r="C204" s="0" t="str">
        <f aca="false">IFERROR(IF(Productos!A204="","",Productos!C204),"")</f>
        <v/>
      </c>
      <c r="D204" s="0" t="str">
        <f aca="false">IFERROR(IF(Productos!A204="","",Productos!E204),"")</f>
        <v/>
      </c>
      <c r="E204" s="6" t="str">
        <f aca="false">IFERROR(IF(A204="","",SUMIFS(Movimientos!E:E, Movimientos!D:D, A204, Movimientos!C:C, "Ingreso", Movimientos!G:G, "TIN")+SUMIFS(Movimientos!E:E, Movimientos!D:D, A204, Movimientos!C:C, "Traslado", Movimientos!G:G, "TIN")-SUMIFS(Movimientos!E:E, Movimientos!D:D, A204, Movimientos!C:C, "Traslado", Movimientos!F:F, "TIN")-SUMIFS(Movimientos!E:E, Movimientos!D:D, A204, Movimientos!C:C, "Egreso", Movimientos!F:F, "TIN")+SUMIFS(Movimientos!E:E, Movimientos!D:D, A204, Movimientos!C:C, "Ajuste", Movimientos!F:F, "TIN")),"")</f>
        <v/>
      </c>
      <c r="F204" s="6" t="str">
        <f aca="false">IFERROR(IF(A204="","",SUMIFS(Movimientos!E:E, Movimientos!D:D, A204, Movimientos!C:C, "Ingreso", Movimientos!G:G, "G1000")+SUMIFS(Movimientos!E:E, Movimientos!D:D, A204, Movimientos!C:C, "Traslado", Movimientos!G:G, "G1000")-SUMIFS(Movimientos!E:E, Movimientos!D:D, A204, Movimientos!C:C, "Traslado", Movimientos!F:F, "G1000")-SUMIFS(Movimientos!E:E, Movimientos!D:D, A204, Movimientos!C:C, "Egreso", Movimientos!F:F, "G1000")+SUMIFS(Movimientos!E:E, Movimientos!D:D, A204, Movimientos!C:C, "Ajuste", Movimientos!F:F, "G1000")),"")</f>
        <v/>
      </c>
      <c r="G204" s="6" t="str">
        <f aca="false">IFERROR(IF(A204="","",SUMIFS(Movimientos!E:E, Movimientos!D:D, A204, Movimientos!C:C, "Ingreso", Movimientos!G:G, "G710")+SUMIFS(Movimientos!E:E, Movimientos!D:D, A204, Movimientos!C:C, "Traslado", Movimientos!G:G, "G710")-SUMIFS(Movimientos!E:E, Movimientos!D:D, A204, Movimientos!C:C, "Traslado", Movimientos!F:F, "G710")-SUMIFS(Movimientos!E:E, Movimientos!D:D, A204, Movimientos!C:C, "Egreso", Movimientos!F:F, "G710")+SUMIFS(Movimientos!E:E, Movimientos!D:D, A204, Movimientos!C:C, "Ajuste", Movimientos!F:F, "G710")),"")</f>
        <v/>
      </c>
      <c r="H204" s="6" t="str">
        <f aca="false">IFERROR(IF(A204="","",SUMIFS(Movimientos!E:E, Movimientos!D:D, A204, Movimientos!C:C, "Ingreso", Movimientos!G:G, "G5000")+SUMIFS(Movimientos!E:E, Movimientos!D:D, A204, Movimientos!C:C, "Traslado", Movimientos!G:G, "G5000")-SUMIFS(Movimientos!E:E, Movimientos!D:D, A204, Movimientos!C:C, "Traslado", Movimientos!F:F, "G5000")-SUMIFS(Movimientos!E:E, Movimientos!D:D, A204, Movimientos!C:C, "Egreso", Movimientos!F:F, "G5000")+SUMIFS(Movimientos!E:E, Movimientos!D:D, A204, Movimientos!C:C, "Ajuste", Movimientos!F:F, "G5000")),"")</f>
        <v/>
      </c>
      <c r="I204" s="6" t="str">
        <f aca="false">IFERROR(IF(A204="","",SUMIFS(Movimientos!E:E, Movimientos!D:D, A204, Movimientos!C:C, "Ingreso", Movimientos!G:G, "G3")+SUMIFS(Movimientos!E:E, Movimientos!D:D, A204, Movimientos!C:C, "Traslado", Movimientos!G:G, "G3")-SUMIFS(Movimientos!E:E, Movimientos!D:D, A204, Movimientos!C:C, "Traslado", Movimientos!F:F, "G3")-SUMIFS(Movimientos!E:E, Movimientos!D:D, A204, Movimientos!C:C, "Egreso", Movimientos!F:F, "G3")+SUMIFS(Movimientos!E:E, Movimientos!D:D, A204, Movimientos!C:C, "Ajuste", Movimientos!F:F, "G3")),"")</f>
        <v/>
      </c>
      <c r="J204" s="6" t="str">
        <f aca="false">IFERROR(IF(A204="","",SUM(E204:I204)),"")</f>
        <v/>
      </c>
      <c r="K204" s="6" t="str">
        <f aca="false">IFERROR(IF(A204="","",SUMIFS(Movimientos!E:E, Movimientos!D:D, A204, Movimientos!C:C, "Reserva")-SUMIFS(Movimientos!E:E, Movimientos!D:D, A204, Movimientos!C:C, "Libera_Reserva")),"")</f>
        <v/>
      </c>
      <c r="L204" s="6" t="str">
        <f aca="false">IFERROR(IF(A204="","",J204-K204),"")</f>
        <v/>
      </c>
      <c r="M204" s="6" t="str">
        <f aca="false">IFERROR(IF(Productos!A204="","",Productos!G204),"")</f>
        <v/>
      </c>
      <c r="N204" s="6" t="str">
        <f aca="false">IFERROR(IF(A204="","",IF(L204&lt;M204,"BAJO STOCK","OK")),"")</f>
        <v/>
      </c>
    </row>
    <row r="205" customFormat="false" ht="15" hidden="false" customHeight="false" outlineLevel="0" collapsed="false">
      <c r="A205" s="0" t="str">
        <f aca="false">IFERROR(IF(Productos!A205="","",Productos!A205),"")</f>
        <v/>
      </c>
      <c r="B205" s="0" t="str">
        <f aca="false">IFERROR(IF(Productos!A205="","",Productos!B205),"")</f>
        <v/>
      </c>
      <c r="C205" s="0" t="str">
        <f aca="false">IFERROR(IF(Productos!A205="","",Productos!C205),"")</f>
        <v/>
      </c>
      <c r="D205" s="0" t="str">
        <f aca="false">IFERROR(IF(Productos!A205="","",Productos!E205),"")</f>
        <v/>
      </c>
      <c r="E205" s="6" t="str">
        <f aca="false">IFERROR(IF(A205="","",SUMIFS(Movimientos!E:E, Movimientos!D:D, A205, Movimientos!C:C, "Ingreso", Movimientos!G:G, "TIN")+SUMIFS(Movimientos!E:E, Movimientos!D:D, A205, Movimientos!C:C, "Traslado", Movimientos!G:G, "TIN")-SUMIFS(Movimientos!E:E, Movimientos!D:D, A205, Movimientos!C:C, "Traslado", Movimientos!F:F, "TIN")-SUMIFS(Movimientos!E:E, Movimientos!D:D, A205, Movimientos!C:C, "Egreso", Movimientos!F:F, "TIN")+SUMIFS(Movimientos!E:E, Movimientos!D:D, A205, Movimientos!C:C, "Ajuste", Movimientos!F:F, "TIN")),"")</f>
        <v/>
      </c>
      <c r="F205" s="6" t="str">
        <f aca="false">IFERROR(IF(A205="","",SUMIFS(Movimientos!E:E, Movimientos!D:D, A205, Movimientos!C:C, "Ingreso", Movimientos!G:G, "G1000")+SUMIFS(Movimientos!E:E, Movimientos!D:D, A205, Movimientos!C:C, "Traslado", Movimientos!G:G, "G1000")-SUMIFS(Movimientos!E:E, Movimientos!D:D, A205, Movimientos!C:C, "Traslado", Movimientos!F:F, "G1000")-SUMIFS(Movimientos!E:E, Movimientos!D:D, A205, Movimientos!C:C, "Egreso", Movimientos!F:F, "G1000")+SUMIFS(Movimientos!E:E, Movimientos!D:D, A205, Movimientos!C:C, "Ajuste", Movimientos!F:F, "G1000")),"")</f>
        <v/>
      </c>
      <c r="G205" s="6" t="str">
        <f aca="false">IFERROR(IF(A205="","",SUMIFS(Movimientos!E:E, Movimientos!D:D, A205, Movimientos!C:C, "Ingreso", Movimientos!G:G, "G710")+SUMIFS(Movimientos!E:E, Movimientos!D:D, A205, Movimientos!C:C, "Traslado", Movimientos!G:G, "G710")-SUMIFS(Movimientos!E:E, Movimientos!D:D, A205, Movimientos!C:C, "Traslado", Movimientos!F:F, "G710")-SUMIFS(Movimientos!E:E, Movimientos!D:D, A205, Movimientos!C:C, "Egreso", Movimientos!F:F, "G710")+SUMIFS(Movimientos!E:E, Movimientos!D:D, A205, Movimientos!C:C, "Ajuste", Movimientos!F:F, "G710")),"")</f>
        <v/>
      </c>
      <c r="H205" s="6" t="str">
        <f aca="false">IFERROR(IF(A205="","",SUMIFS(Movimientos!E:E, Movimientos!D:D, A205, Movimientos!C:C, "Ingreso", Movimientos!G:G, "G5000")+SUMIFS(Movimientos!E:E, Movimientos!D:D, A205, Movimientos!C:C, "Traslado", Movimientos!G:G, "G5000")-SUMIFS(Movimientos!E:E, Movimientos!D:D, A205, Movimientos!C:C, "Traslado", Movimientos!F:F, "G5000")-SUMIFS(Movimientos!E:E, Movimientos!D:D, A205, Movimientos!C:C, "Egreso", Movimientos!F:F, "G5000")+SUMIFS(Movimientos!E:E, Movimientos!D:D, A205, Movimientos!C:C, "Ajuste", Movimientos!F:F, "G5000")),"")</f>
        <v/>
      </c>
      <c r="I205" s="6" t="str">
        <f aca="false">IFERROR(IF(A205="","",SUMIFS(Movimientos!E:E, Movimientos!D:D, A205, Movimientos!C:C, "Ingreso", Movimientos!G:G, "G3")+SUMIFS(Movimientos!E:E, Movimientos!D:D, A205, Movimientos!C:C, "Traslado", Movimientos!G:G, "G3")-SUMIFS(Movimientos!E:E, Movimientos!D:D, A205, Movimientos!C:C, "Traslado", Movimientos!F:F, "G3")-SUMIFS(Movimientos!E:E, Movimientos!D:D, A205, Movimientos!C:C, "Egreso", Movimientos!F:F, "G3")+SUMIFS(Movimientos!E:E, Movimientos!D:D, A205, Movimientos!C:C, "Ajuste", Movimientos!F:F, "G3")),"")</f>
        <v/>
      </c>
      <c r="J205" s="6" t="str">
        <f aca="false">IFERROR(IF(A205="","",SUM(E205:I205)),"")</f>
        <v/>
      </c>
      <c r="K205" s="6" t="str">
        <f aca="false">IFERROR(IF(A205="","",SUMIFS(Movimientos!E:E, Movimientos!D:D, A205, Movimientos!C:C, "Reserva")-SUMIFS(Movimientos!E:E, Movimientos!D:D, A205, Movimientos!C:C, "Libera_Reserva")),"")</f>
        <v/>
      </c>
      <c r="L205" s="6" t="str">
        <f aca="false">IFERROR(IF(A205="","",J205-K205),"")</f>
        <v/>
      </c>
      <c r="M205" s="6" t="str">
        <f aca="false">IFERROR(IF(Productos!A205="","",Productos!G205),"")</f>
        <v/>
      </c>
      <c r="N205" s="6" t="str">
        <f aca="false">IFERROR(IF(A205="","",IF(L205&lt;M205,"BAJO STOCK","OK")),"")</f>
        <v/>
      </c>
    </row>
    <row r="206" customFormat="false" ht="15" hidden="false" customHeight="false" outlineLevel="0" collapsed="false">
      <c r="A206" s="0" t="str">
        <f aca="false">IFERROR(IF(Productos!A206="","",Productos!A206),"")</f>
        <v/>
      </c>
      <c r="B206" s="0" t="str">
        <f aca="false">IFERROR(IF(Productos!A206="","",Productos!B206),"")</f>
        <v/>
      </c>
      <c r="C206" s="0" t="str">
        <f aca="false">IFERROR(IF(Productos!A206="","",Productos!C206),"")</f>
        <v/>
      </c>
      <c r="D206" s="0" t="str">
        <f aca="false">IFERROR(IF(Productos!A206="","",Productos!E206),"")</f>
        <v/>
      </c>
      <c r="E206" s="6" t="str">
        <f aca="false">IFERROR(IF(A206="","",SUMIFS(Movimientos!E:E, Movimientos!D:D, A206, Movimientos!C:C, "Ingreso", Movimientos!G:G, "TIN")+SUMIFS(Movimientos!E:E, Movimientos!D:D, A206, Movimientos!C:C, "Traslado", Movimientos!G:G, "TIN")-SUMIFS(Movimientos!E:E, Movimientos!D:D, A206, Movimientos!C:C, "Traslado", Movimientos!F:F, "TIN")-SUMIFS(Movimientos!E:E, Movimientos!D:D, A206, Movimientos!C:C, "Egreso", Movimientos!F:F, "TIN")+SUMIFS(Movimientos!E:E, Movimientos!D:D, A206, Movimientos!C:C, "Ajuste", Movimientos!F:F, "TIN")),"")</f>
        <v/>
      </c>
      <c r="F206" s="6" t="str">
        <f aca="false">IFERROR(IF(A206="","",SUMIFS(Movimientos!E:E, Movimientos!D:D, A206, Movimientos!C:C, "Ingreso", Movimientos!G:G, "G1000")+SUMIFS(Movimientos!E:E, Movimientos!D:D, A206, Movimientos!C:C, "Traslado", Movimientos!G:G, "G1000")-SUMIFS(Movimientos!E:E, Movimientos!D:D, A206, Movimientos!C:C, "Traslado", Movimientos!F:F, "G1000")-SUMIFS(Movimientos!E:E, Movimientos!D:D, A206, Movimientos!C:C, "Egreso", Movimientos!F:F, "G1000")+SUMIFS(Movimientos!E:E, Movimientos!D:D, A206, Movimientos!C:C, "Ajuste", Movimientos!F:F, "G1000")),"")</f>
        <v/>
      </c>
      <c r="G206" s="6" t="str">
        <f aca="false">IFERROR(IF(A206="","",SUMIFS(Movimientos!E:E, Movimientos!D:D, A206, Movimientos!C:C, "Ingreso", Movimientos!G:G, "G710")+SUMIFS(Movimientos!E:E, Movimientos!D:D, A206, Movimientos!C:C, "Traslado", Movimientos!G:G, "G710")-SUMIFS(Movimientos!E:E, Movimientos!D:D, A206, Movimientos!C:C, "Traslado", Movimientos!F:F, "G710")-SUMIFS(Movimientos!E:E, Movimientos!D:D, A206, Movimientos!C:C, "Egreso", Movimientos!F:F, "G710")+SUMIFS(Movimientos!E:E, Movimientos!D:D, A206, Movimientos!C:C, "Ajuste", Movimientos!F:F, "G710")),"")</f>
        <v/>
      </c>
      <c r="H206" s="6" t="str">
        <f aca="false">IFERROR(IF(A206="","",SUMIFS(Movimientos!E:E, Movimientos!D:D, A206, Movimientos!C:C, "Ingreso", Movimientos!G:G, "G5000")+SUMIFS(Movimientos!E:E, Movimientos!D:D, A206, Movimientos!C:C, "Traslado", Movimientos!G:G, "G5000")-SUMIFS(Movimientos!E:E, Movimientos!D:D, A206, Movimientos!C:C, "Traslado", Movimientos!F:F, "G5000")-SUMIFS(Movimientos!E:E, Movimientos!D:D, A206, Movimientos!C:C, "Egreso", Movimientos!F:F, "G5000")+SUMIFS(Movimientos!E:E, Movimientos!D:D, A206, Movimientos!C:C, "Ajuste", Movimientos!F:F, "G5000")),"")</f>
        <v/>
      </c>
      <c r="I206" s="6" t="str">
        <f aca="false">IFERROR(IF(A206="","",SUMIFS(Movimientos!E:E, Movimientos!D:D, A206, Movimientos!C:C, "Ingreso", Movimientos!G:G, "G3")+SUMIFS(Movimientos!E:E, Movimientos!D:D, A206, Movimientos!C:C, "Traslado", Movimientos!G:G, "G3")-SUMIFS(Movimientos!E:E, Movimientos!D:D, A206, Movimientos!C:C, "Traslado", Movimientos!F:F, "G3")-SUMIFS(Movimientos!E:E, Movimientos!D:D, A206, Movimientos!C:C, "Egreso", Movimientos!F:F, "G3")+SUMIFS(Movimientos!E:E, Movimientos!D:D, A206, Movimientos!C:C, "Ajuste", Movimientos!F:F, "G3")),"")</f>
        <v/>
      </c>
      <c r="J206" s="6" t="str">
        <f aca="false">IFERROR(IF(A206="","",SUM(E206:I206)),"")</f>
        <v/>
      </c>
      <c r="K206" s="6" t="str">
        <f aca="false">IFERROR(IF(A206="","",SUMIFS(Movimientos!E:E, Movimientos!D:D, A206, Movimientos!C:C, "Reserva")-SUMIFS(Movimientos!E:E, Movimientos!D:D, A206, Movimientos!C:C, "Libera_Reserva")),"")</f>
        <v/>
      </c>
      <c r="L206" s="6" t="str">
        <f aca="false">IFERROR(IF(A206="","",J206-K206),"")</f>
        <v/>
      </c>
      <c r="M206" s="6" t="str">
        <f aca="false">IFERROR(IF(Productos!A206="","",Productos!G206),"")</f>
        <v/>
      </c>
      <c r="N206" s="6" t="str">
        <f aca="false">IFERROR(IF(A206="","",IF(L206&lt;M206,"BAJO STOCK","OK")),"")</f>
        <v/>
      </c>
    </row>
    <row r="207" customFormat="false" ht="15" hidden="false" customHeight="false" outlineLevel="0" collapsed="false">
      <c r="A207" s="0" t="str">
        <f aca="false">IFERROR(IF(Productos!A207="","",Productos!A207),"")</f>
        <v/>
      </c>
      <c r="B207" s="0" t="str">
        <f aca="false">IFERROR(IF(Productos!A207="","",Productos!B207),"")</f>
        <v/>
      </c>
      <c r="C207" s="0" t="str">
        <f aca="false">IFERROR(IF(Productos!A207="","",Productos!C207),"")</f>
        <v/>
      </c>
      <c r="D207" s="0" t="str">
        <f aca="false">IFERROR(IF(Productos!A207="","",Productos!E207),"")</f>
        <v/>
      </c>
      <c r="E207" s="6" t="str">
        <f aca="false">IFERROR(IF(A207="","",SUMIFS(Movimientos!E:E, Movimientos!D:D, A207, Movimientos!C:C, "Ingreso", Movimientos!G:G, "TIN")+SUMIFS(Movimientos!E:E, Movimientos!D:D, A207, Movimientos!C:C, "Traslado", Movimientos!G:G, "TIN")-SUMIFS(Movimientos!E:E, Movimientos!D:D, A207, Movimientos!C:C, "Traslado", Movimientos!F:F, "TIN")-SUMIFS(Movimientos!E:E, Movimientos!D:D, A207, Movimientos!C:C, "Egreso", Movimientos!F:F, "TIN")+SUMIFS(Movimientos!E:E, Movimientos!D:D, A207, Movimientos!C:C, "Ajuste", Movimientos!F:F, "TIN")),"")</f>
        <v/>
      </c>
      <c r="F207" s="6" t="str">
        <f aca="false">IFERROR(IF(A207="","",SUMIFS(Movimientos!E:E, Movimientos!D:D, A207, Movimientos!C:C, "Ingreso", Movimientos!G:G, "G1000")+SUMIFS(Movimientos!E:E, Movimientos!D:D, A207, Movimientos!C:C, "Traslado", Movimientos!G:G, "G1000")-SUMIFS(Movimientos!E:E, Movimientos!D:D, A207, Movimientos!C:C, "Traslado", Movimientos!F:F, "G1000")-SUMIFS(Movimientos!E:E, Movimientos!D:D, A207, Movimientos!C:C, "Egreso", Movimientos!F:F, "G1000")+SUMIFS(Movimientos!E:E, Movimientos!D:D, A207, Movimientos!C:C, "Ajuste", Movimientos!F:F, "G1000")),"")</f>
        <v/>
      </c>
      <c r="G207" s="6" t="str">
        <f aca="false">IFERROR(IF(A207="","",SUMIFS(Movimientos!E:E, Movimientos!D:D, A207, Movimientos!C:C, "Ingreso", Movimientos!G:G, "G710")+SUMIFS(Movimientos!E:E, Movimientos!D:D, A207, Movimientos!C:C, "Traslado", Movimientos!G:G, "G710")-SUMIFS(Movimientos!E:E, Movimientos!D:D, A207, Movimientos!C:C, "Traslado", Movimientos!F:F, "G710")-SUMIFS(Movimientos!E:E, Movimientos!D:D, A207, Movimientos!C:C, "Egreso", Movimientos!F:F, "G710")+SUMIFS(Movimientos!E:E, Movimientos!D:D, A207, Movimientos!C:C, "Ajuste", Movimientos!F:F, "G710")),"")</f>
        <v/>
      </c>
      <c r="H207" s="6" t="str">
        <f aca="false">IFERROR(IF(A207="","",SUMIFS(Movimientos!E:E, Movimientos!D:D, A207, Movimientos!C:C, "Ingreso", Movimientos!G:G, "G5000")+SUMIFS(Movimientos!E:E, Movimientos!D:D, A207, Movimientos!C:C, "Traslado", Movimientos!G:G, "G5000")-SUMIFS(Movimientos!E:E, Movimientos!D:D, A207, Movimientos!C:C, "Traslado", Movimientos!F:F, "G5000")-SUMIFS(Movimientos!E:E, Movimientos!D:D, A207, Movimientos!C:C, "Egreso", Movimientos!F:F, "G5000")+SUMIFS(Movimientos!E:E, Movimientos!D:D, A207, Movimientos!C:C, "Ajuste", Movimientos!F:F, "G5000")),"")</f>
        <v/>
      </c>
      <c r="I207" s="6" t="str">
        <f aca="false">IFERROR(IF(A207="","",SUMIFS(Movimientos!E:E, Movimientos!D:D, A207, Movimientos!C:C, "Ingreso", Movimientos!G:G, "G3")+SUMIFS(Movimientos!E:E, Movimientos!D:D, A207, Movimientos!C:C, "Traslado", Movimientos!G:G, "G3")-SUMIFS(Movimientos!E:E, Movimientos!D:D, A207, Movimientos!C:C, "Traslado", Movimientos!F:F, "G3")-SUMIFS(Movimientos!E:E, Movimientos!D:D, A207, Movimientos!C:C, "Egreso", Movimientos!F:F, "G3")+SUMIFS(Movimientos!E:E, Movimientos!D:D, A207, Movimientos!C:C, "Ajuste", Movimientos!F:F, "G3")),"")</f>
        <v/>
      </c>
      <c r="J207" s="6" t="str">
        <f aca="false">IFERROR(IF(A207="","",SUM(E207:I207)),"")</f>
        <v/>
      </c>
      <c r="K207" s="6" t="str">
        <f aca="false">IFERROR(IF(A207="","",SUMIFS(Movimientos!E:E, Movimientos!D:D, A207, Movimientos!C:C, "Reserva")-SUMIFS(Movimientos!E:E, Movimientos!D:D, A207, Movimientos!C:C, "Libera_Reserva")),"")</f>
        <v/>
      </c>
      <c r="L207" s="6" t="str">
        <f aca="false">IFERROR(IF(A207="","",J207-K207),"")</f>
        <v/>
      </c>
      <c r="M207" s="6" t="str">
        <f aca="false">IFERROR(IF(Productos!A207="","",Productos!G207),"")</f>
        <v/>
      </c>
      <c r="N207" s="6" t="str">
        <f aca="false">IFERROR(IF(A207="","",IF(L207&lt;M207,"BAJO STOCK","OK")),"")</f>
        <v/>
      </c>
    </row>
    <row r="208" customFormat="false" ht="15" hidden="false" customHeight="false" outlineLevel="0" collapsed="false">
      <c r="A208" s="0" t="str">
        <f aca="false">IFERROR(IF(Productos!A208="","",Productos!A208),"")</f>
        <v/>
      </c>
      <c r="B208" s="0" t="str">
        <f aca="false">IFERROR(IF(Productos!A208="","",Productos!B208),"")</f>
        <v/>
      </c>
      <c r="C208" s="0" t="str">
        <f aca="false">IFERROR(IF(Productos!A208="","",Productos!C208),"")</f>
        <v/>
      </c>
      <c r="D208" s="0" t="str">
        <f aca="false">IFERROR(IF(Productos!A208="","",Productos!E208),"")</f>
        <v/>
      </c>
      <c r="E208" s="6" t="str">
        <f aca="false">IFERROR(IF(A208="","",SUMIFS(Movimientos!E:E, Movimientos!D:D, A208, Movimientos!C:C, "Ingreso", Movimientos!G:G, "TIN")+SUMIFS(Movimientos!E:E, Movimientos!D:D, A208, Movimientos!C:C, "Traslado", Movimientos!G:G, "TIN")-SUMIFS(Movimientos!E:E, Movimientos!D:D, A208, Movimientos!C:C, "Traslado", Movimientos!F:F, "TIN")-SUMIFS(Movimientos!E:E, Movimientos!D:D, A208, Movimientos!C:C, "Egreso", Movimientos!F:F, "TIN")+SUMIFS(Movimientos!E:E, Movimientos!D:D, A208, Movimientos!C:C, "Ajuste", Movimientos!F:F, "TIN")),"")</f>
        <v/>
      </c>
      <c r="F208" s="6" t="str">
        <f aca="false">IFERROR(IF(A208="","",SUMIFS(Movimientos!E:E, Movimientos!D:D, A208, Movimientos!C:C, "Ingreso", Movimientos!G:G, "G1000")+SUMIFS(Movimientos!E:E, Movimientos!D:D, A208, Movimientos!C:C, "Traslado", Movimientos!G:G, "G1000")-SUMIFS(Movimientos!E:E, Movimientos!D:D, A208, Movimientos!C:C, "Traslado", Movimientos!F:F, "G1000")-SUMIFS(Movimientos!E:E, Movimientos!D:D, A208, Movimientos!C:C, "Egreso", Movimientos!F:F, "G1000")+SUMIFS(Movimientos!E:E, Movimientos!D:D, A208, Movimientos!C:C, "Ajuste", Movimientos!F:F, "G1000")),"")</f>
        <v/>
      </c>
      <c r="G208" s="6" t="str">
        <f aca="false">IFERROR(IF(A208="","",SUMIFS(Movimientos!E:E, Movimientos!D:D, A208, Movimientos!C:C, "Ingreso", Movimientos!G:G, "G710")+SUMIFS(Movimientos!E:E, Movimientos!D:D, A208, Movimientos!C:C, "Traslado", Movimientos!G:G, "G710")-SUMIFS(Movimientos!E:E, Movimientos!D:D, A208, Movimientos!C:C, "Traslado", Movimientos!F:F, "G710")-SUMIFS(Movimientos!E:E, Movimientos!D:D, A208, Movimientos!C:C, "Egreso", Movimientos!F:F, "G710")+SUMIFS(Movimientos!E:E, Movimientos!D:D, A208, Movimientos!C:C, "Ajuste", Movimientos!F:F, "G710")),"")</f>
        <v/>
      </c>
      <c r="H208" s="6" t="str">
        <f aca="false">IFERROR(IF(A208="","",SUMIFS(Movimientos!E:E, Movimientos!D:D, A208, Movimientos!C:C, "Ingreso", Movimientos!G:G, "G5000")+SUMIFS(Movimientos!E:E, Movimientos!D:D, A208, Movimientos!C:C, "Traslado", Movimientos!G:G, "G5000")-SUMIFS(Movimientos!E:E, Movimientos!D:D, A208, Movimientos!C:C, "Traslado", Movimientos!F:F, "G5000")-SUMIFS(Movimientos!E:E, Movimientos!D:D, A208, Movimientos!C:C, "Egreso", Movimientos!F:F, "G5000")+SUMIFS(Movimientos!E:E, Movimientos!D:D, A208, Movimientos!C:C, "Ajuste", Movimientos!F:F, "G5000")),"")</f>
        <v/>
      </c>
      <c r="I208" s="6" t="str">
        <f aca="false">IFERROR(IF(A208="","",SUMIFS(Movimientos!E:E, Movimientos!D:D, A208, Movimientos!C:C, "Ingreso", Movimientos!G:G, "G3")+SUMIFS(Movimientos!E:E, Movimientos!D:D, A208, Movimientos!C:C, "Traslado", Movimientos!G:G, "G3")-SUMIFS(Movimientos!E:E, Movimientos!D:D, A208, Movimientos!C:C, "Traslado", Movimientos!F:F, "G3")-SUMIFS(Movimientos!E:E, Movimientos!D:D, A208, Movimientos!C:C, "Egreso", Movimientos!F:F, "G3")+SUMIFS(Movimientos!E:E, Movimientos!D:D, A208, Movimientos!C:C, "Ajuste", Movimientos!F:F, "G3")),"")</f>
        <v/>
      </c>
      <c r="J208" s="6" t="str">
        <f aca="false">IFERROR(IF(A208="","",SUM(E208:I208)),"")</f>
        <v/>
      </c>
      <c r="K208" s="6" t="str">
        <f aca="false">IFERROR(IF(A208="","",SUMIFS(Movimientos!E:E, Movimientos!D:D, A208, Movimientos!C:C, "Reserva")-SUMIFS(Movimientos!E:E, Movimientos!D:D, A208, Movimientos!C:C, "Libera_Reserva")),"")</f>
        <v/>
      </c>
      <c r="L208" s="6" t="str">
        <f aca="false">IFERROR(IF(A208="","",J208-K208),"")</f>
        <v/>
      </c>
      <c r="M208" s="6" t="str">
        <f aca="false">IFERROR(IF(Productos!A208="","",Productos!G208),"")</f>
        <v/>
      </c>
      <c r="N208" s="6" t="str">
        <f aca="false">IFERROR(IF(A208="","",IF(L208&lt;M208,"BAJO STOCK","OK")),"")</f>
        <v/>
      </c>
    </row>
    <row r="209" customFormat="false" ht="15" hidden="false" customHeight="false" outlineLevel="0" collapsed="false">
      <c r="A209" s="0" t="str">
        <f aca="false">IFERROR(IF(Productos!A209="","",Productos!A209),"")</f>
        <v/>
      </c>
      <c r="B209" s="0" t="str">
        <f aca="false">IFERROR(IF(Productos!A209="","",Productos!B209),"")</f>
        <v/>
      </c>
      <c r="C209" s="0" t="str">
        <f aca="false">IFERROR(IF(Productos!A209="","",Productos!C209),"")</f>
        <v/>
      </c>
      <c r="D209" s="0" t="str">
        <f aca="false">IFERROR(IF(Productos!A209="","",Productos!E209),"")</f>
        <v/>
      </c>
      <c r="E209" s="6" t="str">
        <f aca="false">IFERROR(IF(A209="","",SUMIFS(Movimientos!E:E, Movimientos!D:D, A209, Movimientos!C:C, "Ingreso", Movimientos!G:G, "TIN")+SUMIFS(Movimientos!E:E, Movimientos!D:D, A209, Movimientos!C:C, "Traslado", Movimientos!G:G, "TIN")-SUMIFS(Movimientos!E:E, Movimientos!D:D, A209, Movimientos!C:C, "Traslado", Movimientos!F:F, "TIN")-SUMIFS(Movimientos!E:E, Movimientos!D:D, A209, Movimientos!C:C, "Egreso", Movimientos!F:F, "TIN")+SUMIFS(Movimientos!E:E, Movimientos!D:D, A209, Movimientos!C:C, "Ajuste", Movimientos!F:F, "TIN")),"")</f>
        <v/>
      </c>
      <c r="F209" s="6" t="str">
        <f aca="false">IFERROR(IF(A209="","",SUMIFS(Movimientos!E:E, Movimientos!D:D, A209, Movimientos!C:C, "Ingreso", Movimientos!G:G, "G1000")+SUMIFS(Movimientos!E:E, Movimientos!D:D, A209, Movimientos!C:C, "Traslado", Movimientos!G:G, "G1000")-SUMIFS(Movimientos!E:E, Movimientos!D:D, A209, Movimientos!C:C, "Traslado", Movimientos!F:F, "G1000")-SUMIFS(Movimientos!E:E, Movimientos!D:D, A209, Movimientos!C:C, "Egreso", Movimientos!F:F, "G1000")+SUMIFS(Movimientos!E:E, Movimientos!D:D, A209, Movimientos!C:C, "Ajuste", Movimientos!F:F, "G1000")),"")</f>
        <v/>
      </c>
      <c r="G209" s="6" t="str">
        <f aca="false">IFERROR(IF(A209="","",SUMIFS(Movimientos!E:E, Movimientos!D:D, A209, Movimientos!C:C, "Ingreso", Movimientos!G:G, "G710")+SUMIFS(Movimientos!E:E, Movimientos!D:D, A209, Movimientos!C:C, "Traslado", Movimientos!G:G, "G710")-SUMIFS(Movimientos!E:E, Movimientos!D:D, A209, Movimientos!C:C, "Traslado", Movimientos!F:F, "G710")-SUMIFS(Movimientos!E:E, Movimientos!D:D, A209, Movimientos!C:C, "Egreso", Movimientos!F:F, "G710")+SUMIFS(Movimientos!E:E, Movimientos!D:D, A209, Movimientos!C:C, "Ajuste", Movimientos!F:F, "G710")),"")</f>
        <v/>
      </c>
      <c r="H209" s="6" t="str">
        <f aca="false">IFERROR(IF(A209="","",SUMIFS(Movimientos!E:E, Movimientos!D:D, A209, Movimientos!C:C, "Ingreso", Movimientos!G:G, "G5000")+SUMIFS(Movimientos!E:E, Movimientos!D:D, A209, Movimientos!C:C, "Traslado", Movimientos!G:G, "G5000")-SUMIFS(Movimientos!E:E, Movimientos!D:D, A209, Movimientos!C:C, "Traslado", Movimientos!F:F, "G5000")-SUMIFS(Movimientos!E:E, Movimientos!D:D, A209, Movimientos!C:C, "Egreso", Movimientos!F:F, "G5000")+SUMIFS(Movimientos!E:E, Movimientos!D:D, A209, Movimientos!C:C, "Ajuste", Movimientos!F:F, "G5000")),"")</f>
        <v/>
      </c>
      <c r="I209" s="6" t="str">
        <f aca="false">IFERROR(IF(A209="","",SUMIFS(Movimientos!E:E, Movimientos!D:D, A209, Movimientos!C:C, "Ingreso", Movimientos!G:G, "G3")+SUMIFS(Movimientos!E:E, Movimientos!D:D, A209, Movimientos!C:C, "Traslado", Movimientos!G:G, "G3")-SUMIFS(Movimientos!E:E, Movimientos!D:D, A209, Movimientos!C:C, "Traslado", Movimientos!F:F, "G3")-SUMIFS(Movimientos!E:E, Movimientos!D:D, A209, Movimientos!C:C, "Egreso", Movimientos!F:F, "G3")+SUMIFS(Movimientos!E:E, Movimientos!D:D, A209, Movimientos!C:C, "Ajuste", Movimientos!F:F, "G3")),"")</f>
        <v/>
      </c>
      <c r="J209" s="6" t="str">
        <f aca="false">IFERROR(IF(A209="","",SUM(E209:I209)),"")</f>
        <v/>
      </c>
      <c r="K209" s="6" t="str">
        <f aca="false">IFERROR(IF(A209="","",SUMIFS(Movimientos!E:E, Movimientos!D:D, A209, Movimientos!C:C, "Reserva")-SUMIFS(Movimientos!E:E, Movimientos!D:D, A209, Movimientos!C:C, "Libera_Reserva")),"")</f>
        <v/>
      </c>
      <c r="L209" s="6" t="str">
        <f aca="false">IFERROR(IF(A209="","",J209-K209),"")</f>
        <v/>
      </c>
      <c r="M209" s="6" t="str">
        <f aca="false">IFERROR(IF(Productos!A209="","",Productos!G209),"")</f>
        <v/>
      </c>
      <c r="N209" s="6" t="str">
        <f aca="false">IFERROR(IF(A209="","",IF(L209&lt;M209,"BAJO STOCK","OK")),"")</f>
        <v/>
      </c>
    </row>
    <row r="210" customFormat="false" ht="15" hidden="false" customHeight="false" outlineLevel="0" collapsed="false">
      <c r="A210" s="0" t="str">
        <f aca="false">IFERROR(IF(Productos!A210="","",Productos!A210),"")</f>
        <v/>
      </c>
      <c r="B210" s="0" t="str">
        <f aca="false">IFERROR(IF(Productos!A210="","",Productos!B210),"")</f>
        <v/>
      </c>
      <c r="C210" s="0" t="str">
        <f aca="false">IFERROR(IF(Productos!A210="","",Productos!C210),"")</f>
        <v/>
      </c>
      <c r="D210" s="0" t="str">
        <f aca="false">IFERROR(IF(Productos!A210="","",Productos!E210),"")</f>
        <v/>
      </c>
      <c r="E210" s="6" t="str">
        <f aca="false">IFERROR(IF(A210="","",SUMIFS(Movimientos!E:E, Movimientos!D:D, A210, Movimientos!C:C, "Ingreso", Movimientos!G:G, "TIN")+SUMIFS(Movimientos!E:E, Movimientos!D:D, A210, Movimientos!C:C, "Traslado", Movimientos!G:G, "TIN")-SUMIFS(Movimientos!E:E, Movimientos!D:D, A210, Movimientos!C:C, "Traslado", Movimientos!F:F, "TIN")-SUMIFS(Movimientos!E:E, Movimientos!D:D, A210, Movimientos!C:C, "Egreso", Movimientos!F:F, "TIN")+SUMIFS(Movimientos!E:E, Movimientos!D:D, A210, Movimientos!C:C, "Ajuste", Movimientos!F:F, "TIN")),"")</f>
        <v/>
      </c>
      <c r="F210" s="6" t="str">
        <f aca="false">IFERROR(IF(A210="","",SUMIFS(Movimientos!E:E, Movimientos!D:D, A210, Movimientos!C:C, "Ingreso", Movimientos!G:G, "G1000")+SUMIFS(Movimientos!E:E, Movimientos!D:D, A210, Movimientos!C:C, "Traslado", Movimientos!G:G, "G1000")-SUMIFS(Movimientos!E:E, Movimientos!D:D, A210, Movimientos!C:C, "Traslado", Movimientos!F:F, "G1000")-SUMIFS(Movimientos!E:E, Movimientos!D:D, A210, Movimientos!C:C, "Egreso", Movimientos!F:F, "G1000")+SUMIFS(Movimientos!E:E, Movimientos!D:D, A210, Movimientos!C:C, "Ajuste", Movimientos!F:F, "G1000")),"")</f>
        <v/>
      </c>
      <c r="G210" s="6" t="str">
        <f aca="false">IFERROR(IF(A210="","",SUMIFS(Movimientos!E:E, Movimientos!D:D, A210, Movimientos!C:C, "Ingreso", Movimientos!G:G, "G710")+SUMIFS(Movimientos!E:E, Movimientos!D:D, A210, Movimientos!C:C, "Traslado", Movimientos!G:G, "G710")-SUMIFS(Movimientos!E:E, Movimientos!D:D, A210, Movimientos!C:C, "Traslado", Movimientos!F:F, "G710")-SUMIFS(Movimientos!E:E, Movimientos!D:D, A210, Movimientos!C:C, "Egreso", Movimientos!F:F, "G710")+SUMIFS(Movimientos!E:E, Movimientos!D:D, A210, Movimientos!C:C, "Ajuste", Movimientos!F:F, "G710")),"")</f>
        <v/>
      </c>
      <c r="H210" s="6" t="str">
        <f aca="false">IFERROR(IF(A210="","",SUMIFS(Movimientos!E:E, Movimientos!D:D, A210, Movimientos!C:C, "Ingreso", Movimientos!G:G, "G5000")+SUMIFS(Movimientos!E:E, Movimientos!D:D, A210, Movimientos!C:C, "Traslado", Movimientos!G:G, "G5000")-SUMIFS(Movimientos!E:E, Movimientos!D:D, A210, Movimientos!C:C, "Traslado", Movimientos!F:F, "G5000")-SUMIFS(Movimientos!E:E, Movimientos!D:D, A210, Movimientos!C:C, "Egreso", Movimientos!F:F, "G5000")+SUMIFS(Movimientos!E:E, Movimientos!D:D, A210, Movimientos!C:C, "Ajuste", Movimientos!F:F, "G5000")),"")</f>
        <v/>
      </c>
      <c r="I210" s="6" t="str">
        <f aca="false">IFERROR(IF(A210="","",SUMIFS(Movimientos!E:E, Movimientos!D:D, A210, Movimientos!C:C, "Ingreso", Movimientos!G:G, "G3")+SUMIFS(Movimientos!E:E, Movimientos!D:D, A210, Movimientos!C:C, "Traslado", Movimientos!G:G, "G3")-SUMIFS(Movimientos!E:E, Movimientos!D:D, A210, Movimientos!C:C, "Traslado", Movimientos!F:F, "G3")-SUMIFS(Movimientos!E:E, Movimientos!D:D, A210, Movimientos!C:C, "Egreso", Movimientos!F:F, "G3")+SUMIFS(Movimientos!E:E, Movimientos!D:D, A210, Movimientos!C:C, "Ajuste", Movimientos!F:F, "G3")),"")</f>
        <v/>
      </c>
      <c r="J210" s="6" t="str">
        <f aca="false">IFERROR(IF(A210="","",SUM(E210:I210)),"")</f>
        <v/>
      </c>
      <c r="K210" s="6" t="str">
        <f aca="false">IFERROR(IF(A210="","",SUMIFS(Movimientos!E:E, Movimientos!D:D, A210, Movimientos!C:C, "Reserva")-SUMIFS(Movimientos!E:E, Movimientos!D:D, A210, Movimientos!C:C, "Libera_Reserva")),"")</f>
        <v/>
      </c>
      <c r="L210" s="6" t="str">
        <f aca="false">IFERROR(IF(A210="","",J210-K210),"")</f>
        <v/>
      </c>
      <c r="M210" s="6" t="str">
        <f aca="false">IFERROR(IF(Productos!A210="","",Productos!G210),"")</f>
        <v/>
      </c>
      <c r="N210" s="6" t="str">
        <f aca="false">IFERROR(IF(A210="","",IF(L210&lt;M210,"BAJO STOCK","OK")),"")</f>
        <v/>
      </c>
    </row>
    <row r="211" customFormat="false" ht="15" hidden="false" customHeight="false" outlineLevel="0" collapsed="false">
      <c r="A211" s="0" t="str">
        <f aca="false">IFERROR(IF(Productos!A211="","",Productos!A211),"")</f>
        <v/>
      </c>
      <c r="B211" s="0" t="str">
        <f aca="false">IFERROR(IF(Productos!A211="","",Productos!B211),"")</f>
        <v/>
      </c>
      <c r="C211" s="0" t="str">
        <f aca="false">IFERROR(IF(Productos!A211="","",Productos!C211),"")</f>
        <v/>
      </c>
      <c r="D211" s="0" t="str">
        <f aca="false">IFERROR(IF(Productos!A211="","",Productos!E211),"")</f>
        <v/>
      </c>
      <c r="E211" s="6" t="str">
        <f aca="false">IFERROR(IF(A211="","",SUMIFS(Movimientos!E:E, Movimientos!D:D, A211, Movimientos!C:C, "Ingreso", Movimientos!G:G, "TIN")+SUMIFS(Movimientos!E:E, Movimientos!D:D, A211, Movimientos!C:C, "Traslado", Movimientos!G:G, "TIN")-SUMIFS(Movimientos!E:E, Movimientos!D:D, A211, Movimientos!C:C, "Traslado", Movimientos!F:F, "TIN")-SUMIFS(Movimientos!E:E, Movimientos!D:D, A211, Movimientos!C:C, "Egreso", Movimientos!F:F, "TIN")+SUMIFS(Movimientos!E:E, Movimientos!D:D, A211, Movimientos!C:C, "Ajuste", Movimientos!F:F, "TIN")),"")</f>
        <v/>
      </c>
      <c r="F211" s="6" t="str">
        <f aca="false">IFERROR(IF(A211="","",SUMIFS(Movimientos!E:E, Movimientos!D:D, A211, Movimientos!C:C, "Ingreso", Movimientos!G:G, "G1000")+SUMIFS(Movimientos!E:E, Movimientos!D:D, A211, Movimientos!C:C, "Traslado", Movimientos!G:G, "G1000")-SUMIFS(Movimientos!E:E, Movimientos!D:D, A211, Movimientos!C:C, "Traslado", Movimientos!F:F, "G1000")-SUMIFS(Movimientos!E:E, Movimientos!D:D, A211, Movimientos!C:C, "Egreso", Movimientos!F:F, "G1000")+SUMIFS(Movimientos!E:E, Movimientos!D:D, A211, Movimientos!C:C, "Ajuste", Movimientos!F:F, "G1000")),"")</f>
        <v/>
      </c>
      <c r="G211" s="6" t="str">
        <f aca="false">IFERROR(IF(A211="","",SUMIFS(Movimientos!E:E, Movimientos!D:D, A211, Movimientos!C:C, "Ingreso", Movimientos!G:G, "G710")+SUMIFS(Movimientos!E:E, Movimientos!D:D, A211, Movimientos!C:C, "Traslado", Movimientos!G:G, "G710")-SUMIFS(Movimientos!E:E, Movimientos!D:D, A211, Movimientos!C:C, "Traslado", Movimientos!F:F, "G710")-SUMIFS(Movimientos!E:E, Movimientos!D:D, A211, Movimientos!C:C, "Egreso", Movimientos!F:F, "G710")+SUMIFS(Movimientos!E:E, Movimientos!D:D, A211, Movimientos!C:C, "Ajuste", Movimientos!F:F, "G710")),"")</f>
        <v/>
      </c>
      <c r="H211" s="6" t="str">
        <f aca="false">IFERROR(IF(A211="","",SUMIFS(Movimientos!E:E, Movimientos!D:D, A211, Movimientos!C:C, "Ingreso", Movimientos!G:G, "G5000")+SUMIFS(Movimientos!E:E, Movimientos!D:D, A211, Movimientos!C:C, "Traslado", Movimientos!G:G, "G5000")-SUMIFS(Movimientos!E:E, Movimientos!D:D, A211, Movimientos!C:C, "Traslado", Movimientos!F:F, "G5000")-SUMIFS(Movimientos!E:E, Movimientos!D:D, A211, Movimientos!C:C, "Egreso", Movimientos!F:F, "G5000")+SUMIFS(Movimientos!E:E, Movimientos!D:D, A211, Movimientos!C:C, "Ajuste", Movimientos!F:F, "G5000")),"")</f>
        <v/>
      </c>
      <c r="I211" s="6" t="str">
        <f aca="false">IFERROR(IF(A211="","",SUMIFS(Movimientos!E:E, Movimientos!D:D, A211, Movimientos!C:C, "Ingreso", Movimientos!G:G, "G3")+SUMIFS(Movimientos!E:E, Movimientos!D:D, A211, Movimientos!C:C, "Traslado", Movimientos!G:G, "G3")-SUMIFS(Movimientos!E:E, Movimientos!D:D, A211, Movimientos!C:C, "Traslado", Movimientos!F:F, "G3")-SUMIFS(Movimientos!E:E, Movimientos!D:D, A211, Movimientos!C:C, "Egreso", Movimientos!F:F, "G3")+SUMIFS(Movimientos!E:E, Movimientos!D:D, A211, Movimientos!C:C, "Ajuste", Movimientos!F:F, "G3")),"")</f>
        <v/>
      </c>
      <c r="J211" s="6" t="str">
        <f aca="false">IFERROR(IF(A211="","",SUM(E211:I211)),"")</f>
        <v/>
      </c>
      <c r="K211" s="6" t="str">
        <f aca="false">IFERROR(IF(A211="","",SUMIFS(Movimientos!E:E, Movimientos!D:D, A211, Movimientos!C:C, "Reserva")-SUMIFS(Movimientos!E:E, Movimientos!D:D, A211, Movimientos!C:C, "Libera_Reserva")),"")</f>
        <v/>
      </c>
      <c r="L211" s="6" t="str">
        <f aca="false">IFERROR(IF(A211="","",J211-K211),"")</f>
        <v/>
      </c>
      <c r="M211" s="6" t="str">
        <f aca="false">IFERROR(IF(Productos!A211="","",Productos!G211),"")</f>
        <v/>
      </c>
      <c r="N211" s="6" t="str">
        <f aca="false">IFERROR(IF(A211="","",IF(L211&lt;M211,"BAJO STOCK","OK")),"")</f>
        <v/>
      </c>
    </row>
    <row r="212" customFormat="false" ht="15" hidden="false" customHeight="false" outlineLevel="0" collapsed="false">
      <c r="A212" s="0" t="str">
        <f aca="false">IFERROR(IF(Productos!A212="","",Productos!A212),"")</f>
        <v/>
      </c>
      <c r="B212" s="0" t="str">
        <f aca="false">IFERROR(IF(Productos!A212="","",Productos!B212),"")</f>
        <v/>
      </c>
      <c r="C212" s="0" t="str">
        <f aca="false">IFERROR(IF(Productos!A212="","",Productos!C212),"")</f>
        <v/>
      </c>
      <c r="D212" s="0" t="str">
        <f aca="false">IFERROR(IF(Productos!A212="","",Productos!E212),"")</f>
        <v/>
      </c>
      <c r="E212" s="6" t="str">
        <f aca="false">IFERROR(IF(A212="","",SUMIFS(Movimientos!E:E, Movimientos!D:D, A212, Movimientos!C:C, "Ingreso", Movimientos!G:G, "TIN")+SUMIFS(Movimientos!E:E, Movimientos!D:D, A212, Movimientos!C:C, "Traslado", Movimientos!G:G, "TIN")-SUMIFS(Movimientos!E:E, Movimientos!D:D, A212, Movimientos!C:C, "Traslado", Movimientos!F:F, "TIN")-SUMIFS(Movimientos!E:E, Movimientos!D:D, A212, Movimientos!C:C, "Egreso", Movimientos!F:F, "TIN")+SUMIFS(Movimientos!E:E, Movimientos!D:D, A212, Movimientos!C:C, "Ajuste", Movimientos!F:F, "TIN")),"")</f>
        <v/>
      </c>
      <c r="F212" s="6" t="str">
        <f aca="false">IFERROR(IF(A212="","",SUMIFS(Movimientos!E:E, Movimientos!D:D, A212, Movimientos!C:C, "Ingreso", Movimientos!G:G, "G1000")+SUMIFS(Movimientos!E:E, Movimientos!D:D, A212, Movimientos!C:C, "Traslado", Movimientos!G:G, "G1000")-SUMIFS(Movimientos!E:E, Movimientos!D:D, A212, Movimientos!C:C, "Traslado", Movimientos!F:F, "G1000")-SUMIFS(Movimientos!E:E, Movimientos!D:D, A212, Movimientos!C:C, "Egreso", Movimientos!F:F, "G1000")+SUMIFS(Movimientos!E:E, Movimientos!D:D, A212, Movimientos!C:C, "Ajuste", Movimientos!F:F, "G1000")),"")</f>
        <v/>
      </c>
      <c r="G212" s="6" t="str">
        <f aca="false">IFERROR(IF(A212="","",SUMIFS(Movimientos!E:E, Movimientos!D:D, A212, Movimientos!C:C, "Ingreso", Movimientos!G:G, "G710")+SUMIFS(Movimientos!E:E, Movimientos!D:D, A212, Movimientos!C:C, "Traslado", Movimientos!G:G, "G710")-SUMIFS(Movimientos!E:E, Movimientos!D:D, A212, Movimientos!C:C, "Traslado", Movimientos!F:F, "G710")-SUMIFS(Movimientos!E:E, Movimientos!D:D, A212, Movimientos!C:C, "Egreso", Movimientos!F:F, "G710")+SUMIFS(Movimientos!E:E, Movimientos!D:D, A212, Movimientos!C:C, "Ajuste", Movimientos!F:F, "G710")),"")</f>
        <v/>
      </c>
      <c r="H212" s="6" t="str">
        <f aca="false">IFERROR(IF(A212="","",SUMIFS(Movimientos!E:E, Movimientos!D:D, A212, Movimientos!C:C, "Ingreso", Movimientos!G:G, "G5000")+SUMIFS(Movimientos!E:E, Movimientos!D:D, A212, Movimientos!C:C, "Traslado", Movimientos!G:G, "G5000")-SUMIFS(Movimientos!E:E, Movimientos!D:D, A212, Movimientos!C:C, "Traslado", Movimientos!F:F, "G5000")-SUMIFS(Movimientos!E:E, Movimientos!D:D, A212, Movimientos!C:C, "Egreso", Movimientos!F:F, "G5000")+SUMIFS(Movimientos!E:E, Movimientos!D:D, A212, Movimientos!C:C, "Ajuste", Movimientos!F:F, "G5000")),"")</f>
        <v/>
      </c>
      <c r="I212" s="6" t="str">
        <f aca="false">IFERROR(IF(A212="","",SUMIFS(Movimientos!E:E, Movimientos!D:D, A212, Movimientos!C:C, "Ingreso", Movimientos!G:G, "G3")+SUMIFS(Movimientos!E:E, Movimientos!D:D, A212, Movimientos!C:C, "Traslado", Movimientos!G:G, "G3")-SUMIFS(Movimientos!E:E, Movimientos!D:D, A212, Movimientos!C:C, "Traslado", Movimientos!F:F, "G3")-SUMIFS(Movimientos!E:E, Movimientos!D:D, A212, Movimientos!C:C, "Egreso", Movimientos!F:F, "G3")+SUMIFS(Movimientos!E:E, Movimientos!D:D, A212, Movimientos!C:C, "Ajuste", Movimientos!F:F, "G3")),"")</f>
        <v/>
      </c>
      <c r="J212" s="6" t="str">
        <f aca="false">IFERROR(IF(A212="","",SUM(E212:I212)),"")</f>
        <v/>
      </c>
      <c r="K212" s="6" t="str">
        <f aca="false">IFERROR(IF(A212="","",SUMIFS(Movimientos!E:E, Movimientos!D:D, A212, Movimientos!C:C, "Reserva")-SUMIFS(Movimientos!E:E, Movimientos!D:D, A212, Movimientos!C:C, "Libera_Reserva")),"")</f>
        <v/>
      </c>
      <c r="L212" s="6" t="str">
        <f aca="false">IFERROR(IF(A212="","",J212-K212),"")</f>
        <v/>
      </c>
      <c r="M212" s="6" t="str">
        <f aca="false">IFERROR(IF(Productos!A212="","",Productos!G212),"")</f>
        <v/>
      </c>
      <c r="N212" s="6" t="str">
        <f aca="false">IFERROR(IF(A212="","",IF(L212&lt;M212,"BAJO STOCK","OK")),"")</f>
        <v/>
      </c>
    </row>
    <row r="213" customFormat="false" ht="15" hidden="false" customHeight="false" outlineLevel="0" collapsed="false">
      <c r="A213" s="0" t="str">
        <f aca="false">IFERROR(IF(Productos!A213="","",Productos!A213),"")</f>
        <v/>
      </c>
      <c r="B213" s="0" t="str">
        <f aca="false">IFERROR(IF(Productos!A213="","",Productos!B213),"")</f>
        <v/>
      </c>
      <c r="C213" s="0" t="str">
        <f aca="false">IFERROR(IF(Productos!A213="","",Productos!C213),"")</f>
        <v/>
      </c>
      <c r="D213" s="0" t="str">
        <f aca="false">IFERROR(IF(Productos!A213="","",Productos!E213),"")</f>
        <v/>
      </c>
      <c r="E213" s="6" t="str">
        <f aca="false">IFERROR(IF(A213="","",SUMIFS(Movimientos!E:E, Movimientos!D:D, A213, Movimientos!C:C, "Ingreso", Movimientos!G:G, "TIN")+SUMIFS(Movimientos!E:E, Movimientos!D:D, A213, Movimientos!C:C, "Traslado", Movimientos!G:G, "TIN")-SUMIFS(Movimientos!E:E, Movimientos!D:D, A213, Movimientos!C:C, "Traslado", Movimientos!F:F, "TIN")-SUMIFS(Movimientos!E:E, Movimientos!D:D, A213, Movimientos!C:C, "Egreso", Movimientos!F:F, "TIN")+SUMIFS(Movimientos!E:E, Movimientos!D:D, A213, Movimientos!C:C, "Ajuste", Movimientos!F:F, "TIN")),"")</f>
        <v/>
      </c>
      <c r="F213" s="6" t="str">
        <f aca="false">IFERROR(IF(A213="","",SUMIFS(Movimientos!E:E, Movimientos!D:D, A213, Movimientos!C:C, "Ingreso", Movimientos!G:G, "G1000")+SUMIFS(Movimientos!E:E, Movimientos!D:D, A213, Movimientos!C:C, "Traslado", Movimientos!G:G, "G1000")-SUMIFS(Movimientos!E:E, Movimientos!D:D, A213, Movimientos!C:C, "Traslado", Movimientos!F:F, "G1000")-SUMIFS(Movimientos!E:E, Movimientos!D:D, A213, Movimientos!C:C, "Egreso", Movimientos!F:F, "G1000")+SUMIFS(Movimientos!E:E, Movimientos!D:D, A213, Movimientos!C:C, "Ajuste", Movimientos!F:F, "G1000")),"")</f>
        <v/>
      </c>
      <c r="G213" s="6" t="str">
        <f aca="false">IFERROR(IF(A213="","",SUMIFS(Movimientos!E:E, Movimientos!D:D, A213, Movimientos!C:C, "Ingreso", Movimientos!G:G, "G710")+SUMIFS(Movimientos!E:E, Movimientos!D:D, A213, Movimientos!C:C, "Traslado", Movimientos!G:G, "G710")-SUMIFS(Movimientos!E:E, Movimientos!D:D, A213, Movimientos!C:C, "Traslado", Movimientos!F:F, "G710")-SUMIFS(Movimientos!E:E, Movimientos!D:D, A213, Movimientos!C:C, "Egreso", Movimientos!F:F, "G710")+SUMIFS(Movimientos!E:E, Movimientos!D:D, A213, Movimientos!C:C, "Ajuste", Movimientos!F:F, "G710")),"")</f>
        <v/>
      </c>
      <c r="H213" s="6" t="str">
        <f aca="false">IFERROR(IF(A213="","",SUMIFS(Movimientos!E:E, Movimientos!D:D, A213, Movimientos!C:C, "Ingreso", Movimientos!G:G, "G5000")+SUMIFS(Movimientos!E:E, Movimientos!D:D, A213, Movimientos!C:C, "Traslado", Movimientos!G:G, "G5000")-SUMIFS(Movimientos!E:E, Movimientos!D:D, A213, Movimientos!C:C, "Traslado", Movimientos!F:F, "G5000")-SUMIFS(Movimientos!E:E, Movimientos!D:D, A213, Movimientos!C:C, "Egreso", Movimientos!F:F, "G5000")+SUMIFS(Movimientos!E:E, Movimientos!D:D, A213, Movimientos!C:C, "Ajuste", Movimientos!F:F, "G5000")),"")</f>
        <v/>
      </c>
      <c r="I213" s="6" t="str">
        <f aca="false">IFERROR(IF(A213="","",SUMIFS(Movimientos!E:E, Movimientos!D:D, A213, Movimientos!C:C, "Ingreso", Movimientos!G:G, "G3")+SUMIFS(Movimientos!E:E, Movimientos!D:D, A213, Movimientos!C:C, "Traslado", Movimientos!G:G, "G3")-SUMIFS(Movimientos!E:E, Movimientos!D:D, A213, Movimientos!C:C, "Traslado", Movimientos!F:F, "G3")-SUMIFS(Movimientos!E:E, Movimientos!D:D, A213, Movimientos!C:C, "Egreso", Movimientos!F:F, "G3")+SUMIFS(Movimientos!E:E, Movimientos!D:D, A213, Movimientos!C:C, "Ajuste", Movimientos!F:F, "G3")),"")</f>
        <v/>
      </c>
      <c r="J213" s="6" t="str">
        <f aca="false">IFERROR(IF(A213="","",SUM(E213:I213)),"")</f>
        <v/>
      </c>
      <c r="K213" s="6" t="str">
        <f aca="false">IFERROR(IF(A213="","",SUMIFS(Movimientos!E:E, Movimientos!D:D, A213, Movimientos!C:C, "Reserva")-SUMIFS(Movimientos!E:E, Movimientos!D:D, A213, Movimientos!C:C, "Libera_Reserva")),"")</f>
        <v/>
      </c>
      <c r="L213" s="6" t="str">
        <f aca="false">IFERROR(IF(A213="","",J213-K213),"")</f>
        <v/>
      </c>
      <c r="M213" s="6" t="str">
        <f aca="false">IFERROR(IF(Productos!A213="","",Productos!G213),"")</f>
        <v/>
      </c>
      <c r="N213" s="6" t="str">
        <f aca="false">IFERROR(IF(A213="","",IF(L213&lt;M213,"BAJO STOCK","OK")),"")</f>
        <v/>
      </c>
    </row>
    <row r="214" customFormat="false" ht="15" hidden="false" customHeight="false" outlineLevel="0" collapsed="false">
      <c r="A214" s="0" t="str">
        <f aca="false">IFERROR(IF(Productos!A214="","",Productos!A214),"")</f>
        <v/>
      </c>
      <c r="B214" s="0" t="str">
        <f aca="false">IFERROR(IF(Productos!A214="","",Productos!B214),"")</f>
        <v/>
      </c>
      <c r="C214" s="0" t="str">
        <f aca="false">IFERROR(IF(Productos!A214="","",Productos!C214),"")</f>
        <v/>
      </c>
      <c r="D214" s="0" t="str">
        <f aca="false">IFERROR(IF(Productos!A214="","",Productos!E214),"")</f>
        <v/>
      </c>
      <c r="E214" s="6" t="str">
        <f aca="false">IFERROR(IF(A214="","",SUMIFS(Movimientos!E:E, Movimientos!D:D, A214, Movimientos!C:C, "Ingreso", Movimientos!G:G, "TIN")+SUMIFS(Movimientos!E:E, Movimientos!D:D, A214, Movimientos!C:C, "Traslado", Movimientos!G:G, "TIN")-SUMIFS(Movimientos!E:E, Movimientos!D:D, A214, Movimientos!C:C, "Traslado", Movimientos!F:F, "TIN")-SUMIFS(Movimientos!E:E, Movimientos!D:D, A214, Movimientos!C:C, "Egreso", Movimientos!F:F, "TIN")+SUMIFS(Movimientos!E:E, Movimientos!D:D, A214, Movimientos!C:C, "Ajuste", Movimientos!F:F, "TIN")),"")</f>
        <v/>
      </c>
      <c r="F214" s="6" t="str">
        <f aca="false">IFERROR(IF(A214="","",SUMIFS(Movimientos!E:E, Movimientos!D:D, A214, Movimientos!C:C, "Ingreso", Movimientos!G:G, "G1000")+SUMIFS(Movimientos!E:E, Movimientos!D:D, A214, Movimientos!C:C, "Traslado", Movimientos!G:G, "G1000")-SUMIFS(Movimientos!E:E, Movimientos!D:D, A214, Movimientos!C:C, "Traslado", Movimientos!F:F, "G1000")-SUMIFS(Movimientos!E:E, Movimientos!D:D, A214, Movimientos!C:C, "Egreso", Movimientos!F:F, "G1000")+SUMIFS(Movimientos!E:E, Movimientos!D:D, A214, Movimientos!C:C, "Ajuste", Movimientos!F:F, "G1000")),"")</f>
        <v/>
      </c>
      <c r="G214" s="6" t="str">
        <f aca="false">IFERROR(IF(A214="","",SUMIFS(Movimientos!E:E, Movimientos!D:D, A214, Movimientos!C:C, "Ingreso", Movimientos!G:G, "G710")+SUMIFS(Movimientos!E:E, Movimientos!D:D, A214, Movimientos!C:C, "Traslado", Movimientos!G:G, "G710")-SUMIFS(Movimientos!E:E, Movimientos!D:D, A214, Movimientos!C:C, "Traslado", Movimientos!F:F, "G710")-SUMIFS(Movimientos!E:E, Movimientos!D:D, A214, Movimientos!C:C, "Egreso", Movimientos!F:F, "G710")+SUMIFS(Movimientos!E:E, Movimientos!D:D, A214, Movimientos!C:C, "Ajuste", Movimientos!F:F, "G710")),"")</f>
        <v/>
      </c>
      <c r="H214" s="6" t="str">
        <f aca="false">IFERROR(IF(A214="","",SUMIFS(Movimientos!E:E, Movimientos!D:D, A214, Movimientos!C:C, "Ingreso", Movimientos!G:G, "G5000")+SUMIFS(Movimientos!E:E, Movimientos!D:D, A214, Movimientos!C:C, "Traslado", Movimientos!G:G, "G5000")-SUMIFS(Movimientos!E:E, Movimientos!D:D, A214, Movimientos!C:C, "Traslado", Movimientos!F:F, "G5000")-SUMIFS(Movimientos!E:E, Movimientos!D:D, A214, Movimientos!C:C, "Egreso", Movimientos!F:F, "G5000")+SUMIFS(Movimientos!E:E, Movimientos!D:D, A214, Movimientos!C:C, "Ajuste", Movimientos!F:F, "G5000")),"")</f>
        <v/>
      </c>
      <c r="I214" s="6" t="str">
        <f aca="false">IFERROR(IF(A214="","",SUMIFS(Movimientos!E:E, Movimientos!D:D, A214, Movimientos!C:C, "Ingreso", Movimientos!G:G, "G3")+SUMIFS(Movimientos!E:E, Movimientos!D:D, A214, Movimientos!C:C, "Traslado", Movimientos!G:G, "G3")-SUMIFS(Movimientos!E:E, Movimientos!D:D, A214, Movimientos!C:C, "Traslado", Movimientos!F:F, "G3")-SUMIFS(Movimientos!E:E, Movimientos!D:D, A214, Movimientos!C:C, "Egreso", Movimientos!F:F, "G3")+SUMIFS(Movimientos!E:E, Movimientos!D:D, A214, Movimientos!C:C, "Ajuste", Movimientos!F:F, "G3")),"")</f>
        <v/>
      </c>
      <c r="J214" s="6" t="str">
        <f aca="false">IFERROR(IF(A214="","",SUM(E214:I214)),"")</f>
        <v/>
      </c>
      <c r="K214" s="6" t="str">
        <f aca="false">IFERROR(IF(A214="","",SUMIFS(Movimientos!E:E, Movimientos!D:D, A214, Movimientos!C:C, "Reserva")-SUMIFS(Movimientos!E:E, Movimientos!D:D, A214, Movimientos!C:C, "Libera_Reserva")),"")</f>
        <v/>
      </c>
      <c r="L214" s="6" t="str">
        <f aca="false">IFERROR(IF(A214="","",J214-K214),"")</f>
        <v/>
      </c>
      <c r="M214" s="6" t="str">
        <f aca="false">IFERROR(IF(Productos!A214="","",Productos!G214),"")</f>
        <v/>
      </c>
      <c r="N214" s="6" t="str">
        <f aca="false">IFERROR(IF(A214="","",IF(L214&lt;M214,"BAJO STOCK","OK")),"")</f>
        <v/>
      </c>
    </row>
    <row r="215" customFormat="false" ht="15" hidden="false" customHeight="false" outlineLevel="0" collapsed="false">
      <c r="A215" s="0" t="str">
        <f aca="false">IFERROR(IF(Productos!A215="","",Productos!A215),"")</f>
        <v/>
      </c>
      <c r="B215" s="0" t="str">
        <f aca="false">IFERROR(IF(Productos!A215="","",Productos!B215),"")</f>
        <v/>
      </c>
      <c r="C215" s="0" t="str">
        <f aca="false">IFERROR(IF(Productos!A215="","",Productos!C215),"")</f>
        <v/>
      </c>
      <c r="D215" s="0" t="str">
        <f aca="false">IFERROR(IF(Productos!A215="","",Productos!E215),"")</f>
        <v/>
      </c>
      <c r="E215" s="6" t="str">
        <f aca="false">IFERROR(IF(A215="","",SUMIFS(Movimientos!E:E, Movimientos!D:D, A215, Movimientos!C:C, "Ingreso", Movimientos!G:G, "TIN")+SUMIFS(Movimientos!E:E, Movimientos!D:D, A215, Movimientos!C:C, "Traslado", Movimientos!G:G, "TIN")-SUMIFS(Movimientos!E:E, Movimientos!D:D, A215, Movimientos!C:C, "Traslado", Movimientos!F:F, "TIN")-SUMIFS(Movimientos!E:E, Movimientos!D:D, A215, Movimientos!C:C, "Egreso", Movimientos!F:F, "TIN")+SUMIFS(Movimientos!E:E, Movimientos!D:D, A215, Movimientos!C:C, "Ajuste", Movimientos!F:F, "TIN")),"")</f>
        <v/>
      </c>
      <c r="F215" s="6" t="str">
        <f aca="false">IFERROR(IF(A215="","",SUMIFS(Movimientos!E:E, Movimientos!D:D, A215, Movimientos!C:C, "Ingreso", Movimientos!G:G, "G1000")+SUMIFS(Movimientos!E:E, Movimientos!D:D, A215, Movimientos!C:C, "Traslado", Movimientos!G:G, "G1000")-SUMIFS(Movimientos!E:E, Movimientos!D:D, A215, Movimientos!C:C, "Traslado", Movimientos!F:F, "G1000")-SUMIFS(Movimientos!E:E, Movimientos!D:D, A215, Movimientos!C:C, "Egreso", Movimientos!F:F, "G1000")+SUMIFS(Movimientos!E:E, Movimientos!D:D, A215, Movimientos!C:C, "Ajuste", Movimientos!F:F, "G1000")),"")</f>
        <v/>
      </c>
      <c r="G215" s="6" t="str">
        <f aca="false">IFERROR(IF(A215="","",SUMIFS(Movimientos!E:E, Movimientos!D:D, A215, Movimientos!C:C, "Ingreso", Movimientos!G:G, "G710")+SUMIFS(Movimientos!E:E, Movimientos!D:D, A215, Movimientos!C:C, "Traslado", Movimientos!G:G, "G710")-SUMIFS(Movimientos!E:E, Movimientos!D:D, A215, Movimientos!C:C, "Traslado", Movimientos!F:F, "G710")-SUMIFS(Movimientos!E:E, Movimientos!D:D, A215, Movimientos!C:C, "Egreso", Movimientos!F:F, "G710")+SUMIFS(Movimientos!E:E, Movimientos!D:D, A215, Movimientos!C:C, "Ajuste", Movimientos!F:F, "G710")),"")</f>
        <v/>
      </c>
      <c r="H215" s="6" t="str">
        <f aca="false">IFERROR(IF(A215="","",SUMIFS(Movimientos!E:E, Movimientos!D:D, A215, Movimientos!C:C, "Ingreso", Movimientos!G:G, "G5000")+SUMIFS(Movimientos!E:E, Movimientos!D:D, A215, Movimientos!C:C, "Traslado", Movimientos!G:G, "G5000")-SUMIFS(Movimientos!E:E, Movimientos!D:D, A215, Movimientos!C:C, "Traslado", Movimientos!F:F, "G5000")-SUMIFS(Movimientos!E:E, Movimientos!D:D, A215, Movimientos!C:C, "Egreso", Movimientos!F:F, "G5000")+SUMIFS(Movimientos!E:E, Movimientos!D:D, A215, Movimientos!C:C, "Ajuste", Movimientos!F:F, "G5000")),"")</f>
        <v/>
      </c>
      <c r="I215" s="6" t="str">
        <f aca="false">IFERROR(IF(A215="","",SUMIFS(Movimientos!E:E, Movimientos!D:D, A215, Movimientos!C:C, "Ingreso", Movimientos!G:G, "G3")+SUMIFS(Movimientos!E:E, Movimientos!D:D, A215, Movimientos!C:C, "Traslado", Movimientos!G:G, "G3")-SUMIFS(Movimientos!E:E, Movimientos!D:D, A215, Movimientos!C:C, "Traslado", Movimientos!F:F, "G3")-SUMIFS(Movimientos!E:E, Movimientos!D:D, A215, Movimientos!C:C, "Egreso", Movimientos!F:F, "G3")+SUMIFS(Movimientos!E:E, Movimientos!D:D, A215, Movimientos!C:C, "Ajuste", Movimientos!F:F, "G3")),"")</f>
        <v/>
      </c>
      <c r="J215" s="6" t="str">
        <f aca="false">IFERROR(IF(A215="","",SUM(E215:I215)),"")</f>
        <v/>
      </c>
      <c r="K215" s="6" t="str">
        <f aca="false">IFERROR(IF(A215="","",SUMIFS(Movimientos!E:E, Movimientos!D:D, A215, Movimientos!C:C, "Reserva")-SUMIFS(Movimientos!E:E, Movimientos!D:D, A215, Movimientos!C:C, "Libera_Reserva")),"")</f>
        <v/>
      </c>
      <c r="L215" s="6" t="str">
        <f aca="false">IFERROR(IF(A215="","",J215-K215),"")</f>
        <v/>
      </c>
      <c r="M215" s="6" t="str">
        <f aca="false">IFERROR(IF(Productos!A215="","",Productos!G215),"")</f>
        <v/>
      </c>
      <c r="N215" s="6" t="str">
        <f aca="false">IFERROR(IF(A215="","",IF(L215&lt;M215,"BAJO STOCK","OK")),"")</f>
        <v/>
      </c>
    </row>
    <row r="216" customFormat="false" ht="15" hidden="false" customHeight="false" outlineLevel="0" collapsed="false">
      <c r="A216" s="0" t="str">
        <f aca="false">IFERROR(IF(Productos!A216="","",Productos!A216),"")</f>
        <v/>
      </c>
      <c r="B216" s="0" t="str">
        <f aca="false">IFERROR(IF(Productos!A216="","",Productos!B216),"")</f>
        <v/>
      </c>
      <c r="C216" s="0" t="str">
        <f aca="false">IFERROR(IF(Productos!A216="","",Productos!C216),"")</f>
        <v/>
      </c>
      <c r="D216" s="0" t="str">
        <f aca="false">IFERROR(IF(Productos!A216="","",Productos!E216),"")</f>
        <v/>
      </c>
      <c r="E216" s="6" t="str">
        <f aca="false">IFERROR(IF(A216="","",SUMIFS(Movimientos!E:E, Movimientos!D:D, A216, Movimientos!C:C, "Ingreso", Movimientos!G:G, "TIN")+SUMIFS(Movimientos!E:E, Movimientos!D:D, A216, Movimientos!C:C, "Traslado", Movimientos!G:G, "TIN")-SUMIFS(Movimientos!E:E, Movimientos!D:D, A216, Movimientos!C:C, "Traslado", Movimientos!F:F, "TIN")-SUMIFS(Movimientos!E:E, Movimientos!D:D, A216, Movimientos!C:C, "Egreso", Movimientos!F:F, "TIN")+SUMIFS(Movimientos!E:E, Movimientos!D:D, A216, Movimientos!C:C, "Ajuste", Movimientos!F:F, "TIN")),"")</f>
        <v/>
      </c>
      <c r="F216" s="6" t="str">
        <f aca="false">IFERROR(IF(A216="","",SUMIFS(Movimientos!E:E, Movimientos!D:D, A216, Movimientos!C:C, "Ingreso", Movimientos!G:G, "G1000")+SUMIFS(Movimientos!E:E, Movimientos!D:D, A216, Movimientos!C:C, "Traslado", Movimientos!G:G, "G1000")-SUMIFS(Movimientos!E:E, Movimientos!D:D, A216, Movimientos!C:C, "Traslado", Movimientos!F:F, "G1000")-SUMIFS(Movimientos!E:E, Movimientos!D:D, A216, Movimientos!C:C, "Egreso", Movimientos!F:F, "G1000")+SUMIFS(Movimientos!E:E, Movimientos!D:D, A216, Movimientos!C:C, "Ajuste", Movimientos!F:F, "G1000")),"")</f>
        <v/>
      </c>
      <c r="G216" s="6" t="str">
        <f aca="false">IFERROR(IF(A216="","",SUMIFS(Movimientos!E:E, Movimientos!D:D, A216, Movimientos!C:C, "Ingreso", Movimientos!G:G, "G710")+SUMIFS(Movimientos!E:E, Movimientos!D:D, A216, Movimientos!C:C, "Traslado", Movimientos!G:G, "G710")-SUMIFS(Movimientos!E:E, Movimientos!D:D, A216, Movimientos!C:C, "Traslado", Movimientos!F:F, "G710")-SUMIFS(Movimientos!E:E, Movimientos!D:D, A216, Movimientos!C:C, "Egreso", Movimientos!F:F, "G710")+SUMIFS(Movimientos!E:E, Movimientos!D:D, A216, Movimientos!C:C, "Ajuste", Movimientos!F:F, "G710")),"")</f>
        <v/>
      </c>
      <c r="H216" s="6" t="str">
        <f aca="false">IFERROR(IF(A216="","",SUMIFS(Movimientos!E:E, Movimientos!D:D, A216, Movimientos!C:C, "Ingreso", Movimientos!G:G, "G5000")+SUMIFS(Movimientos!E:E, Movimientos!D:D, A216, Movimientos!C:C, "Traslado", Movimientos!G:G, "G5000")-SUMIFS(Movimientos!E:E, Movimientos!D:D, A216, Movimientos!C:C, "Traslado", Movimientos!F:F, "G5000")-SUMIFS(Movimientos!E:E, Movimientos!D:D, A216, Movimientos!C:C, "Egreso", Movimientos!F:F, "G5000")+SUMIFS(Movimientos!E:E, Movimientos!D:D, A216, Movimientos!C:C, "Ajuste", Movimientos!F:F, "G5000")),"")</f>
        <v/>
      </c>
      <c r="I216" s="6" t="str">
        <f aca="false">IFERROR(IF(A216="","",SUMIFS(Movimientos!E:E, Movimientos!D:D, A216, Movimientos!C:C, "Ingreso", Movimientos!G:G, "G3")+SUMIFS(Movimientos!E:E, Movimientos!D:D, A216, Movimientos!C:C, "Traslado", Movimientos!G:G, "G3")-SUMIFS(Movimientos!E:E, Movimientos!D:D, A216, Movimientos!C:C, "Traslado", Movimientos!F:F, "G3")-SUMIFS(Movimientos!E:E, Movimientos!D:D, A216, Movimientos!C:C, "Egreso", Movimientos!F:F, "G3")+SUMIFS(Movimientos!E:E, Movimientos!D:D, A216, Movimientos!C:C, "Ajuste", Movimientos!F:F, "G3")),"")</f>
        <v/>
      </c>
      <c r="J216" s="6" t="str">
        <f aca="false">IFERROR(IF(A216="","",SUM(E216:I216)),"")</f>
        <v/>
      </c>
      <c r="K216" s="6" t="str">
        <f aca="false">IFERROR(IF(A216="","",SUMIFS(Movimientos!E:E, Movimientos!D:D, A216, Movimientos!C:C, "Reserva")-SUMIFS(Movimientos!E:E, Movimientos!D:D, A216, Movimientos!C:C, "Libera_Reserva")),"")</f>
        <v/>
      </c>
      <c r="L216" s="6" t="str">
        <f aca="false">IFERROR(IF(A216="","",J216-K216),"")</f>
        <v/>
      </c>
      <c r="M216" s="6" t="str">
        <f aca="false">IFERROR(IF(Productos!A216="","",Productos!G216),"")</f>
        <v/>
      </c>
      <c r="N216" s="6" t="str">
        <f aca="false">IFERROR(IF(A216="","",IF(L216&lt;M216,"BAJO STOCK","OK")),"")</f>
        <v/>
      </c>
    </row>
    <row r="217" customFormat="false" ht="15" hidden="false" customHeight="false" outlineLevel="0" collapsed="false">
      <c r="A217" s="0" t="str">
        <f aca="false">IFERROR(IF(Productos!A217="","",Productos!A217),"")</f>
        <v/>
      </c>
      <c r="B217" s="0" t="str">
        <f aca="false">IFERROR(IF(Productos!A217="","",Productos!B217),"")</f>
        <v/>
      </c>
      <c r="C217" s="0" t="str">
        <f aca="false">IFERROR(IF(Productos!A217="","",Productos!C217),"")</f>
        <v/>
      </c>
      <c r="D217" s="0" t="str">
        <f aca="false">IFERROR(IF(Productos!A217="","",Productos!E217),"")</f>
        <v/>
      </c>
      <c r="E217" s="6" t="str">
        <f aca="false">IFERROR(IF(A217="","",SUMIFS(Movimientos!E:E, Movimientos!D:D, A217, Movimientos!C:C, "Ingreso", Movimientos!G:G, "TIN")+SUMIFS(Movimientos!E:E, Movimientos!D:D, A217, Movimientos!C:C, "Traslado", Movimientos!G:G, "TIN")-SUMIFS(Movimientos!E:E, Movimientos!D:D, A217, Movimientos!C:C, "Traslado", Movimientos!F:F, "TIN")-SUMIFS(Movimientos!E:E, Movimientos!D:D, A217, Movimientos!C:C, "Egreso", Movimientos!F:F, "TIN")+SUMIFS(Movimientos!E:E, Movimientos!D:D, A217, Movimientos!C:C, "Ajuste", Movimientos!F:F, "TIN")),"")</f>
        <v/>
      </c>
      <c r="F217" s="6" t="str">
        <f aca="false">IFERROR(IF(A217="","",SUMIFS(Movimientos!E:E, Movimientos!D:D, A217, Movimientos!C:C, "Ingreso", Movimientos!G:G, "G1000")+SUMIFS(Movimientos!E:E, Movimientos!D:D, A217, Movimientos!C:C, "Traslado", Movimientos!G:G, "G1000")-SUMIFS(Movimientos!E:E, Movimientos!D:D, A217, Movimientos!C:C, "Traslado", Movimientos!F:F, "G1000")-SUMIFS(Movimientos!E:E, Movimientos!D:D, A217, Movimientos!C:C, "Egreso", Movimientos!F:F, "G1000")+SUMIFS(Movimientos!E:E, Movimientos!D:D, A217, Movimientos!C:C, "Ajuste", Movimientos!F:F, "G1000")),"")</f>
        <v/>
      </c>
      <c r="G217" s="6" t="str">
        <f aca="false">IFERROR(IF(A217="","",SUMIFS(Movimientos!E:E, Movimientos!D:D, A217, Movimientos!C:C, "Ingreso", Movimientos!G:G, "G710")+SUMIFS(Movimientos!E:E, Movimientos!D:D, A217, Movimientos!C:C, "Traslado", Movimientos!G:G, "G710")-SUMIFS(Movimientos!E:E, Movimientos!D:D, A217, Movimientos!C:C, "Traslado", Movimientos!F:F, "G710")-SUMIFS(Movimientos!E:E, Movimientos!D:D, A217, Movimientos!C:C, "Egreso", Movimientos!F:F, "G710")+SUMIFS(Movimientos!E:E, Movimientos!D:D, A217, Movimientos!C:C, "Ajuste", Movimientos!F:F, "G710")),"")</f>
        <v/>
      </c>
      <c r="H217" s="6" t="str">
        <f aca="false">IFERROR(IF(A217="","",SUMIFS(Movimientos!E:E, Movimientos!D:D, A217, Movimientos!C:C, "Ingreso", Movimientos!G:G, "G5000")+SUMIFS(Movimientos!E:E, Movimientos!D:D, A217, Movimientos!C:C, "Traslado", Movimientos!G:G, "G5000")-SUMIFS(Movimientos!E:E, Movimientos!D:D, A217, Movimientos!C:C, "Traslado", Movimientos!F:F, "G5000")-SUMIFS(Movimientos!E:E, Movimientos!D:D, A217, Movimientos!C:C, "Egreso", Movimientos!F:F, "G5000")+SUMIFS(Movimientos!E:E, Movimientos!D:D, A217, Movimientos!C:C, "Ajuste", Movimientos!F:F, "G5000")),"")</f>
        <v/>
      </c>
      <c r="I217" s="6" t="str">
        <f aca="false">IFERROR(IF(A217="","",SUMIFS(Movimientos!E:E, Movimientos!D:D, A217, Movimientos!C:C, "Ingreso", Movimientos!G:G, "G3")+SUMIFS(Movimientos!E:E, Movimientos!D:D, A217, Movimientos!C:C, "Traslado", Movimientos!G:G, "G3")-SUMIFS(Movimientos!E:E, Movimientos!D:D, A217, Movimientos!C:C, "Traslado", Movimientos!F:F, "G3")-SUMIFS(Movimientos!E:E, Movimientos!D:D, A217, Movimientos!C:C, "Egreso", Movimientos!F:F, "G3")+SUMIFS(Movimientos!E:E, Movimientos!D:D, A217, Movimientos!C:C, "Ajuste", Movimientos!F:F, "G3")),"")</f>
        <v/>
      </c>
      <c r="J217" s="6" t="str">
        <f aca="false">IFERROR(IF(A217="","",SUM(E217:I217)),"")</f>
        <v/>
      </c>
      <c r="K217" s="6" t="str">
        <f aca="false">IFERROR(IF(A217="","",SUMIFS(Movimientos!E:E, Movimientos!D:D, A217, Movimientos!C:C, "Reserva")-SUMIFS(Movimientos!E:E, Movimientos!D:D, A217, Movimientos!C:C, "Libera_Reserva")),"")</f>
        <v/>
      </c>
      <c r="L217" s="6" t="str">
        <f aca="false">IFERROR(IF(A217="","",J217-K217),"")</f>
        <v/>
      </c>
      <c r="M217" s="6" t="str">
        <f aca="false">IFERROR(IF(Productos!A217="","",Productos!G217),"")</f>
        <v/>
      </c>
      <c r="N217" s="6" t="str">
        <f aca="false">IFERROR(IF(A217="","",IF(L217&lt;M217,"BAJO STOCK","OK")),"")</f>
        <v/>
      </c>
    </row>
    <row r="218" customFormat="false" ht="15" hidden="false" customHeight="false" outlineLevel="0" collapsed="false">
      <c r="A218" s="0" t="str">
        <f aca="false">IFERROR(IF(Productos!A218="","",Productos!A218),"")</f>
        <v/>
      </c>
      <c r="B218" s="0" t="str">
        <f aca="false">IFERROR(IF(Productos!A218="","",Productos!B218),"")</f>
        <v/>
      </c>
      <c r="C218" s="0" t="str">
        <f aca="false">IFERROR(IF(Productos!A218="","",Productos!C218),"")</f>
        <v/>
      </c>
      <c r="D218" s="0" t="str">
        <f aca="false">IFERROR(IF(Productos!A218="","",Productos!E218),"")</f>
        <v/>
      </c>
      <c r="E218" s="6" t="str">
        <f aca="false">IFERROR(IF(A218="","",SUMIFS(Movimientos!E:E, Movimientos!D:D, A218, Movimientos!C:C, "Ingreso", Movimientos!G:G, "TIN")+SUMIFS(Movimientos!E:E, Movimientos!D:D, A218, Movimientos!C:C, "Traslado", Movimientos!G:G, "TIN")-SUMIFS(Movimientos!E:E, Movimientos!D:D, A218, Movimientos!C:C, "Traslado", Movimientos!F:F, "TIN")-SUMIFS(Movimientos!E:E, Movimientos!D:D, A218, Movimientos!C:C, "Egreso", Movimientos!F:F, "TIN")+SUMIFS(Movimientos!E:E, Movimientos!D:D, A218, Movimientos!C:C, "Ajuste", Movimientos!F:F, "TIN")),"")</f>
        <v/>
      </c>
      <c r="F218" s="6" t="str">
        <f aca="false">IFERROR(IF(A218="","",SUMIFS(Movimientos!E:E, Movimientos!D:D, A218, Movimientos!C:C, "Ingreso", Movimientos!G:G, "G1000")+SUMIFS(Movimientos!E:E, Movimientos!D:D, A218, Movimientos!C:C, "Traslado", Movimientos!G:G, "G1000")-SUMIFS(Movimientos!E:E, Movimientos!D:D, A218, Movimientos!C:C, "Traslado", Movimientos!F:F, "G1000")-SUMIFS(Movimientos!E:E, Movimientos!D:D, A218, Movimientos!C:C, "Egreso", Movimientos!F:F, "G1000")+SUMIFS(Movimientos!E:E, Movimientos!D:D, A218, Movimientos!C:C, "Ajuste", Movimientos!F:F, "G1000")),"")</f>
        <v/>
      </c>
      <c r="G218" s="6" t="str">
        <f aca="false">IFERROR(IF(A218="","",SUMIFS(Movimientos!E:E, Movimientos!D:D, A218, Movimientos!C:C, "Ingreso", Movimientos!G:G, "G710")+SUMIFS(Movimientos!E:E, Movimientos!D:D, A218, Movimientos!C:C, "Traslado", Movimientos!G:G, "G710")-SUMIFS(Movimientos!E:E, Movimientos!D:D, A218, Movimientos!C:C, "Traslado", Movimientos!F:F, "G710")-SUMIFS(Movimientos!E:E, Movimientos!D:D, A218, Movimientos!C:C, "Egreso", Movimientos!F:F, "G710")+SUMIFS(Movimientos!E:E, Movimientos!D:D, A218, Movimientos!C:C, "Ajuste", Movimientos!F:F, "G710")),"")</f>
        <v/>
      </c>
      <c r="H218" s="6" t="str">
        <f aca="false">IFERROR(IF(A218="","",SUMIFS(Movimientos!E:E, Movimientos!D:D, A218, Movimientos!C:C, "Ingreso", Movimientos!G:G, "G5000")+SUMIFS(Movimientos!E:E, Movimientos!D:D, A218, Movimientos!C:C, "Traslado", Movimientos!G:G, "G5000")-SUMIFS(Movimientos!E:E, Movimientos!D:D, A218, Movimientos!C:C, "Traslado", Movimientos!F:F, "G5000")-SUMIFS(Movimientos!E:E, Movimientos!D:D, A218, Movimientos!C:C, "Egreso", Movimientos!F:F, "G5000")+SUMIFS(Movimientos!E:E, Movimientos!D:D, A218, Movimientos!C:C, "Ajuste", Movimientos!F:F, "G5000")),"")</f>
        <v/>
      </c>
      <c r="I218" s="6" t="str">
        <f aca="false">IFERROR(IF(A218="","",SUMIFS(Movimientos!E:E, Movimientos!D:D, A218, Movimientos!C:C, "Ingreso", Movimientos!G:G, "G3")+SUMIFS(Movimientos!E:E, Movimientos!D:D, A218, Movimientos!C:C, "Traslado", Movimientos!G:G, "G3")-SUMIFS(Movimientos!E:E, Movimientos!D:D, A218, Movimientos!C:C, "Traslado", Movimientos!F:F, "G3")-SUMIFS(Movimientos!E:E, Movimientos!D:D, A218, Movimientos!C:C, "Egreso", Movimientos!F:F, "G3")+SUMIFS(Movimientos!E:E, Movimientos!D:D, A218, Movimientos!C:C, "Ajuste", Movimientos!F:F, "G3")),"")</f>
        <v/>
      </c>
      <c r="J218" s="6" t="str">
        <f aca="false">IFERROR(IF(A218="","",SUM(E218:I218)),"")</f>
        <v/>
      </c>
      <c r="K218" s="6" t="str">
        <f aca="false">IFERROR(IF(A218="","",SUMIFS(Movimientos!E:E, Movimientos!D:D, A218, Movimientos!C:C, "Reserva")-SUMIFS(Movimientos!E:E, Movimientos!D:D, A218, Movimientos!C:C, "Libera_Reserva")),"")</f>
        <v/>
      </c>
      <c r="L218" s="6" t="str">
        <f aca="false">IFERROR(IF(A218="","",J218-K218),"")</f>
        <v/>
      </c>
      <c r="M218" s="6" t="str">
        <f aca="false">IFERROR(IF(Productos!A218="","",Productos!G218),"")</f>
        <v/>
      </c>
      <c r="N218" s="6" t="str">
        <f aca="false">IFERROR(IF(A218="","",IF(L218&lt;M218,"BAJO STOCK","OK")),"")</f>
        <v/>
      </c>
    </row>
    <row r="219" customFormat="false" ht="15" hidden="false" customHeight="false" outlineLevel="0" collapsed="false">
      <c r="A219" s="0" t="str">
        <f aca="false">IFERROR(IF(Productos!A219="","",Productos!A219),"")</f>
        <v/>
      </c>
      <c r="B219" s="0" t="str">
        <f aca="false">IFERROR(IF(Productos!A219="","",Productos!B219),"")</f>
        <v/>
      </c>
      <c r="C219" s="0" t="str">
        <f aca="false">IFERROR(IF(Productos!A219="","",Productos!C219),"")</f>
        <v/>
      </c>
      <c r="D219" s="0" t="str">
        <f aca="false">IFERROR(IF(Productos!A219="","",Productos!E219),"")</f>
        <v/>
      </c>
      <c r="E219" s="6" t="str">
        <f aca="false">IFERROR(IF(A219="","",SUMIFS(Movimientos!E:E, Movimientos!D:D, A219, Movimientos!C:C, "Ingreso", Movimientos!G:G, "TIN")+SUMIFS(Movimientos!E:E, Movimientos!D:D, A219, Movimientos!C:C, "Traslado", Movimientos!G:G, "TIN")-SUMIFS(Movimientos!E:E, Movimientos!D:D, A219, Movimientos!C:C, "Traslado", Movimientos!F:F, "TIN")-SUMIFS(Movimientos!E:E, Movimientos!D:D, A219, Movimientos!C:C, "Egreso", Movimientos!F:F, "TIN")+SUMIFS(Movimientos!E:E, Movimientos!D:D, A219, Movimientos!C:C, "Ajuste", Movimientos!F:F, "TIN")),"")</f>
        <v/>
      </c>
      <c r="F219" s="6" t="str">
        <f aca="false">IFERROR(IF(A219="","",SUMIFS(Movimientos!E:E, Movimientos!D:D, A219, Movimientos!C:C, "Ingreso", Movimientos!G:G, "G1000")+SUMIFS(Movimientos!E:E, Movimientos!D:D, A219, Movimientos!C:C, "Traslado", Movimientos!G:G, "G1000")-SUMIFS(Movimientos!E:E, Movimientos!D:D, A219, Movimientos!C:C, "Traslado", Movimientos!F:F, "G1000")-SUMIFS(Movimientos!E:E, Movimientos!D:D, A219, Movimientos!C:C, "Egreso", Movimientos!F:F, "G1000")+SUMIFS(Movimientos!E:E, Movimientos!D:D, A219, Movimientos!C:C, "Ajuste", Movimientos!F:F, "G1000")),"")</f>
        <v/>
      </c>
      <c r="G219" s="6" t="str">
        <f aca="false">IFERROR(IF(A219="","",SUMIFS(Movimientos!E:E, Movimientos!D:D, A219, Movimientos!C:C, "Ingreso", Movimientos!G:G, "G710")+SUMIFS(Movimientos!E:E, Movimientos!D:D, A219, Movimientos!C:C, "Traslado", Movimientos!G:G, "G710")-SUMIFS(Movimientos!E:E, Movimientos!D:D, A219, Movimientos!C:C, "Traslado", Movimientos!F:F, "G710")-SUMIFS(Movimientos!E:E, Movimientos!D:D, A219, Movimientos!C:C, "Egreso", Movimientos!F:F, "G710")+SUMIFS(Movimientos!E:E, Movimientos!D:D, A219, Movimientos!C:C, "Ajuste", Movimientos!F:F, "G710")),"")</f>
        <v/>
      </c>
      <c r="H219" s="6" t="str">
        <f aca="false">IFERROR(IF(A219="","",SUMIFS(Movimientos!E:E, Movimientos!D:D, A219, Movimientos!C:C, "Ingreso", Movimientos!G:G, "G5000")+SUMIFS(Movimientos!E:E, Movimientos!D:D, A219, Movimientos!C:C, "Traslado", Movimientos!G:G, "G5000")-SUMIFS(Movimientos!E:E, Movimientos!D:D, A219, Movimientos!C:C, "Traslado", Movimientos!F:F, "G5000")-SUMIFS(Movimientos!E:E, Movimientos!D:D, A219, Movimientos!C:C, "Egreso", Movimientos!F:F, "G5000")+SUMIFS(Movimientos!E:E, Movimientos!D:D, A219, Movimientos!C:C, "Ajuste", Movimientos!F:F, "G5000")),"")</f>
        <v/>
      </c>
      <c r="I219" s="6" t="str">
        <f aca="false">IFERROR(IF(A219="","",SUMIFS(Movimientos!E:E, Movimientos!D:D, A219, Movimientos!C:C, "Ingreso", Movimientos!G:G, "G3")+SUMIFS(Movimientos!E:E, Movimientos!D:D, A219, Movimientos!C:C, "Traslado", Movimientos!G:G, "G3")-SUMIFS(Movimientos!E:E, Movimientos!D:D, A219, Movimientos!C:C, "Traslado", Movimientos!F:F, "G3")-SUMIFS(Movimientos!E:E, Movimientos!D:D, A219, Movimientos!C:C, "Egreso", Movimientos!F:F, "G3")+SUMIFS(Movimientos!E:E, Movimientos!D:D, A219, Movimientos!C:C, "Ajuste", Movimientos!F:F, "G3")),"")</f>
        <v/>
      </c>
      <c r="J219" s="6" t="str">
        <f aca="false">IFERROR(IF(A219="","",SUM(E219:I219)),"")</f>
        <v/>
      </c>
      <c r="K219" s="6" t="str">
        <f aca="false">IFERROR(IF(A219="","",SUMIFS(Movimientos!E:E, Movimientos!D:D, A219, Movimientos!C:C, "Reserva")-SUMIFS(Movimientos!E:E, Movimientos!D:D, A219, Movimientos!C:C, "Libera_Reserva")),"")</f>
        <v/>
      </c>
      <c r="L219" s="6" t="str">
        <f aca="false">IFERROR(IF(A219="","",J219-K219),"")</f>
        <v/>
      </c>
      <c r="M219" s="6" t="str">
        <f aca="false">IFERROR(IF(Productos!A219="","",Productos!G219),"")</f>
        <v/>
      </c>
      <c r="N219" s="6" t="str">
        <f aca="false">IFERROR(IF(A219="","",IF(L219&lt;M219,"BAJO STOCK","OK")),"")</f>
        <v/>
      </c>
    </row>
    <row r="220" customFormat="false" ht="15" hidden="false" customHeight="false" outlineLevel="0" collapsed="false">
      <c r="A220" s="0" t="str">
        <f aca="false">IFERROR(IF(Productos!A220="","",Productos!A220),"")</f>
        <v/>
      </c>
      <c r="B220" s="0" t="str">
        <f aca="false">IFERROR(IF(Productos!A220="","",Productos!B220),"")</f>
        <v/>
      </c>
      <c r="C220" s="0" t="str">
        <f aca="false">IFERROR(IF(Productos!A220="","",Productos!C220),"")</f>
        <v/>
      </c>
      <c r="D220" s="0" t="str">
        <f aca="false">IFERROR(IF(Productos!A220="","",Productos!E220),"")</f>
        <v/>
      </c>
      <c r="E220" s="6" t="str">
        <f aca="false">IFERROR(IF(A220="","",SUMIFS(Movimientos!E:E, Movimientos!D:D, A220, Movimientos!C:C, "Ingreso", Movimientos!G:G, "TIN")+SUMIFS(Movimientos!E:E, Movimientos!D:D, A220, Movimientos!C:C, "Traslado", Movimientos!G:G, "TIN")-SUMIFS(Movimientos!E:E, Movimientos!D:D, A220, Movimientos!C:C, "Traslado", Movimientos!F:F, "TIN")-SUMIFS(Movimientos!E:E, Movimientos!D:D, A220, Movimientos!C:C, "Egreso", Movimientos!F:F, "TIN")+SUMIFS(Movimientos!E:E, Movimientos!D:D, A220, Movimientos!C:C, "Ajuste", Movimientos!F:F, "TIN")),"")</f>
        <v/>
      </c>
      <c r="F220" s="6" t="str">
        <f aca="false">IFERROR(IF(A220="","",SUMIFS(Movimientos!E:E, Movimientos!D:D, A220, Movimientos!C:C, "Ingreso", Movimientos!G:G, "G1000")+SUMIFS(Movimientos!E:E, Movimientos!D:D, A220, Movimientos!C:C, "Traslado", Movimientos!G:G, "G1000")-SUMIFS(Movimientos!E:E, Movimientos!D:D, A220, Movimientos!C:C, "Traslado", Movimientos!F:F, "G1000")-SUMIFS(Movimientos!E:E, Movimientos!D:D, A220, Movimientos!C:C, "Egreso", Movimientos!F:F, "G1000")+SUMIFS(Movimientos!E:E, Movimientos!D:D, A220, Movimientos!C:C, "Ajuste", Movimientos!F:F, "G1000")),"")</f>
        <v/>
      </c>
      <c r="G220" s="6" t="str">
        <f aca="false">IFERROR(IF(A220="","",SUMIFS(Movimientos!E:E, Movimientos!D:D, A220, Movimientos!C:C, "Ingreso", Movimientos!G:G, "G710")+SUMIFS(Movimientos!E:E, Movimientos!D:D, A220, Movimientos!C:C, "Traslado", Movimientos!G:G, "G710")-SUMIFS(Movimientos!E:E, Movimientos!D:D, A220, Movimientos!C:C, "Traslado", Movimientos!F:F, "G710")-SUMIFS(Movimientos!E:E, Movimientos!D:D, A220, Movimientos!C:C, "Egreso", Movimientos!F:F, "G710")+SUMIFS(Movimientos!E:E, Movimientos!D:D, A220, Movimientos!C:C, "Ajuste", Movimientos!F:F, "G710")),"")</f>
        <v/>
      </c>
      <c r="H220" s="6" t="str">
        <f aca="false">IFERROR(IF(A220="","",SUMIFS(Movimientos!E:E, Movimientos!D:D, A220, Movimientos!C:C, "Ingreso", Movimientos!G:G, "G5000")+SUMIFS(Movimientos!E:E, Movimientos!D:D, A220, Movimientos!C:C, "Traslado", Movimientos!G:G, "G5000")-SUMIFS(Movimientos!E:E, Movimientos!D:D, A220, Movimientos!C:C, "Traslado", Movimientos!F:F, "G5000")-SUMIFS(Movimientos!E:E, Movimientos!D:D, A220, Movimientos!C:C, "Egreso", Movimientos!F:F, "G5000")+SUMIFS(Movimientos!E:E, Movimientos!D:D, A220, Movimientos!C:C, "Ajuste", Movimientos!F:F, "G5000")),"")</f>
        <v/>
      </c>
      <c r="I220" s="6" t="str">
        <f aca="false">IFERROR(IF(A220="","",SUMIFS(Movimientos!E:E, Movimientos!D:D, A220, Movimientos!C:C, "Ingreso", Movimientos!G:G, "G3")+SUMIFS(Movimientos!E:E, Movimientos!D:D, A220, Movimientos!C:C, "Traslado", Movimientos!G:G, "G3")-SUMIFS(Movimientos!E:E, Movimientos!D:D, A220, Movimientos!C:C, "Traslado", Movimientos!F:F, "G3")-SUMIFS(Movimientos!E:E, Movimientos!D:D, A220, Movimientos!C:C, "Egreso", Movimientos!F:F, "G3")+SUMIFS(Movimientos!E:E, Movimientos!D:D, A220, Movimientos!C:C, "Ajuste", Movimientos!F:F, "G3")),"")</f>
        <v/>
      </c>
      <c r="J220" s="6" t="str">
        <f aca="false">IFERROR(IF(A220="","",SUM(E220:I220)),"")</f>
        <v/>
      </c>
      <c r="K220" s="6" t="str">
        <f aca="false">IFERROR(IF(A220="","",SUMIFS(Movimientos!E:E, Movimientos!D:D, A220, Movimientos!C:C, "Reserva")-SUMIFS(Movimientos!E:E, Movimientos!D:D, A220, Movimientos!C:C, "Libera_Reserva")),"")</f>
        <v/>
      </c>
      <c r="L220" s="6" t="str">
        <f aca="false">IFERROR(IF(A220="","",J220-K220),"")</f>
        <v/>
      </c>
      <c r="M220" s="6" t="str">
        <f aca="false">IFERROR(IF(Productos!A220="","",Productos!G220),"")</f>
        <v/>
      </c>
      <c r="N220" s="6" t="str">
        <f aca="false">IFERROR(IF(A220="","",IF(L220&lt;M220,"BAJO STOCK","OK")),"")</f>
        <v/>
      </c>
    </row>
    <row r="221" customFormat="false" ht="15" hidden="false" customHeight="false" outlineLevel="0" collapsed="false">
      <c r="A221" s="0" t="str">
        <f aca="false">IFERROR(IF(Productos!A221="","",Productos!A221),"")</f>
        <v/>
      </c>
      <c r="B221" s="0" t="str">
        <f aca="false">IFERROR(IF(Productos!A221="","",Productos!B221),"")</f>
        <v/>
      </c>
      <c r="C221" s="0" t="str">
        <f aca="false">IFERROR(IF(Productos!A221="","",Productos!C221),"")</f>
        <v/>
      </c>
      <c r="D221" s="0" t="str">
        <f aca="false">IFERROR(IF(Productos!A221="","",Productos!E221),"")</f>
        <v/>
      </c>
      <c r="E221" s="6" t="str">
        <f aca="false">IFERROR(IF(A221="","",SUMIFS(Movimientos!E:E, Movimientos!D:D, A221, Movimientos!C:C, "Ingreso", Movimientos!G:G, "TIN")+SUMIFS(Movimientos!E:E, Movimientos!D:D, A221, Movimientos!C:C, "Traslado", Movimientos!G:G, "TIN")-SUMIFS(Movimientos!E:E, Movimientos!D:D, A221, Movimientos!C:C, "Traslado", Movimientos!F:F, "TIN")-SUMIFS(Movimientos!E:E, Movimientos!D:D, A221, Movimientos!C:C, "Egreso", Movimientos!F:F, "TIN")+SUMIFS(Movimientos!E:E, Movimientos!D:D, A221, Movimientos!C:C, "Ajuste", Movimientos!F:F, "TIN")),"")</f>
        <v/>
      </c>
      <c r="F221" s="6" t="str">
        <f aca="false">IFERROR(IF(A221="","",SUMIFS(Movimientos!E:E, Movimientos!D:D, A221, Movimientos!C:C, "Ingreso", Movimientos!G:G, "G1000")+SUMIFS(Movimientos!E:E, Movimientos!D:D, A221, Movimientos!C:C, "Traslado", Movimientos!G:G, "G1000")-SUMIFS(Movimientos!E:E, Movimientos!D:D, A221, Movimientos!C:C, "Traslado", Movimientos!F:F, "G1000")-SUMIFS(Movimientos!E:E, Movimientos!D:D, A221, Movimientos!C:C, "Egreso", Movimientos!F:F, "G1000")+SUMIFS(Movimientos!E:E, Movimientos!D:D, A221, Movimientos!C:C, "Ajuste", Movimientos!F:F, "G1000")),"")</f>
        <v/>
      </c>
      <c r="G221" s="6" t="str">
        <f aca="false">IFERROR(IF(A221="","",SUMIFS(Movimientos!E:E, Movimientos!D:D, A221, Movimientos!C:C, "Ingreso", Movimientos!G:G, "G710")+SUMIFS(Movimientos!E:E, Movimientos!D:D, A221, Movimientos!C:C, "Traslado", Movimientos!G:G, "G710")-SUMIFS(Movimientos!E:E, Movimientos!D:D, A221, Movimientos!C:C, "Traslado", Movimientos!F:F, "G710")-SUMIFS(Movimientos!E:E, Movimientos!D:D, A221, Movimientos!C:C, "Egreso", Movimientos!F:F, "G710")+SUMIFS(Movimientos!E:E, Movimientos!D:D, A221, Movimientos!C:C, "Ajuste", Movimientos!F:F, "G710")),"")</f>
        <v/>
      </c>
      <c r="H221" s="6" t="str">
        <f aca="false">IFERROR(IF(A221="","",SUMIFS(Movimientos!E:E, Movimientos!D:D, A221, Movimientos!C:C, "Ingreso", Movimientos!G:G, "G5000")+SUMIFS(Movimientos!E:E, Movimientos!D:D, A221, Movimientos!C:C, "Traslado", Movimientos!G:G, "G5000")-SUMIFS(Movimientos!E:E, Movimientos!D:D, A221, Movimientos!C:C, "Traslado", Movimientos!F:F, "G5000")-SUMIFS(Movimientos!E:E, Movimientos!D:D, A221, Movimientos!C:C, "Egreso", Movimientos!F:F, "G5000")+SUMIFS(Movimientos!E:E, Movimientos!D:D, A221, Movimientos!C:C, "Ajuste", Movimientos!F:F, "G5000")),"")</f>
        <v/>
      </c>
      <c r="I221" s="6" t="str">
        <f aca="false">IFERROR(IF(A221="","",SUMIFS(Movimientos!E:E, Movimientos!D:D, A221, Movimientos!C:C, "Ingreso", Movimientos!G:G, "G3")+SUMIFS(Movimientos!E:E, Movimientos!D:D, A221, Movimientos!C:C, "Traslado", Movimientos!G:G, "G3")-SUMIFS(Movimientos!E:E, Movimientos!D:D, A221, Movimientos!C:C, "Traslado", Movimientos!F:F, "G3")-SUMIFS(Movimientos!E:E, Movimientos!D:D, A221, Movimientos!C:C, "Egreso", Movimientos!F:F, "G3")+SUMIFS(Movimientos!E:E, Movimientos!D:D, A221, Movimientos!C:C, "Ajuste", Movimientos!F:F, "G3")),"")</f>
        <v/>
      </c>
      <c r="J221" s="6" t="str">
        <f aca="false">IFERROR(IF(A221="","",SUM(E221:I221)),"")</f>
        <v/>
      </c>
      <c r="K221" s="6" t="str">
        <f aca="false">IFERROR(IF(A221="","",SUMIFS(Movimientos!E:E, Movimientos!D:D, A221, Movimientos!C:C, "Reserva")-SUMIFS(Movimientos!E:E, Movimientos!D:D, A221, Movimientos!C:C, "Libera_Reserva")),"")</f>
        <v/>
      </c>
      <c r="L221" s="6" t="str">
        <f aca="false">IFERROR(IF(A221="","",J221-K221),"")</f>
        <v/>
      </c>
      <c r="M221" s="6" t="str">
        <f aca="false">IFERROR(IF(Productos!A221="","",Productos!G221),"")</f>
        <v/>
      </c>
      <c r="N221" s="6" t="str">
        <f aca="false">IFERROR(IF(A221="","",IF(L221&lt;M221,"BAJO STOCK","OK")),"")</f>
        <v/>
      </c>
    </row>
    <row r="222" customFormat="false" ht="15" hidden="false" customHeight="false" outlineLevel="0" collapsed="false">
      <c r="A222" s="0" t="str">
        <f aca="false">IFERROR(IF(Productos!A222="","",Productos!A222),"")</f>
        <v/>
      </c>
      <c r="B222" s="0" t="str">
        <f aca="false">IFERROR(IF(Productos!A222="","",Productos!B222),"")</f>
        <v/>
      </c>
      <c r="C222" s="0" t="str">
        <f aca="false">IFERROR(IF(Productos!A222="","",Productos!C222),"")</f>
        <v/>
      </c>
      <c r="D222" s="0" t="str">
        <f aca="false">IFERROR(IF(Productos!A222="","",Productos!E222),"")</f>
        <v/>
      </c>
      <c r="E222" s="6" t="str">
        <f aca="false">IFERROR(IF(A222="","",SUMIFS(Movimientos!E:E, Movimientos!D:D, A222, Movimientos!C:C, "Ingreso", Movimientos!G:G, "TIN")+SUMIFS(Movimientos!E:E, Movimientos!D:D, A222, Movimientos!C:C, "Traslado", Movimientos!G:G, "TIN")-SUMIFS(Movimientos!E:E, Movimientos!D:D, A222, Movimientos!C:C, "Traslado", Movimientos!F:F, "TIN")-SUMIFS(Movimientos!E:E, Movimientos!D:D, A222, Movimientos!C:C, "Egreso", Movimientos!F:F, "TIN")+SUMIFS(Movimientos!E:E, Movimientos!D:D, A222, Movimientos!C:C, "Ajuste", Movimientos!F:F, "TIN")),"")</f>
        <v/>
      </c>
      <c r="F222" s="6" t="str">
        <f aca="false">IFERROR(IF(A222="","",SUMIFS(Movimientos!E:E, Movimientos!D:D, A222, Movimientos!C:C, "Ingreso", Movimientos!G:G, "G1000")+SUMIFS(Movimientos!E:E, Movimientos!D:D, A222, Movimientos!C:C, "Traslado", Movimientos!G:G, "G1000")-SUMIFS(Movimientos!E:E, Movimientos!D:D, A222, Movimientos!C:C, "Traslado", Movimientos!F:F, "G1000")-SUMIFS(Movimientos!E:E, Movimientos!D:D, A222, Movimientos!C:C, "Egreso", Movimientos!F:F, "G1000")+SUMIFS(Movimientos!E:E, Movimientos!D:D, A222, Movimientos!C:C, "Ajuste", Movimientos!F:F, "G1000")),"")</f>
        <v/>
      </c>
      <c r="G222" s="6" t="str">
        <f aca="false">IFERROR(IF(A222="","",SUMIFS(Movimientos!E:E, Movimientos!D:D, A222, Movimientos!C:C, "Ingreso", Movimientos!G:G, "G710")+SUMIFS(Movimientos!E:E, Movimientos!D:D, A222, Movimientos!C:C, "Traslado", Movimientos!G:G, "G710")-SUMIFS(Movimientos!E:E, Movimientos!D:D, A222, Movimientos!C:C, "Traslado", Movimientos!F:F, "G710")-SUMIFS(Movimientos!E:E, Movimientos!D:D, A222, Movimientos!C:C, "Egreso", Movimientos!F:F, "G710")+SUMIFS(Movimientos!E:E, Movimientos!D:D, A222, Movimientos!C:C, "Ajuste", Movimientos!F:F, "G710")),"")</f>
        <v/>
      </c>
      <c r="H222" s="6" t="str">
        <f aca="false">IFERROR(IF(A222="","",SUMIFS(Movimientos!E:E, Movimientos!D:D, A222, Movimientos!C:C, "Ingreso", Movimientos!G:G, "G5000")+SUMIFS(Movimientos!E:E, Movimientos!D:D, A222, Movimientos!C:C, "Traslado", Movimientos!G:G, "G5000")-SUMIFS(Movimientos!E:E, Movimientos!D:D, A222, Movimientos!C:C, "Traslado", Movimientos!F:F, "G5000")-SUMIFS(Movimientos!E:E, Movimientos!D:D, A222, Movimientos!C:C, "Egreso", Movimientos!F:F, "G5000")+SUMIFS(Movimientos!E:E, Movimientos!D:D, A222, Movimientos!C:C, "Ajuste", Movimientos!F:F, "G5000")),"")</f>
        <v/>
      </c>
      <c r="I222" s="6" t="str">
        <f aca="false">IFERROR(IF(A222="","",SUMIFS(Movimientos!E:E, Movimientos!D:D, A222, Movimientos!C:C, "Ingreso", Movimientos!G:G, "G3")+SUMIFS(Movimientos!E:E, Movimientos!D:D, A222, Movimientos!C:C, "Traslado", Movimientos!G:G, "G3")-SUMIFS(Movimientos!E:E, Movimientos!D:D, A222, Movimientos!C:C, "Traslado", Movimientos!F:F, "G3")-SUMIFS(Movimientos!E:E, Movimientos!D:D, A222, Movimientos!C:C, "Egreso", Movimientos!F:F, "G3")+SUMIFS(Movimientos!E:E, Movimientos!D:D, A222, Movimientos!C:C, "Ajuste", Movimientos!F:F, "G3")),"")</f>
        <v/>
      </c>
      <c r="J222" s="6" t="str">
        <f aca="false">IFERROR(IF(A222="","",SUM(E222:I222)),"")</f>
        <v/>
      </c>
      <c r="K222" s="6" t="str">
        <f aca="false">IFERROR(IF(A222="","",SUMIFS(Movimientos!E:E, Movimientos!D:D, A222, Movimientos!C:C, "Reserva")-SUMIFS(Movimientos!E:E, Movimientos!D:D, A222, Movimientos!C:C, "Libera_Reserva")),"")</f>
        <v/>
      </c>
      <c r="L222" s="6" t="str">
        <f aca="false">IFERROR(IF(A222="","",J222-K222),"")</f>
        <v/>
      </c>
      <c r="M222" s="6" t="str">
        <f aca="false">IFERROR(IF(Productos!A222="","",Productos!G222),"")</f>
        <v/>
      </c>
      <c r="N222" s="6" t="str">
        <f aca="false">IFERROR(IF(A222="","",IF(L222&lt;M222,"BAJO STOCK","OK")),"")</f>
        <v/>
      </c>
    </row>
    <row r="223" customFormat="false" ht="15" hidden="false" customHeight="false" outlineLevel="0" collapsed="false">
      <c r="A223" s="0" t="str">
        <f aca="false">IFERROR(IF(Productos!A223="","",Productos!A223),"")</f>
        <v/>
      </c>
      <c r="B223" s="0" t="str">
        <f aca="false">IFERROR(IF(Productos!A223="","",Productos!B223),"")</f>
        <v/>
      </c>
      <c r="C223" s="0" t="str">
        <f aca="false">IFERROR(IF(Productos!A223="","",Productos!C223),"")</f>
        <v/>
      </c>
      <c r="D223" s="0" t="str">
        <f aca="false">IFERROR(IF(Productos!A223="","",Productos!E223),"")</f>
        <v/>
      </c>
      <c r="E223" s="6" t="str">
        <f aca="false">IFERROR(IF(A223="","",SUMIFS(Movimientos!E:E, Movimientos!D:D, A223, Movimientos!C:C, "Ingreso", Movimientos!G:G, "TIN")+SUMIFS(Movimientos!E:E, Movimientos!D:D, A223, Movimientos!C:C, "Traslado", Movimientos!G:G, "TIN")-SUMIFS(Movimientos!E:E, Movimientos!D:D, A223, Movimientos!C:C, "Traslado", Movimientos!F:F, "TIN")-SUMIFS(Movimientos!E:E, Movimientos!D:D, A223, Movimientos!C:C, "Egreso", Movimientos!F:F, "TIN")+SUMIFS(Movimientos!E:E, Movimientos!D:D, A223, Movimientos!C:C, "Ajuste", Movimientos!F:F, "TIN")),"")</f>
        <v/>
      </c>
      <c r="F223" s="6" t="str">
        <f aca="false">IFERROR(IF(A223="","",SUMIFS(Movimientos!E:E, Movimientos!D:D, A223, Movimientos!C:C, "Ingreso", Movimientos!G:G, "G1000")+SUMIFS(Movimientos!E:E, Movimientos!D:D, A223, Movimientos!C:C, "Traslado", Movimientos!G:G, "G1000")-SUMIFS(Movimientos!E:E, Movimientos!D:D, A223, Movimientos!C:C, "Traslado", Movimientos!F:F, "G1000")-SUMIFS(Movimientos!E:E, Movimientos!D:D, A223, Movimientos!C:C, "Egreso", Movimientos!F:F, "G1000")+SUMIFS(Movimientos!E:E, Movimientos!D:D, A223, Movimientos!C:C, "Ajuste", Movimientos!F:F, "G1000")),"")</f>
        <v/>
      </c>
      <c r="G223" s="6" t="str">
        <f aca="false">IFERROR(IF(A223="","",SUMIFS(Movimientos!E:E, Movimientos!D:D, A223, Movimientos!C:C, "Ingreso", Movimientos!G:G, "G710")+SUMIFS(Movimientos!E:E, Movimientos!D:D, A223, Movimientos!C:C, "Traslado", Movimientos!G:G, "G710")-SUMIFS(Movimientos!E:E, Movimientos!D:D, A223, Movimientos!C:C, "Traslado", Movimientos!F:F, "G710")-SUMIFS(Movimientos!E:E, Movimientos!D:D, A223, Movimientos!C:C, "Egreso", Movimientos!F:F, "G710")+SUMIFS(Movimientos!E:E, Movimientos!D:D, A223, Movimientos!C:C, "Ajuste", Movimientos!F:F, "G710")),"")</f>
        <v/>
      </c>
      <c r="H223" s="6" t="str">
        <f aca="false">IFERROR(IF(A223="","",SUMIFS(Movimientos!E:E, Movimientos!D:D, A223, Movimientos!C:C, "Ingreso", Movimientos!G:G, "G5000")+SUMIFS(Movimientos!E:E, Movimientos!D:D, A223, Movimientos!C:C, "Traslado", Movimientos!G:G, "G5000")-SUMIFS(Movimientos!E:E, Movimientos!D:D, A223, Movimientos!C:C, "Traslado", Movimientos!F:F, "G5000")-SUMIFS(Movimientos!E:E, Movimientos!D:D, A223, Movimientos!C:C, "Egreso", Movimientos!F:F, "G5000")+SUMIFS(Movimientos!E:E, Movimientos!D:D, A223, Movimientos!C:C, "Ajuste", Movimientos!F:F, "G5000")),"")</f>
        <v/>
      </c>
      <c r="I223" s="6" t="str">
        <f aca="false">IFERROR(IF(A223="","",SUMIFS(Movimientos!E:E, Movimientos!D:D, A223, Movimientos!C:C, "Ingreso", Movimientos!G:G, "G3")+SUMIFS(Movimientos!E:E, Movimientos!D:D, A223, Movimientos!C:C, "Traslado", Movimientos!G:G, "G3")-SUMIFS(Movimientos!E:E, Movimientos!D:D, A223, Movimientos!C:C, "Traslado", Movimientos!F:F, "G3")-SUMIFS(Movimientos!E:E, Movimientos!D:D, A223, Movimientos!C:C, "Egreso", Movimientos!F:F, "G3")+SUMIFS(Movimientos!E:E, Movimientos!D:D, A223, Movimientos!C:C, "Ajuste", Movimientos!F:F, "G3")),"")</f>
        <v/>
      </c>
      <c r="J223" s="6" t="str">
        <f aca="false">IFERROR(IF(A223="","",SUM(E223:I223)),"")</f>
        <v/>
      </c>
      <c r="K223" s="6" t="str">
        <f aca="false">IFERROR(IF(A223="","",SUMIFS(Movimientos!E:E, Movimientos!D:D, A223, Movimientos!C:C, "Reserva")-SUMIFS(Movimientos!E:E, Movimientos!D:D, A223, Movimientos!C:C, "Libera_Reserva")),"")</f>
        <v/>
      </c>
      <c r="L223" s="6" t="str">
        <f aca="false">IFERROR(IF(A223="","",J223-K223),"")</f>
        <v/>
      </c>
      <c r="M223" s="6" t="str">
        <f aca="false">IFERROR(IF(Productos!A223="","",Productos!G223),"")</f>
        <v/>
      </c>
      <c r="N223" s="6" t="str">
        <f aca="false">IFERROR(IF(A223="","",IF(L223&lt;M223,"BAJO STOCK","OK")),"")</f>
        <v/>
      </c>
    </row>
    <row r="224" customFormat="false" ht="15" hidden="false" customHeight="false" outlineLevel="0" collapsed="false">
      <c r="A224" s="0" t="str">
        <f aca="false">IFERROR(IF(Productos!A224="","",Productos!A224),"")</f>
        <v/>
      </c>
      <c r="B224" s="0" t="str">
        <f aca="false">IFERROR(IF(Productos!A224="","",Productos!B224),"")</f>
        <v/>
      </c>
      <c r="C224" s="0" t="str">
        <f aca="false">IFERROR(IF(Productos!A224="","",Productos!C224),"")</f>
        <v/>
      </c>
      <c r="D224" s="0" t="str">
        <f aca="false">IFERROR(IF(Productos!A224="","",Productos!E224),"")</f>
        <v/>
      </c>
      <c r="E224" s="6" t="str">
        <f aca="false">IFERROR(IF(A224="","",SUMIFS(Movimientos!E:E, Movimientos!D:D, A224, Movimientos!C:C, "Ingreso", Movimientos!G:G, "TIN")+SUMIFS(Movimientos!E:E, Movimientos!D:D, A224, Movimientos!C:C, "Traslado", Movimientos!G:G, "TIN")-SUMIFS(Movimientos!E:E, Movimientos!D:D, A224, Movimientos!C:C, "Traslado", Movimientos!F:F, "TIN")-SUMIFS(Movimientos!E:E, Movimientos!D:D, A224, Movimientos!C:C, "Egreso", Movimientos!F:F, "TIN")+SUMIFS(Movimientos!E:E, Movimientos!D:D, A224, Movimientos!C:C, "Ajuste", Movimientos!F:F, "TIN")),"")</f>
        <v/>
      </c>
      <c r="F224" s="6" t="str">
        <f aca="false">IFERROR(IF(A224="","",SUMIFS(Movimientos!E:E, Movimientos!D:D, A224, Movimientos!C:C, "Ingreso", Movimientos!G:G, "G1000")+SUMIFS(Movimientos!E:E, Movimientos!D:D, A224, Movimientos!C:C, "Traslado", Movimientos!G:G, "G1000")-SUMIFS(Movimientos!E:E, Movimientos!D:D, A224, Movimientos!C:C, "Traslado", Movimientos!F:F, "G1000")-SUMIFS(Movimientos!E:E, Movimientos!D:D, A224, Movimientos!C:C, "Egreso", Movimientos!F:F, "G1000")+SUMIFS(Movimientos!E:E, Movimientos!D:D, A224, Movimientos!C:C, "Ajuste", Movimientos!F:F, "G1000")),"")</f>
        <v/>
      </c>
      <c r="G224" s="6" t="str">
        <f aca="false">IFERROR(IF(A224="","",SUMIFS(Movimientos!E:E, Movimientos!D:D, A224, Movimientos!C:C, "Ingreso", Movimientos!G:G, "G710")+SUMIFS(Movimientos!E:E, Movimientos!D:D, A224, Movimientos!C:C, "Traslado", Movimientos!G:G, "G710")-SUMIFS(Movimientos!E:E, Movimientos!D:D, A224, Movimientos!C:C, "Traslado", Movimientos!F:F, "G710")-SUMIFS(Movimientos!E:E, Movimientos!D:D, A224, Movimientos!C:C, "Egreso", Movimientos!F:F, "G710")+SUMIFS(Movimientos!E:E, Movimientos!D:D, A224, Movimientos!C:C, "Ajuste", Movimientos!F:F, "G710")),"")</f>
        <v/>
      </c>
      <c r="H224" s="6" t="str">
        <f aca="false">IFERROR(IF(A224="","",SUMIFS(Movimientos!E:E, Movimientos!D:D, A224, Movimientos!C:C, "Ingreso", Movimientos!G:G, "G5000")+SUMIFS(Movimientos!E:E, Movimientos!D:D, A224, Movimientos!C:C, "Traslado", Movimientos!G:G, "G5000")-SUMIFS(Movimientos!E:E, Movimientos!D:D, A224, Movimientos!C:C, "Traslado", Movimientos!F:F, "G5000")-SUMIFS(Movimientos!E:E, Movimientos!D:D, A224, Movimientos!C:C, "Egreso", Movimientos!F:F, "G5000")+SUMIFS(Movimientos!E:E, Movimientos!D:D, A224, Movimientos!C:C, "Ajuste", Movimientos!F:F, "G5000")),"")</f>
        <v/>
      </c>
      <c r="I224" s="6" t="str">
        <f aca="false">IFERROR(IF(A224="","",SUMIFS(Movimientos!E:E, Movimientos!D:D, A224, Movimientos!C:C, "Ingreso", Movimientos!G:G, "G3")+SUMIFS(Movimientos!E:E, Movimientos!D:D, A224, Movimientos!C:C, "Traslado", Movimientos!G:G, "G3")-SUMIFS(Movimientos!E:E, Movimientos!D:D, A224, Movimientos!C:C, "Traslado", Movimientos!F:F, "G3")-SUMIFS(Movimientos!E:E, Movimientos!D:D, A224, Movimientos!C:C, "Egreso", Movimientos!F:F, "G3")+SUMIFS(Movimientos!E:E, Movimientos!D:D, A224, Movimientos!C:C, "Ajuste", Movimientos!F:F, "G3")),"")</f>
        <v/>
      </c>
      <c r="J224" s="6" t="str">
        <f aca="false">IFERROR(IF(A224="","",SUM(E224:I224)),"")</f>
        <v/>
      </c>
      <c r="K224" s="6" t="str">
        <f aca="false">IFERROR(IF(A224="","",SUMIFS(Movimientos!E:E, Movimientos!D:D, A224, Movimientos!C:C, "Reserva")-SUMIFS(Movimientos!E:E, Movimientos!D:D, A224, Movimientos!C:C, "Libera_Reserva")),"")</f>
        <v/>
      </c>
      <c r="L224" s="6" t="str">
        <f aca="false">IFERROR(IF(A224="","",J224-K224),"")</f>
        <v/>
      </c>
      <c r="M224" s="6" t="str">
        <f aca="false">IFERROR(IF(Productos!A224="","",Productos!G224),"")</f>
        <v/>
      </c>
      <c r="N224" s="6" t="str">
        <f aca="false">IFERROR(IF(A224="","",IF(L224&lt;M224,"BAJO STOCK","OK")),"")</f>
        <v/>
      </c>
    </row>
    <row r="225" customFormat="false" ht="15" hidden="false" customHeight="false" outlineLevel="0" collapsed="false">
      <c r="A225" s="0" t="str">
        <f aca="false">IFERROR(IF(Productos!A225="","",Productos!A225),"")</f>
        <v/>
      </c>
      <c r="B225" s="0" t="str">
        <f aca="false">IFERROR(IF(Productos!A225="","",Productos!B225),"")</f>
        <v/>
      </c>
      <c r="C225" s="0" t="str">
        <f aca="false">IFERROR(IF(Productos!A225="","",Productos!C225),"")</f>
        <v/>
      </c>
      <c r="D225" s="0" t="str">
        <f aca="false">IFERROR(IF(Productos!A225="","",Productos!E225),"")</f>
        <v/>
      </c>
      <c r="E225" s="6" t="str">
        <f aca="false">IFERROR(IF(A225="","",SUMIFS(Movimientos!E:E, Movimientos!D:D, A225, Movimientos!C:C, "Ingreso", Movimientos!G:G, "TIN")+SUMIFS(Movimientos!E:E, Movimientos!D:D, A225, Movimientos!C:C, "Traslado", Movimientos!G:G, "TIN")-SUMIFS(Movimientos!E:E, Movimientos!D:D, A225, Movimientos!C:C, "Traslado", Movimientos!F:F, "TIN")-SUMIFS(Movimientos!E:E, Movimientos!D:D, A225, Movimientos!C:C, "Egreso", Movimientos!F:F, "TIN")+SUMIFS(Movimientos!E:E, Movimientos!D:D, A225, Movimientos!C:C, "Ajuste", Movimientos!F:F, "TIN")),"")</f>
        <v/>
      </c>
      <c r="F225" s="6" t="str">
        <f aca="false">IFERROR(IF(A225="","",SUMIFS(Movimientos!E:E, Movimientos!D:D, A225, Movimientos!C:C, "Ingreso", Movimientos!G:G, "G1000")+SUMIFS(Movimientos!E:E, Movimientos!D:D, A225, Movimientos!C:C, "Traslado", Movimientos!G:G, "G1000")-SUMIFS(Movimientos!E:E, Movimientos!D:D, A225, Movimientos!C:C, "Traslado", Movimientos!F:F, "G1000")-SUMIFS(Movimientos!E:E, Movimientos!D:D, A225, Movimientos!C:C, "Egreso", Movimientos!F:F, "G1000")+SUMIFS(Movimientos!E:E, Movimientos!D:D, A225, Movimientos!C:C, "Ajuste", Movimientos!F:F, "G1000")),"")</f>
        <v/>
      </c>
      <c r="G225" s="6" t="str">
        <f aca="false">IFERROR(IF(A225="","",SUMIFS(Movimientos!E:E, Movimientos!D:D, A225, Movimientos!C:C, "Ingreso", Movimientos!G:G, "G710")+SUMIFS(Movimientos!E:E, Movimientos!D:D, A225, Movimientos!C:C, "Traslado", Movimientos!G:G, "G710")-SUMIFS(Movimientos!E:E, Movimientos!D:D, A225, Movimientos!C:C, "Traslado", Movimientos!F:F, "G710")-SUMIFS(Movimientos!E:E, Movimientos!D:D, A225, Movimientos!C:C, "Egreso", Movimientos!F:F, "G710")+SUMIFS(Movimientos!E:E, Movimientos!D:D, A225, Movimientos!C:C, "Ajuste", Movimientos!F:F, "G710")),"")</f>
        <v/>
      </c>
      <c r="H225" s="6" t="str">
        <f aca="false">IFERROR(IF(A225="","",SUMIFS(Movimientos!E:E, Movimientos!D:D, A225, Movimientos!C:C, "Ingreso", Movimientos!G:G, "G5000")+SUMIFS(Movimientos!E:E, Movimientos!D:D, A225, Movimientos!C:C, "Traslado", Movimientos!G:G, "G5000")-SUMIFS(Movimientos!E:E, Movimientos!D:D, A225, Movimientos!C:C, "Traslado", Movimientos!F:F, "G5000")-SUMIFS(Movimientos!E:E, Movimientos!D:D, A225, Movimientos!C:C, "Egreso", Movimientos!F:F, "G5000")+SUMIFS(Movimientos!E:E, Movimientos!D:D, A225, Movimientos!C:C, "Ajuste", Movimientos!F:F, "G5000")),"")</f>
        <v/>
      </c>
      <c r="I225" s="6" t="str">
        <f aca="false">IFERROR(IF(A225="","",SUMIFS(Movimientos!E:E, Movimientos!D:D, A225, Movimientos!C:C, "Ingreso", Movimientos!G:G, "G3")+SUMIFS(Movimientos!E:E, Movimientos!D:D, A225, Movimientos!C:C, "Traslado", Movimientos!G:G, "G3")-SUMIFS(Movimientos!E:E, Movimientos!D:D, A225, Movimientos!C:C, "Traslado", Movimientos!F:F, "G3")-SUMIFS(Movimientos!E:E, Movimientos!D:D, A225, Movimientos!C:C, "Egreso", Movimientos!F:F, "G3")+SUMIFS(Movimientos!E:E, Movimientos!D:D, A225, Movimientos!C:C, "Ajuste", Movimientos!F:F, "G3")),"")</f>
        <v/>
      </c>
      <c r="J225" s="6" t="str">
        <f aca="false">IFERROR(IF(A225="","",SUM(E225:I225)),"")</f>
        <v/>
      </c>
      <c r="K225" s="6" t="str">
        <f aca="false">IFERROR(IF(A225="","",SUMIFS(Movimientos!E:E, Movimientos!D:D, A225, Movimientos!C:C, "Reserva")-SUMIFS(Movimientos!E:E, Movimientos!D:D, A225, Movimientos!C:C, "Libera_Reserva")),"")</f>
        <v/>
      </c>
      <c r="L225" s="6" t="str">
        <f aca="false">IFERROR(IF(A225="","",J225-K225),"")</f>
        <v/>
      </c>
      <c r="M225" s="6" t="str">
        <f aca="false">IFERROR(IF(Productos!A225="","",Productos!G225),"")</f>
        <v/>
      </c>
      <c r="N225" s="6" t="str">
        <f aca="false">IFERROR(IF(A225="","",IF(L225&lt;M225,"BAJO STOCK","OK")),"")</f>
        <v/>
      </c>
    </row>
    <row r="226" customFormat="false" ht="15" hidden="false" customHeight="false" outlineLevel="0" collapsed="false">
      <c r="A226" s="0" t="str">
        <f aca="false">IFERROR(IF(Productos!A226="","",Productos!A226),"")</f>
        <v/>
      </c>
      <c r="B226" s="0" t="str">
        <f aca="false">IFERROR(IF(Productos!A226="","",Productos!B226),"")</f>
        <v/>
      </c>
      <c r="C226" s="0" t="str">
        <f aca="false">IFERROR(IF(Productos!A226="","",Productos!C226),"")</f>
        <v/>
      </c>
      <c r="D226" s="0" t="str">
        <f aca="false">IFERROR(IF(Productos!A226="","",Productos!E226),"")</f>
        <v/>
      </c>
      <c r="E226" s="6" t="str">
        <f aca="false">IFERROR(IF(A226="","",SUMIFS(Movimientos!E:E, Movimientos!D:D, A226, Movimientos!C:C, "Ingreso", Movimientos!G:G, "TIN")+SUMIFS(Movimientos!E:E, Movimientos!D:D, A226, Movimientos!C:C, "Traslado", Movimientos!G:G, "TIN")-SUMIFS(Movimientos!E:E, Movimientos!D:D, A226, Movimientos!C:C, "Traslado", Movimientos!F:F, "TIN")-SUMIFS(Movimientos!E:E, Movimientos!D:D, A226, Movimientos!C:C, "Egreso", Movimientos!F:F, "TIN")+SUMIFS(Movimientos!E:E, Movimientos!D:D, A226, Movimientos!C:C, "Ajuste", Movimientos!F:F, "TIN")),"")</f>
        <v/>
      </c>
      <c r="F226" s="6" t="str">
        <f aca="false">IFERROR(IF(A226="","",SUMIFS(Movimientos!E:E, Movimientos!D:D, A226, Movimientos!C:C, "Ingreso", Movimientos!G:G, "G1000")+SUMIFS(Movimientos!E:E, Movimientos!D:D, A226, Movimientos!C:C, "Traslado", Movimientos!G:G, "G1000")-SUMIFS(Movimientos!E:E, Movimientos!D:D, A226, Movimientos!C:C, "Traslado", Movimientos!F:F, "G1000")-SUMIFS(Movimientos!E:E, Movimientos!D:D, A226, Movimientos!C:C, "Egreso", Movimientos!F:F, "G1000")+SUMIFS(Movimientos!E:E, Movimientos!D:D, A226, Movimientos!C:C, "Ajuste", Movimientos!F:F, "G1000")),"")</f>
        <v/>
      </c>
      <c r="G226" s="6" t="str">
        <f aca="false">IFERROR(IF(A226="","",SUMIFS(Movimientos!E:E, Movimientos!D:D, A226, Movimientos!C:C, "Ingreso", Movimientos!G:G, "G710")+SUMIFS(Movimientos!E:E, Movimientos!D:D, A226, Movimientos!C:C, "Traslado", Movimientos!G:G, "G710")-SUMIFS(Movimientos!E:E, Movimientos!D:D, A226, Movimientos!C:C, "Traslado", Movimientos!F:F, "G710")-SUMIFS(Movimientos!E:E, Movimientos!D:D, A226, Movimientos!C:C, "Egreso", Movimientos!F:F, "G710")+SUMIFS(Movimientos!E:E, Movimientos!D:D, A226, Movimientos!C:C, "Ajuste", Movimientos!F:F, "G710")),"")</f>
        <v/>
      </c>
      <c r="H226" s="6" t="str">
        <f aca="false">IFERROR(IF(A226="","",SUMIFS(Movimientos!E:E, Movimientos!D:D, A226, Movimientos!C:C, "Ingreso", Movimientos!G:G, "G5000")+SUMIFS(Movimientos!E:E, Movimientos!D:D, A226, Movimientos!C:C, "Traslado", Movimientos!G:G, "G5000")-SUMIFS(Movimientos!E:E, Movimientos!D:D, A226, Movimientos!C:C, "Traslado", Movimientos!F:F, "G5000")-SUMIFS(Movimientos!E:E, Movimientos!D:D, A226, Movimientos!C:C, "Egreso", Movimientos!F:F, "G5000")+SUMIFS(Movimientos!E:E, Movimientos!D:D, A226, Movimientos!C:C, "Ajuste", Movimientos!F:F, "G5000")),"")</f>
        <v/>
      </c>
      <c r="I226" s="6" t="str">
        <f aca="false">IFERROR(IF(A226="","",SUMIFS(Movimientos!E:E, Movimientos!D:D, A226, Movimientos!C:C, "Ingreso", Movimientos!G:G, "G3")+SUMIFS(Movimientos!E:E, Movimientos!D:D, A226, Movimientos!C:C, "Traslado", Movimientos!G:G, "G3")-SUMIFS(Movimientos!E:E, Movimientos!D:D, A226, Movimientos!C:C, "Traslado", Movimientos!F:F, "G3")-SUMIFS(Movimientos!E:E, Movimientos!D:D, A226, Movimientos!C:C, "Egreso", Movimientos!F:F, "G3")+SUMIFS(Movimientos!E:E, Movimientos!D:D, A226, Movimientos!C:C, "Ajuste", Movimientos!F:F, "G3")),"")</f>
        <v/>
      </c>
      <c r="J226" s="6" t="str">
        <f aca="false">IFERROR(IF(A226="","",SUM(E226:I226)),"")</f>
        <v/>
      </c>
      <c r="K226" s="6" t="str">
        <f aca="false">IFERROR(IF(A226="","",SUMIFS(Movimientos!E:E, Movimientos!D:D, A226, Movimientos!C:C, "Reserva")-SUMIFS(Movimientos!E:E, Movimientos!D:D, A226, Movimientos!C:C, "Libera_Reserva")),"")</f>
        <v/>
      </c>
      <c r="L226" s="6" t="str">
        <f aca="false">IFERROR(IF(A226="","",J226-K226),"")</f>
        <v/>
      </c>
      <c r="M226" s="6" t="str">
        <f aca="false">IFERROR(IF(Productos!A226="","",Productos!G226),"")</f>
        <v/>
      </c>
      <c r="N226" s="6" t="str">
        <f aca="false">IFERROR(IF(A226="","",IF(L226&lt;M226,"BAJO STOCK","OK")),"")</f>
        <v/>
      </c>
    </row>
    <row r="227" customFormat="false" ht="15" hidden="false" customHeight="false" outlineLevel="0" collapsed="false">
      <c r="A227" s="0" t="str">
        <f aca="false">IFERROR(IF(Productos!A227="","",Productos!A227),"")</f>
        <v/>
      </c>
      <c r="B227" s="0" t="str">
        <f aca="false">IFERROR(IF(Productos!A227="","",Productos!B227),"")</f>
        <v/>
      </c>
      <c r="C227" s="0" t="str">
        <f aca="false">IFERROR(IF(Productos!A227="","",Productos!C227),"")</f>
        <v/>
      </c>
      <c r="D227" s="0" t="str">
        <f aca="false">IFERROR(IF(Productos!A227="","",Productos!E227),"")</f>
        <v/>
      </c>
      <c r="E227" s="6" t="str">
        <f aca="false">IFERROR(IF(A227="","",SUMIFS(Movimientos!E:E, Movimientos!D:D, A227, Movimientos!C:C, "Ingreso", Movimientos!G:G, "TIN")+SUMIFS(Movimientos!E:E, Movimientos!D:D, A227, Movimientos!C:C, "Traslado", Movimientos!G:G, "TIN")-SUMIFS(Movimientos!E:E, Movimientos!D:D, A227, Movimientos!C:C, "Traslado", Movimientos!F:F, "TIN")-SUMIFS(Movimientos!E:E, Movimientos!D:D, A227, Movimientos!C:C, "Egreso", Movimientos!F:F, "TIN")+SUMIFS(Movimientos!E:E, Movimientos!D:D, A227, Movimientos!C:C, "Ajuste", Movimientos!F:F, "TIN")),"")</f>
        <v/>
      </c>
      <c r="F227" s="6" t="str">
        <f aca="false">IFERROR(IF(A227="","",SUMIFS(Movimientos!E:E, Movimientos!D:D, A227, Movimientos!C:C, "Ingreso", Movimientos!G:G, "G1000")+SUMIFS(Movimientos!E:E, Movimientos!D:D, A227, Movimientos!C:C, "Traslado", Movimientos!G:G, "G1000")-SUMIFS(Movimientos!E:E, Movimientos!D:D, A227, Movimientos!C:C, "Traslado", Movimientos!F:F, "G1000")-SUMIFS(Movimientos!E:E, Movimientos!D:D, A227, Movimientos!C:C, "Egreso", Movimientos!F:F, "G1000")+SUMIFS(Movimientos!E:E, Movimientos!D:D, A227, Movimientos!C:C, "Ajuste", Movimientos!F:F, "G1000")),"")</f>
        <v/>
      </c>
      <c r="G227" s="6" t="str">
        <f aca="false">IFERROR(IF(A227="","",SUMIFS(Movimientos!E:E, Movimientos!D:D, A227, Movimientos!C:C, "Ingreso", Movimientos!G:G, "G710")+SUMIFS(Movimientos!E:E, Movimientos!D:D, A227, Movimientos!C:C, "Traslado", Movimientos!G:G, "G710")-SUMIFS(Movimientos!E:E, Movimientos!D:D, A227, Movimientos!C:C, "Traslado", Movimientos!F:F, "G710")-SUMIFS(Movimientos!E:E, Movimientos!D:D, A227, Movimientos!C:C, "Egreso", Movimientos!F:F, "G710")+SUMIFS(Movimientos!E:E, Movimientos!D:D, A227, Movimientos!C:C, "Ajuste", Movimientos!F:F, "G710")),"")</f>
        <v/>
      </c>
      <c r="H227" s="6" t="str">
        <f aca="false">IFERROR(IF(A227="","",SUMIFS(Movimientos!E:E, Movimientos!D:D, A227, Movimientos!C:C, "Ingreso", Movimientos!G:G, "G5000")+SUMIFS(Movimientos!E:E, Movimientos!D:D, A227, Movimientos!C:C, "Traslado", Movimientos!G:G, "G5000")-SUMIFS(Movimientos!E:E, Movimientos!D:D, A227, Movimientos!C:C, "Traslado", Movimientos!F:F, "G5000")-SUMIFS(Movimientos!E:E, Movimientos!D:D, A227, Movimientos!C:C, "Egreso", Movimientos!F:F, "G5000")+SUMIFS(Movimientos!E:E, Movimientos!D:D, A227, Movimientos!C:C, "Ajuste", Movimientos!F:F, "G5000")),"")</f>
        <v/>
      </c>
      <c r="I227" s="6" t="str">
        <f aca="false">IFERROR(IF(A227="","",SUMIFS(Movimientos!E:E, Movimientos!D:D, A227, Movimientos!C:C, "Ingreso", Movimientos!G:G, "G3")+SUMIFS(Movimientos!E:E, Movimientos!D:D, A227, Movimientos!C:C, "Traslado", Movimientos!G:G, "G3")-SUMIFS(Movimientos!E:E, Movimientos!D:D, A227, Movimientos!C:C, "Traslado", Movimientos!F:F, "G3")-SUMIFS(Movimientos!E:E, Movimientos!D:D, A227, Movimientos!C:C, "Egreso", Movimientos!F:F, "G3")+SUMIFS(Movimientos!E:E, Movimientos!D:D, A227, Movimientos!C:C, "Ajuste", Movimientos!F:F, "G3")),"")</f>
        <v/>
      </c>
      <c r="J227" s="6" t="str">
        <f aca="false">IFERROR(IF(A227="","",SUM(E227:I227)),"")</f>
        <v/>
      </c>
      <c r="K227" s="6" t="str">
        <f aca="false">IFERROR(IF(A227="","",SUMIFS(Movimientos!E:E, Movimientos!D:D, A227, Movimientos!C:C, "Reserva")-SUMIFS(Movimientos!E:E, Movimientos!D:D, A227, Movimientos!C:C, "Libera_Reserva")),"")</f>
        <v/>
      </c>
      <c r="L227" s="6" t="str">
        <f aca="false">IFERROR(IF(A227="","",J227-K227),"")</f>
        <v/>
      </c>
      <c r="M227" s="6" t="str">
        <f aca="false">IFERROR(IF(Productos!A227="","",Productos!G227),"")</f>
        <v/>
      </c>
      <c r="N227" s="6" t="str">
        <f aca="false">IFERROR(IF(A227="","",IF(L227&lt;M227,"BAJO STOCK","OK")),"")</f>
        <v/>
      </c>
    </row>
    <row r="228" customFormat="false" ht="15" hidden="false" customHeight="false" outlineLevel="0" collapsed="false">
      <c r="A228" s="0" t="str">
        <f aca="false">IFERROR(IF(Productos!A228="","",Productos!A228),"")</f>
        <v/>
      </c>
      <c r="B228" s="0" t="str">
        <f aca="false">IFERROR(IF(Productos!A228="","",Productos!B228),"")</f>
        <v/>
      </c>
      <c r="C228" s="0" t="str">
        <f aca="false">IFERROR(IF(Productos!A228="","",Productos!C228),"")</f>
        <v/>
      </c>
      <c r="D228" s="0" t="str">
        <f aca="false">IFERROR(IF(Productos!A228="","",Productos!E228),"")</f>
        <v/>
      </c>
      <c r="E228" s="6" t="str">
        <f aca="false">IFERROR(IF(A228="","",SUMIFS(Movimientos!E:E, Movimientos!D:D, A228, Movimientos!C:C, "Ingreso", Movimientos!G:G, "TIN")+SUMIFS(Movimientos!E:E, Movimientos!D:D, A228, Movimientos!C:C, "Traslado", Movimientos!G:G, "TIN")-SUMIFS(Movimientos!E:E, Movimientos!D:D, A228, Movimientos!C:C, "Traslado", Movimientos!F:F, "TIN")-SUMIFS(Movimientos!E:E, Movimientos!D:D, A228, Movimientos!C:C, "Egreso", Movimientos!F:F, "TIN")+SUMIFS(Movimientos!E:E, Movimientos!D:D, A228, Movimientos!C:C, "Ajuste", Movimientos!F:F, "TIN")),"")</f>
        <v/>
      </c>
      <c r="F228" s="6" t="str">
        <f aca="false">IFERROR(IF(A228="","",SUMIFS(Movimientos!E:E, Movimientos!D:D, A228, Movimientos!C:C, "Ingreso", Movimientos!G:G, "G1000")+SUMIFS(Movimientos!E:E, Movimientos!D:D, A228, Movimientos!C:C, "Traslado", Movimientos!G:G, "G1000")-SUMIFS(Movimientos!E:E, Movimientos!D:D, A228, Movimientos!C:C, "Traslado", Movimientos!F:F, "G1000")-SUMIFS(Movimientos!E:E, Movimientos!D:D, A228, Movimientos!C:C, "Egreso", Movimientos!F:F, "G1000")+SUMIFS(Movimientos!E:E, Movimientos!D:D, A228, Movimientos!C:C, "Ajuste", Movimientos!F:F, "G1000")),"")</f>
        <v/>
      </c>
      <c r="G228" s="6" t="str">
        <f aca="false">IFERROR(IF(A228="","",SUMIFS(Movimientos!E:E, Movimientos!D:D, A228, Movimientos!C:C, "Ingreso", Movimientos!G:G, "G710")+SUMIFS(Movimientos!E:E, Movimientos!D:D, A228, Movimientos!C:C, "Traslado", Movimientos!G:G, "G710")-SUMIFS(Movimientos!E:E, Movimientos!D:D, A228, Movimientos!C:C, "Traslado", Movimientos!F:F, "G710")-SUMIFS(Movimientos!E:E, Movimientos!D:D, A228, Movimientos!C:C, "Egreso", Movimientos!F:F, "G710")+SUMIFS(Movimientos!E:E, Movimientos!D:D, A228, Movimientos!C:C, "Ajuste", Movimientos!F:F, "G710")),"")</f>
        <v/>
      </c>
      <c r="H228" s="6" t="str">
        <f aca="false">IFERROR(IF(A228="","",SUMIFS(Movimientos!E:E, Movimientos!D:D, A228, Movimientos!C:C, "Ingreso", Movimientos!G:G, "G5000")+SUMIFS(Movimientos!E:E, Movimientos!D:D, A228, Movimientos!C:C, "Traslado", Movimientos!G:G, "G5000")-SUMIFS(Movimientos!E:E, Movimientos!D:D, A228, Movimientos!C:C, "Traslado", Movimientos!F:F, "G5000")-SUMIFS(Movimientos!E:E, Movimientos!D:D, A228, Movimientos!C:C, "Egreso", Movimientos!F:F, "G5000")+SUMIFS(Movimientos!E:E, Movimientos!D:D, A228, Movimientos!C:C, "Ajuste", Movimientos!F:F, "G5000")),"")</f>
        <v/>
      </c>
      <c r="I228" s="6" t="str">
        <f aca="false">IFERROR(IF(A228="","",SUMIFS(Movimientos!E:E, Movimientos!D:D, A228, Movimientos!C:C, "Ingreso", Movimientos!G:G, "G3")+SUMIFS(Movimientos!E:E, Movimientos!D:D, A228, Movimientos!C:C, "Traslado", Movimientos!G:G, "G3")-SUMIFS(Movimientos!E:E, Movimientos!D:D, A228, Movimientos!C:C, "Traslado", Movimientos!F:F, "G3")-SUMIFS(Movimientos!E:E, Movimientos!D:D, A228, Movimientos!C:C, "Egreso", Movimientos!F:F, "G3")+SUMIFS(Movimientos!E:E, Movimientos!D:D, A228, Movimientos!C:C, "Ajuste", Movimientos!F:F, "G3")),"")</f>
        <v/>
      </c>
      <c r="J228" s="6" t="str">
        <f aca="false">IFERROR(IF(A228="","",SUM(E228:I228)),"")</f>
        <v/>
      </c>
      <c r="K228" s="6" t="str">
        <f aca="false">IFERROR(IF(A228="","",SUMIFS(Movimientos!E:E, Movimientos!D:D, A228, Movimientos!C:C, "Reserva")-SUMIFS(Movimientos!E:E, Movimientos!D:D, A228, Movimientos!C:C, "Libera_Reserva")),"")</f>
        <v/>
      </c>
      <c r="L228" s="6" t="str">
        <f aca="false">IFERROR(IF(A228="","",J228-K228),"")</f>
        <v/>
      </c>
      <c r="M228" s="6" t="str">
        <f aca="false">IFERROR(IF(Productos!A228="","",Productos!G228),"")</f>
        <v/>
      </c>
      <c r="N228" s="6" t="str">
        <f aca="false">IFERROR(IF(A228="","",IF(L228&lt;M228,"BAJO STOCK","OK")),"")</f>
        <v/>
      </c>
    </row>
    <row r="229" customFormat="false" ht="15" hidden="false" customHeight="false" outlineLevel="0" collapsed="false">
      <c r="A229" s="0" t="str">
        <f aca="false">IFERROR(IF(Productos!A229="","",Productos!A229),"")</f>
        <v/>
      </c>
      <c r="B229" s="0" t="str">
        <f aca="false">IFERROR(IF(Productos!A229="","",Productos!B229),"")</f>
        <v/>
      </c>
      <c r="C229" s="0" t="str">
        <f aca="false">IFERROR(IF(Productos!A229="","",Productos!C229),"")</f>
        <v/>
      </c>
      <c r="D229" s="0" t="str">
        <f aca="false">IFERROR(IF(Productos!A229="","",Productos!E229),"")</f>
        <v/>
      </c>
      <c r="E229" s="6" t="str">
        <f aca="false">IFERROR(IF(A229="","",SUMIFS(Movimientos!E:E, Movimientos!D:D, A229, Movimientos!C:C, "Ingreso", Movimientos!G:G, "TIN")+SUMIFS(Movimientos!E:E, Movimientos!D:D, A229, Movimientos!C:C, "Traslado", Movimientos!G:G, "TIN")-SUMIFS(Movimientos!E:E, Movimientos!D:D, A229, Movimientos!C:C, "Traslado", Movimientos!F:F, "TIN")-SUMIFS(Movimientos!E:E, Movimientos!D:D, A229, Movimientos!C:C, "Egreso", Movimientos!F:F, "TIN")+SUMIFS(Movimientos!E:E, Movimientos!D:D, A229, Movimientos!C:C, "Ajuste", Movimientos!F:F, "TIN")),"")</f>
        <v/>
      </c>
      <c r="F229" s="6" t="str">
        <f aca="false">IFERROR(IF(A229="","",SUMIFS(Movimientos!E:E, Movimientos!D:D, A229, Movimientos!C:C, "Ingreso", Movimientos!G:G, "G1000")+SUMIFS(Movimientos!E:E, Movimientos!D:D, A229, Movimientos!C:C, "Traslado", Movimientos!G:G, "G1000")-SUMIFS(Movimientos!E:E, Movimientos!D:D, A229, Movimientos!C:C, "Traslado", Movimientos!F:F, "G1000")-SUMIFS(Movimientos!E:E, Movimientos!D:D, A229, Movimientos!C:C, "Egreso", Movimientos!F:F, "G1000")+SUMIFS(Movimientos!E:E, Movimientos!D:D, A229, Movimientos!C:C, "Ajuste", Movimientos!F:F, "G1000")),"")</f>
        <v/>
      </c>
      <c r="G229" s="6" t="str">
        <f aca="false">IFERROR(IF(A229="","",SUMIFS(Movimientos!E:E, Movimientos!D:D, A229, Movimientos!C:C, "Ingreso", Movimientos!G:G, "G710")+SUMIFS(Movimientos!E:E, Movimientos!D:D, A229, Movimientos!C:C, "Traslado", Movimientos!G:G, "G710")-SUMIFS(Movimientos!E:E, Movimientos!D:D, A229, Movimientos!C:C, "Traslado", Movimientos!F:F, "G710")-SUMIFS(Movimientos!E:E, Movimientos!D:D, A229, Movimientos!C:C, "Egreso", Movimientos!F:F, "G710")+SUMIFS(Movimientos!E:E, Movimientos!D:D, A229, Movimientos!C:C, "Ajuste", Movimientos!F:F, "G710")),"")</f>
        <v/>
      </c>
      <c r="H229" s="6" t="str">
        <f aca="false">IFERROR(IF(A229="","",SUMIFS(Movimientos!E:E, Movimientos!D:D, A229, Movimientos!C:C, "Ingreso", Movimientos!G:G, "G5000")+SUMIFS(Movimientos!E:E, Movimientos!D:D, A229, Movimientos!C:C, "Traslado", Movimientos!G:G, "G5000")-SUMIFS(Movimientos!E:E, Movimientos!D:D, A229, Movimientos!C:C, "Traslado", Movimientos!F:F, "G5000")-SUMIFS(Movimientos!E:E, Movimientos!D:D, A229, Movimientos!C:C, "Egreso", Movimientos!F:F, "G5000")+SUMIFS(Movimientos!E:E, Movimientos!D:D, A229, Movimientos!C:C, "Ajuste", Movimientos!F:F, "G5000")),"")</f>
        <v/>
      </c>
      <c r="I229" s="6" t="str">
        <f aca="false">IFERROR(IF(A229="","",SUMIFS(Movimientos!E:E, Movimientos!D:D, A229, Movimientos!C:C, "Ingreso", Movimientos!G:G, "G3")+SUMIFS(Movimientos!E:E, Movimientos!D:D, A229, Movimientos!C:C, "Traslado", Movimientos!G:G, "G3")-SUMIFS(Movimientos!E:E, Movimientos!D:D, A229, Movimientos!C:C, "Traslado", Movimientos!F:F, "G3")-SUMIFS(Movimientos!E:E, Movimientos!D:D, A229, Movimientos!C:C, "Egreso", Movimientos!F:F, "G3")+SUMIFS(Movimientos!E:E, Movimientos!D:D, A229, Movimientos!C:C, "Ajuste", Movimientos!F:F, "G3")),"")</f>
        <v/>
      </c>
      <c r="J229" s="6" t="str">
        <f aca="false">IFERROR(IF(A229="","",SUM(E229:I229)),"")</f>
        <v/>
      </c>
      <c r="K229" s="6" t="str">
        <f aca="false">IFERROR(IF(A229="","",SUMIFS(Movimientos!E:E, Movimientos!D:D, A229, Movimientos!C:C, "Reserva")-SUMIFS(Movimientos!E:E, Movimientos!D:D, A229, Movimientos!C:C, "Libera_Reserva")),"")</f>
        <v/>
      </c>
      <c r="L229" s="6" t="str">
        <f aca="false">IFERROR(IF(A229="","",J229-K229),"")</f>
        <v/>
      </c>
      <c r="M229" s="6" t="str">
        <f aca="false">IFERROR(IF(Productos!A229="","",Productos!G229),"")</f>
        <v/>
      </c>
      <c r="N229" s="6" t="str">
        <f aca="false">IFERROR(IF(A229="","",IF(L229&lt;M229,"BAJO STOCK","OK")),"")</f>
        <v/>
      </c>
    </row>
    <row r="230" customFormat="false" ht="15" hidden="false" customHeight="false" outlineLevel="0" collapsed="false">
      <c r="A230" s="0" t="str">
        <f aca="false">IFERROR(IF(Productos!A230="","",Productos!A230),"")</f>
        <v/>
      </c>
      <c r="B230" s="0" t="str">
        <f aca="false">IFERROR(IF(Productos!A230="","",Productos!B230),"")</f>
        <v/>
      </c>
      <c r="C230" s="0" t="str">
        <f aca="false">IFERROR(IF(Productos!A230="","",Productos!C230),"")</f>
        <v/>
      </c>
      <c r="D230" s="0" t="str">
        <f aca="false">IFERROR(IF(Productos!A230="","",Productos!E230),"")</f>
        <v/>
      </c>
      <c r="E230" s="6" t="str">
        <f aca="false">IFERROR(IF(A230="","",SUMIFS(Movimientos!E:E, Movimientos!D:D, A230, Movimientos!C:C, "Ingreso", Movimientos!G:G, "TIN")+SUMIFS(Movimientos!E:E, Movimientos!D:D, A230, Movimientos!C:C, "Traslado", Movimientos!G:G, "TIN")-SUMIFS(Movimientos!E:E, Movimientos!D:D, A230, Movimientos!C:C, "Traslado", Movimientos!F:F, "TIN")-SUMIFS(Movimientos!E:E, Movimientos!D:D, A230, Movimientos!C:C, "Egreso", Movimientos!F:F, "TIN")+SUMIFS(Movimientos!E:E, Movimientos!D:D, A230, Movimientos!C:C, "Ajuste", Movimientos!F:F, "TIN")),"")</f>
        <v/>
      </c>
      <c r="F230" s="6" t="str">
        <f aca="false">IFERROR(IF(A230="","",SUMIFS(Movimientos!E:E, Movimientos!D:D, A230, Movimientos!C:C, "Ingreso", Movimientos!G:G, "G1000")+SUMIFS(Movimientos!E:E, Movimientos!D:D, A230, Movimientos!C:C, "Traslado", Movimientos!G:G, "G1000")-SUMIFS(Movimientos!E:E, Movimientos!D:D, A230, Movimientos!C:C, "Traslado", Movimientos!F:F, "G1000")-SUMIFS(Movimientos!E:E, Movimientos!D:D, A230, Movimientos!C:C, "Egreso", Movimientos!F:F, "G1000")+SUMIFS(Movimientos!E:E, Movimientos!D:D, A230, Movimientos!C:C, "Ajuste", Movimientos!F:F, "G1000")),"")</f>
        <v/>
      </c>
      <c r="G230" s="6" t="str">
        <f aca="false">IFERROR(IF(A230="","",SUMIFS(Movimientos!E:E, Movimientos!D:D, A230, Movimientos!C:C, "Ingreso", Movimientos!G:G, "G710")+SUMIFS(Movimientos!E:E, Movimientos!D:D, A230, Movimientos!C:C, "Traslado", Movimientos!G:G, "G710")-SUMIFS(Movimientos!E:E, Movimientos!D:D, A230, Movimientos!C:C, "Traslado", Movimientos!F:F, "G710")-SUMIFS(Movimientos!E:E, Movimientos!D:D, A230, Movimientos!C:C, "Egreso", Movimientos!F:F, "G710")+SUMIFS(Movimientos!E:E, Movimientos!D:D, A230, Movimientos!C:C, "Ajuste", Movimientos!F:F, "G710")),"")</f>
        <v/>
      </c>
      <c r="H230" s="6" t="str">
        <f aca="false">IFERROR(IF(A230="","",SUMIFS(Movimientos!E:E, Movimientos!D:D, A230, Movimientos!C:C, "Ingreso", Movimientos!G:G, "G5000")+SUMIFS(Movimientos!E:E, Movimientos!D:D, A230, Movimientos!C:C, "Traslado", Movimientos!G:G, "G5000")-SUMIFS(Movimientos!E:E, Movimientos!D:D, A230, Movimientos!C:C, "Traslado", Movimientos!F:F, "G5000")-SUMIFS(Movimientos!E:E, Movimientos!D:D, A230, Movimientos!C:C, "Egreso", Movimientos!F:F, "G5000")+SUMIFS(Movimientos!E:E, Movimientos!D:D, A230, Movimientos!C:C, "Ajuste", Movimientos!F:F, "G5000")),"")</f>
        <v/>
      </c>
      <c r="I230" s="6" t="str">
        <f aca="false">IFERROR(IF(A230="","",SUMIFS(Movimientos!E:E, Movimientos!D:D, A230, Movimientos!C:C, "Ingreso", Movimientos!G:G, "G3")+SUMIFS(Movimientos!E:E, Movimientos!D:D, A230, Movimientos!C:C, "Traslado", Movimientos!G:G, "G3")-SUMIFS(Movimientos!E:E, Movimientos!D:D, A230, Movimientos!C:C, "Traslado", Movimientos!F:F, "G3")-SUMIFS(Movimientos!E:E, Movimientos!D:D, A230, Movimientos!C:C, "Egreso", Movimientos!F:F, "G3")+SUMIFS(Movimientos!E:E, Movimientos!D:D, A230, Movimientos!C:C, "Ajuste", Movimientos!F:F, "G3")),"")</f>
        <v/>
      </c>
      <c r="J230" s="6" t="str">
        <f aca="false">IFERROR(IF(A230="","",SUM(E230:I230)),"")</f>
        <v/>
      </c>
      <c r="K230" s="6" t="str">
        <f aca="false">IFERROR(IF(A230="","",SUMIFS(Movimientos!E:E, Movimientos!D:D, A230, Movimientos!C:C, "Reserva")-SUMIFS(Movimientos!E:E, Movimientos!D:D, A230, Movimientos!C:C, "Libera_Reserva")),"")</f>
        <v/>
      </c>
      <c r="L230" s="6" t="str">
        <f aca="false">IFERROR(IF(A230="","",J230-K230),"")</f>
        <v/>
      </c>
      <c r="M230" s="6" t="str">
        <f aca="false">IFERROR(IF(Productos!A230="","",Productos!G230),"")</f>
        <v/>
      </c>
      <c r="N230" s="6" t="str">
        <f aca="false">IFERROR(IF(A230="","",IF(L230&lt;M230,"BAJO STOCK","OK")),"")</f>
        <v/>
      </c>
    </row>
    <row r="231" customFormat="false" ht="15" hidden="false" customHeight="false" outlineLevel="0" collapsed="false">
      <c r="A231" s="0" t="str">
        <f aca="false">IFERROR(IF(Productos!A231="","",Productos!A231),"")</f>
        <v/>
      </c>
      <c r="B231" s="0" t="str">
        <f aca="false">IFERROR(IF(Productos!A231="","",Productos!B231),"")</f>
        <v/>
      </c>
      <c r="C231" s="0" t="str">
        <f aca="false">IFERROR(IF(Productos!A231="","",Productos!C231),"")</f>
        <v/>
      </c>
      <c r="D231" s="0" t="str">
        <f aca="false">IFERROR(IF(Productos!A231="","",Productos!E231),"")</f>
        <v/>
      </c>
      <c r="E231" s="6" t="str">
        <f aca="false">IFERROR(IF(A231="","",SUMIFS(Movimientos!E:E, Movimientos!D:D, A231, Movimientos!C:C, "Ingreso", Movimientos!G:G, "TIN")+SUMIFS(Movimientos!E:E, Movimientos!D:D, A231, Movimientos!C:C, "Traslado", Movimientos!G:G, "TIN")-SUMIFS(Movimientos!E:E, Movimientos!D:D, A231, Movimientos!C:C, "Traslado", Movimientos!F:F, "TIN")-SUMIFS(Movimientos!E:E, Movimientos!D:D, A231, Movimientos!C:C, "Egreso", Movimientos!F:F, "TIN")+SUMIFS(Movimientos!E:E, Movimientos!D:D, A231, Movimientos!C:C, "Ajuste", Movimientos!F:F, "TIN")),"")</f>
        <v/>
      </c>
      <c r="F231" s="6" t="str">
        <f aca="false">IFERROR(IF(A231="","",SUMIFS(Movimientos!E:E, Movimientos!D:D, A231, Movimientos!C:C, "Ingreso", Movimientos!G:G, "G1000")+SUMIFS(Movimientos!E:E, Movimientos!D:D, A231, Movimientos!C:C, "Traslado", Movimientos!G:G, "G1000")-SUMIFS(Movimientos!E:E, Movimientos!D:D, A231, Movimientos!C:C, "Traslado", Movimientos!F:F, "G1000")-SUMIFS(Movimientos!E:E, Movimientos!D:D, A231, Movimientos!C:C, "Egreso", Movimientos!F:F, "G1000")+SUMIFS(Movimientos!E:E, Movimientos!D:D, A231, Movimientos!C:C, "Ajuste", Movimientos!F:F, "G1000")),"")</f>
        <v/>
      </c>
      <c r="G231" s="6" t="str">
        <f aca="false">IFERROR(IF(A231="","",SUMIFS(Movimientos!E:E, Movimientos!D:D, A231, Movimientos!C:C, "Ingreso", Movimientos!G:G, "G710")+SUMIFS(Movimientos!E:E, Movimientos!D:D, A231, Movimientos!C:C, "Traslado", Movimientos!G:G, "G710")-SUMIFS(Movimientos!E:E, Movimientos!D:D, A231, Movimientos!C:C, "Traslado", Movimientos!F:F, "G710")-SUMIFS(Movimientos!E:E, Movimientos!D:D, A231, Movimientos!C:C, "Egreso", Movimientos!F:F, "G710")+SUMIFS(Movimientos!E:E, Movimientos!D:D, A231, Movimientos!C:C, "Ajuste", Movimientos!F:F, "G710")),"")</f>
        <v/>
      </c>
      <c r="H231" s="6" t="str">
        <f aca="false">IFERROR(IF(A231="","",SUMIFS(Movimientos!E:E, Movimientos!D:D, A231, Movimientos!C:C, "Ingreso", Movimientos!G:G, "G5000")+SUMIFS(Movimientos!E:E, Movimientos!D:D, A231, Movimientos!C:C, "Traslado", Movimientos!G:G, "G5000")-SUMIFS(Movimientos!E:E, Movimientos!D:D, A231, Movimientos!C:C, "Traslado", Movimientos!F:F, "G5000")-SUMIFS(Movimientos!E:E, Movimientos!D:D, A231, Movimientos!C:C, "Egreso", Movimientos!F:F, "G5000")+SUMIFS(Movimientos!E:E, Movimientos!D:D, A231, Movimientos!C:C, "Ajuste", Movimientos!F:F, "G5000")),"")</f>
        <v/>
      </c>
      <c r="I231" s="6" t="str">
        <f aca="false">IFERROR(IF(A231="","",SUMIFS(Movimientos!E:E, Movimientos!D:D, A231, Movimientos!C:C, "Ingreso", Movimientos!G:G, "G3")+SUMIFS(Movimientos!E:E, Movimientos!D:D, A231, Movimientos!C:C, "Traslado", Movimientos!G:G, "G3")-SUMIFS(Movimientos!E:E, Movimientos!D:D, A231, Movimientos!C:C, "Traslado", Movimientos!F:F, "G3")-SUMIFS(Movimientos!E:E, Movimientos!D:D, A231, Movimientos!C:C, "Egreso", Movimientos!F:F, "G3")+SUMIFS(Movimientos!E:E, Movimientos!D:D, A231, Movimientos!C:C, "Ajuste", Movimientos!F:F, "G3")),"")</f>
        <v/>
      </c>
      <c r="J231" s="6" t="str">
        <f aca="false">IFERROR(IF(A231="","",SUM(E231:I231)),"")</f>
        <v/>
      </c>
      <c r="K231" s="6" t="str">
        <f aca="false">IFERROR(IF(A231="","",SUMIFS(Movimientos!E:E, Movimientos!D:D, A231, Movimientos!C:C, "Reserva")-SUMIFS(Movimientos!E:E, Movimientos!D:D, A231, Movimientos!C:C, "Libera_Reserva")),"")</f>
        <v/>
      </c>
      <c r="L231" s="6" t="str">
        <f aca="false">IFERROR(IF(A231="","",J231-K231),"")</f>
        <v/>
      </c>
      <c r="M231" s="6" t="str">
        <f aca="false">IFERROR(IF(Productos!A231="","",Productos!G231),"")</f>
        <v/>
      </c>
      <c r="N231" s="6" t="str">
        <f aca="false">IFERROR(IF(A231="","",IF(L231&lt;M231,"BAJO STOCK","OK")),"")</f>
        <v/>
      </c>
    </row>
    <row r="232" customFormat="false" ht="15" hidden="false" customHeight="false" outlineLevel="0" collapsed="false">
      <c r="A232" s="0" t="str">
        <f aca="false">IFERROR(IF(Productos!A232="","",Productos!A232),"")</f>
        <v/>
      </c>
      <c r="B232" s="0" t="str">
        <f aca="false">IFERROR(IF(Productos!A232="","",Productos!B232),"")</f>
        <v/>
      </c>
      <c r="C232" s="0" t="str">
        <f aca="false">IFERROR(IF(Productos!A232="","",Productos!C232),"")</f>
        <v/>
      </c>
      <c r="D232" s="0" t="str">
        <f aca="false">IFERROR(IF(Productos!A232="","",Productos!E232),"")</f>
        <v/>
      </c>
      <c r="E232" s="6" t="str">
        <f aca="false">IFERROR(IF(A232="","",SUMIFS(Movimientos!E:E, Movimientos!D:D, A232, Movimientos!C:C, "Ingreso", Movimientos!G:G, "TIN")+SUMIFS(Movimientos!E:E, Movimientos!D:D, A232, Movimientos!C:C, "Traslado", Movimientos!G:G, "TIN")-SUMIFS(Movimientos!E:E, Movimientos!D:D, A232, Movimientos!C:C, "Traslado", Movimientos!F:F, "TIN")-SUMIFS(Movimientos!E:E, Movimientos!D:D, A232, Movimientos!C:C, "Egreso", Movimientos!F:F, "TIN")+SUMIFS(Movimientos!E:E, Movimientos!D:D, A232, Movimientos!C:C, "Ajuste", Movimientos!F:F, "TIN")),"")</f>
        <v/>
      </c>
      <c r="F232" s="6" t="str">
        <f aca="false">IFERROR(IF(A232="","",SUMIFS(Movimientos!E:E, Movimientos!D:D, A232, Movimientos!C:C, "Ingreso", Movimientos!G:G, "G1000")+SUMIFS(Movimientos!E:E, Movimientos!D:D, A232, Movimientos!C:C, "Traslado", Movimientos!G:G, "G1000")-SUMIFS(Movimientos!E:E, Movimientos!D:D, A232, Movimientos!C:C, "Traslado", Movimientos!F:F, "G1000")-SUMIFS(Movimientos!E:E, Movimientos!D:D, A232, Movimientos!C:C, "Egreso", Movimientos!F:F, "G1000")+SUMIFS(Movimientos!E:E, Movimientos!D:D, A232, Movimientos!C:C, "Ajuste", Movimientos!F:F, "G1000")),"")</f>
        <v/>
      </c>
      <c r="G232" s="6" t="str">
        <f aca="false">IFERROR(IF(A232="","",SUMIFS(Movimientos!E:E, Movimientos!D:D, A232, Movimientos!C:C, "Ingreso", Movimientos!G:G, "G710")+SUMIFS(Movimientos!E:E, Movimientos!D:D, A232, Movimientos!C:C, "Traslado", Movimientos!G:G, "G710")-SUMIFS(Movimientos!E:E, Movimientos!D:D, A232, Movimientos!C:C, "Traslado", Movimientos!F:F, "G710")-SUMIFS(Movimientos!E:E, Movimientos!D:D, A232, Movimientos!C:C, "Egreso", Movimientos!F:F, "G710")+SUMIFS(Movimientos!E:E, Movimientos!D:D, A232, Movimientos!C:C, "Ajuste", Movimientos!F:F, "G710")),"")</f>
        <v/>
      </c>
      <c r="H232" s="6" t="str">
        <f aca="false">IFERROR(IF(A232="","",SUMIFS(Movimientos!E:E, Movimientos!D:D, A232, Movimientos!C:C, "Ingreso", Movimientos!G:G, "G5000")+SUMIFS(Movimientos!E:E, Movimientos!D:D, A232, Movimientos!C:C, "Traslado", Movimientos!G:G, "G5000")-SUMIFS(Movimientos!E:E, Movimientos!D:D, A232, Movimientos!C:C, "Traslado", Movimientos!F:F, "G5000")-SUMIFS(Movimientos!E:E, Movimientos!D:D, A232, Movimientos!C:C, "Egreso", Movimientos!F:F, "G5000")+SUMIFS(Movimientos!E:E, Movimientos!D:D, A232, Movimientos!C:C, "Ajuste", Movimientos!F:F, "G5000")),"")</f>
        <v/>
      </c>
      <c r="I232" s="6" t="str">
        <f aca="false">IFERROR(IF(A232="","",SUMIFS(Movimientos!E:E, Movimientos!D:D, A232, Movimientos!C:C, "Ingreso", Movimientos!G:G, "G3")+SUMIFS(Movimientos!E:E, Movimientos!D:D, A232, Movimientos!C:C, "Traslado", Movimientos!G:G, "G3")-SUMIFS(Movimientos!E:E, Movimientos!D:D, A232, Movimientos!C:C, "Traslado", Movimientos!F:F, "G3")-SUMIFS(Movimientos!E:E, Movimientos!D:D, A232, Movimientos!C:C, "Egreso", Movimientos!F:F, "G3")+SUMIFS(Movimientos!E:E, Movimientos!D:D, A232, Movimientos!C:C, "Ajuste", Movimientos!F:F, "G3")),"")</f>
        <v/>
      </c>
      <c r="J232" s="6" t="str">
        <f aca="false">IFERROR(IF(A232="","",SUM(E232:I232)),"")</f>
        <v/>
      </c>
      <c r="K232" s="6" t="str">
        <f aca="false">IFERROR(IF(A232="","",SUMIFS(Movimientos!E:E, Movimientos!D:D, A232, Movimientos!C:C, "Reserva")-SUMIFS(Movimientos!E:E, Movimientos!D:D, A232, Movimientos!C:C, "Libera_Reserva")),"")</f>
        <v/>
      </c>
      <c r="L232" s="6" t="str">
        <f aca="false">IFERROR(IF(A232="","",J232-K232),"")</f>
        <v/>
      </c>
      <c r="M232" s="6" t="str">
        <f aca="false">IFERROR(IF(Productos!A232="","",Productos!G232),"")</f>
        <v/>
      </c>
      <c r="N232" s="6" t="str">
        <f aca="false">IFERROR(IF(A232="","",IF(L232&lt;M232,"BAJO STOCK","OK")),"")</f>
        <v/>
      </c>
    </row>
    <row r="233" customFormat="false" ht="15" hidden="false" customHeight="false" outlineLevel="0" collapsed="false">
      <c r="A233" s="0" t="str">
        <f aca="false">IFERROR(IF(Productos!A233="","",Productos!A233),"")</f>
        <v/>
      </c>
      <c r="B233" s="0" t="str">
        <f aca="false">IFERROR(IF(Productos!A233="","",Productos!B233),"")</f>
        <v/>
      </c>
      <c r="C233" s="0" t="str">
        <f aca="false">IFERROR(IF(Productos!A233="","",Productos!C233),"")</f>
        <v/>
      </c>
      <c r="D233" s="0" t="str">
        <f aca="false">IFERROR(IF(Productos!A233="","",Productos!E233),"")</f>
        <v/>
      </c>
      <c r="E233" s="6" t="str">
        <f aca="false">IFERROR(IF(A233="","",SUMIFS(Movimientos!E:E, Movimientos!D:D, A233, Movimientos!C:C, "Ingreso", Movimientos!G:G, "TIN")+SUMIFS(Movimientos!E:E, Movimientos!D:D, A233, Movimientos!C:C, "Traslado", Movimientos!G:G, "TIN")-SUMIFS(Movimientos!E:E, Movimientos!D:D, A233, Movimientos!C:C, "Traslado", Movimientos!F:F, "TIN")-SUMIFS(Movimientos!E:E, Movimientos!D:D, A233, Movimientos!C:C, "Egreso", Movimientos!F:F, "TIN")+SUMIFS(Movimientos!E:E, Movimientos!D:D, A233, Movimientos!C:C, "Ajuste", Movimientos!F:F, "TIN")),"")</f>
        <v/>
      </c>
      <c r="F233" s="6" t="str">
        <f aca="false">IFERROR(IF(A233="","",SUMIFS(Movimientos!E:E, Movimientos!D:D, A233, Movimientos!C:C, "Ingreso", Movimientos!G:G, "G1000")+SUMIFS(Movimientos!E:E, Movimientos!D:D, A233, Movimientos!C:C, "Traslado", Movimientos!G:G, "G1000")-SUMIFS(Movimientos!E:E, Movimientos!D:D, A233, Movimientos!C:C, "Traslado", Movimientos!F:F, "G1000")-SUMIFS(Movimientos!E:E, Movimientos!D:D, A233, Movimientos!C:C, "Egreso", Movimientos!F:F, "G1000")+SUMIFS(Movimientos!E:E, Movimientos!D:D, A233, Movimientos!C:C, "Ajuste", Movimientos!F:F, "G1000")),"")</f>
        <v/>
      </c>
      <c r="G233" s="6" t="str">
        <f aca="false">IFERROR(IF(A233="","",SUMIFS(Movimientos!E:E, Movimientos!D:D, A233, Movimientos!C:C, "Ingreso", Movimientos!G:G, "G710")+SUMIFS(Movimientos!E:E, Movimientos!D:D, A233, Movimientos!C:C, "Traslado", Movimientos!G:G, "G710")-SUMIFS(Movimientos!E:E, Movimientos!D:D, A233, Movimientos!C:C, "Traslado", Movimientos!F:F, "G710")-SUMIFS(Movimientos!E:E, Movimientos!D:D, A233, Movimientos!C:C, "Egreso", Movimientos!F:F, "G710")+SUMIFS(Movimientos!E:E, Movimientos!D:D, A233, Movimientos!C:C, "Ajuste", Movimientos!F:F, "G710")),"")</f>
        <v/>
      </c>
      <c r="H233" s="6" t="str">
        <f aca="false">IFERROR(IF(A233="","",SUMIFS(Movimientos!E:E, Movimientos!D:D, A233, Movimientos!C:C, "Ingreso", Movimientos!G:G, "G5000")+SUMIFS(Movimientos!E:E, Movimientos!D:D, A233, Movimientos!C:C, "Traslado", Movimientos!G:G, "G5000")-SUMIFS(Movimientos!E:E, Movimientos!D:D, A233, Movimientos!C:C, "Traslado", Movimientos!F:F, "G5000")-SUMIFS(Movimientos!E:E, Movimientos!D:D, A233, Movimientos!C:C, "Egreso", Movimientos!F:F, "G5000")+SUMIFS(Movimientos!E:E, Movimientos!D:D, A233, Movimientos!C:C, "Ajuste", Movimientos!F:F, "G5000")),"")</f>
        <v/>
      </c>
      <c r="I233" s="6" t="str">
        <f aca="false">IFERROR(IF(A233="","",SUMIFS(Movimientos!E:E, Movimientos!D:D, A233, Movimientos!C:C, "Ingreso", Movimientos!G:G, "G3")+SUMIFS(Movimientos!E:E, Movimientos!D:D, A233, Movimientos!C:C, "Traslado", Movimientos!G:G, "G3")-SUMIFS(Movimientos!E:E, Movimientos!D:D, A233, Movimientos!C:C, "Traslado", Movimientos!F:F, "G3")-SUMIFS(Movimientos!E:E, Movimientos!D:D, A233, Movimientos!C:C, "Egreso", Movimientos!F:F, "G3")+SUMIFS(Movimientos!E:E, Movimientos!D:D, A233, Movimientos!C:C, "Ajuste", Movimientos!F:F, "G3")),"")</f>
        <v/>
      </c>
      <c r="J233" s="6" t="str">
        <f aca="false">IFERROR(IF(A233="","",SUM(E233:I233)),"")</f>
        <v/>
      </c>
      <c r="K233" s="6" t="str">
        <f aca="false">IFERROR(IF(A233="","",SUMIFS(Movimientos!E:E, Movimientos!D:D, A233, Movimientos!C:C, "Reserva")-SUMIFS(Movimientos!E:E, Movimientos!D:D, A233, Movimientos!C:C, "Libera_Reserva")),"")</f>
        <v/>
      </c>
      <c r="L233" s="6" t="str">
        <f aca="false">IFERROR(IF(A233="","",J233-K233),"")</f>
        <v/>
      </c>
      <c r="M233" s="6" t="str">
        <f aca="false">IFERROR(IF(Productos!A233="","",Productos!G233),"")</f>
        <v/>
      </c>
      <c r="N233" s="6" t="str">
        <f aca="false">IFERROR(IF(A233="","",IF(L233&lt;M233,"BAJO STOCK","OK")),"")</f>
        <v/>
      </c>
    </row>
    <row r="234" customFormat="false" ht="15" hidden="false" customHeight="false" outlineLevel="0" collapsed="false">
      <c r="A234" s="0" t="str">
        <f aca="false">IFERROR(IF(Productos!A234="","",Productos!A234),"")</f>
        <v/>
      </c>
      <c r="B234" s="0" t="str">
        <f aca="false">IFERROR(IF(Productos!A234="","",Productos!B234),"")</f>
        <v/>
      </c>
      <c r="C234" s="0" t="str">
        <f aca="false">IFERROR(IF(Productos!A234="","",Productos!C234),"")</f>
        <v/>
      </c>
      <c r="D234" s="0" t="str">
        <f aca="false">IFERROR(IF(Productos!A234="","",Productos!E234),"")</f>
        <v/>
      </c>
      <c r="E234" s="6" t="str">
        <f aca="false">IFERROR(IF(A234="","",SUMIFS(Movimientos!E:E, Movimientos!D:D, A234, Movimientos!C:C, "Ingreso", Movimientos!G:G, "TIN")+SUMIFS(Movimientos!E:E, Movimientos!D:D, A234, Movimientos!C:C, "Traslado", Movimientos!G:G, "TIN")-SUMIFS(Movimientos!E:E, Movimientos!D:D, A234, Movimientos!C:C, "Traslado", Movimientos!F:F, "TIN")-SUMIFS(Movimientos!E:E, Movimientos!D:D, A234, Movimientos!C:C, "Egreso", Movimientos!F:F, "TIN")+SUMIFS(Movimientos!E:E, Movimientos!D:D, A234, Movimientos!C:C, "Ajuste", Movimientos!F:F, "TIN")),"")</f>
        <v/>
      </c>
      <c r="F234" s="6" t="str">
        <f aca="false">IFERROR(IF(A234="","",SUMIFS(Movimientos!E:E, Movimientos!D:D, A234, Movimientos!C:C, "Ingreso", Movimientos!G:G, "G1000")+SUMIFS(Movimientos!E:E, Movimientos!D:D, A234, Movimientos!C:C, "Traslado", Movimientos!G:G, "G1000")-SUMIFS(Movimientos!E:E, Movimientos!D:D, A234, Movimientos!C:C, "Traslado", Movimientos!F:F, "G1000")-SUMIFS(Movimientos!E:E, Movimientos!D:D, A234, Movimientos!C:C, "Egreso", Movimientos!F:F, "G1000")+SUMIFS(Movimientos!E:E, Movimientos!D:D, A234, Movimientos!C:C, "Ajuste", Movimientos!F:F, "G1000")),"")</f>
        <v/>
      </c>
      <c r="G234" s="6" t="str">
        <f aca="false">IFERROR(IF(A234="","",SUMIFS(Movimientos!E:E, Movimientos!D:D, A234, Movimientos!C:C, "Ingreso", Movimientos!G:G, "G710")+SUMIFS(Movimientos!E:E, Movimientos!D:D, A234, Movimientos!C:C, "Traslado", Movimientos!G:G, "G710")-SUMIFS(Movimientos!E:E, Movimientos!D:D, A234, Movimientos!C:C, "Traslado", Movimientos!F:F, "G710")-SUMIFS(Movimientos!E:E, Movimientos!D:D, A234, Movimientos!C:C, "Egreso", Movimientos!F:F, "G710")+SUMIFS(Movimientos!E:E, Movimientos!D:D, A234, Movimientos!C:C, "Ajuste", Movimientos!F:F, "G710")),"")</f>
        <v/>
      </c>
      <c r="H234" s="6" t="str">
        <f aca="false">IFERROR(IF(A234="","",SUMIFS(Movimientos!E:E, Movimientos!D:D, A234, Movimientos!C:C, "Ingreso", Movimientos!G:G, "G5000")+SUMIFS(Movimientos!E:E, Movimientos!D:D, A234, Movimientos!C:C, "Traslado", Movimientos!G:G, "G5000")-SUMIFS(Movimientos!E:E, Movimientos!D:D, A234, Movimientos!C:C, "Traslado", Movimientos!F:F, "G5000")-SUMIFS(Movimientos!E:E, Movimientos!D:D, A234, Movimientos!C:C, "Egreso", Movimientos!F:F, "G5000")+SUMIFS(Movimientos!E:E, Movimientos!D:D, A234, Movimientos!C:C, "Ajuste", Movimientos!F:F, "G5000")),"")</f>
        <v/>
      </c>
      <c r="I234" s="6" t="str">
        <f aca="false">IFERROR(IF(A234="","",SUMIFS(Movimientos!E:E, Movimientos!D:D, A234, Movimientos!C:C, "Ingreso", Movimientos!G:G, "G3")+SUMIFS(Movimientos!E:E, Movimientos!D:D, A234, Movimientos!C:C, "Traslado", Movimientos!G:G, "G3")-SUMIFS(Movimientos!E:E, Movimientos!D:D, A234, Movimientos!C:C, "Traslado", Movimientos!F:F, "G3")-SUMIFS(Movimientos!E:E, Movimientos!D:D, A234, Movimientos!C:C, "Egreso", Movimientos!F:F, "G3")+SUMIFS(Movimientos!E:E, Movimientos!D:D, A234, Movimientos!C:C, "Ajuste", Movimientos!F:F, "G3")),"")</f>
        <v/>
      </c>
      <c r="J234" s="6" t="str">
        <f aca="false">IFERROR(IF(A234="","",SUM(E234:I234)),"")</f>
        <v/>
      </c>
      <c r="K234" s="6" t="str">
        <f aca="false">IFERROR(IF(A234="","",SUMIFS(Movimientos!E:E, Movimientos!D:D, A234, Movimientos!C:C, "Reserva")-SUMIFS(Movimientos!E:E, Movimientos!D:D, A234, Movimientos!C:C, "Libera_Reserva")),"")</f>
        <v/>
      </c>
      <c r="L234" s="6" t="str">
        <f aca="false">IFERROR(IF(A234="","",J234-K234),"")</f>
        <v/>
      </c>
      <c r="M234" s="6" t="str">
        <f aca="false">IFERROR(IF(Productos!A234="","",Productos!G234),"")</f>
        <v/>
      </c>
      <c r="N234" s="6" t="str">
        <f aca="false">IFERROR(IF(A234="","",IF(L234&lt;M234,"BAJO STOCK","OK")),"")</f>
        <v/>
      </c>
    </row>
    <row r="235" customFormat="false" ht="15" hidden="false" customHeight="false" outlineLevel="0" collapsed="false">
      <c r="A235" s="0" t="str">
        <f aca="false">IFERROR(IF(Productos!A235="","",Productos!A235),"")</f>
        <v/>
      </c>
      <c r="B235" s="0" t="str">
        <f aca="false">IFERROR(IF(Productos!A235="","",Productos!B235),"")</f>
        <v/>
      </c>
      <c r="C235" s="0" t="str">
        <f aca="false">IFERROR(IF(Productos!A235="","",Productos!C235),"")</f>
        <v/>
      </c>
      <c r="D235" s="0" t="str">
        <f aca="false">IFERROR(IF(Productos!A235="","",Productos!E235),"")</f>
        <v/>
      </c>
      <c r="E235" s="6" t="str">
        <f aca="false">IFERROR(IF(A235="","",SUMIFS(Movimientos!E:E, Movimientos!D:D, A235, Movimientos!C:C, "Ingreso", Movimientos!G:G, "TIN")+SUMIFS(Movimientos!E:E, Movimientos!D:D, A235, Movimientos!C:C, "Traslado", Movimientos!G:G, "TIN")-SUMIFS(Movimientos!E:E, Movimientos!D:D, A235, Movimientos!C:C, "Traslado", Movimientos!F:F, "TIN")-SUMIFS(Movimientos!E:E, Movimientos!D:D, A235, Movimientos!C:C, "Egreso", Movimientos!F:F, "TIN")+SUMIFS(Movimientos!E:E, Movimientos!D:D, A235, Movimientos!C:C, "Ajuste", Movimientos!F:F, "TIN")),"")</f>
        <v/>
      </c>
      <c r="F235" s="6" t="str">
        <f aca="false">IFERROR(IF(A235="","",SUMIFS(Movimientos!E:E, Movimientos!D:D, A235, Movimientos!C:C, "Ingreso", Movimientos!G:G, "G1000")+SUMIFS(Movimientos!E:E, Movimientos!D:D, A235, Movimientos!C:C, "Traslado", Movimientos!G:G, "G1000")-SUMIFS(Movimientos!E:E, Movimientos!D:D, A235, Movimientos!C:C, "Traslado", Movimientos!F:F, "G1000")-SUMIFS(Movimientos!E:E, Movimientos!D:D, A235, Movimientos!C:C, "Egreso", Movimientos!F:F, "G1000")+SUMIFS(Movimientos!E:E, Movimientos!D:D, A235, Movimientos!C:C, "Ajuste", Movimientos!F:F, "G1000")),"")</f>
        <v/>
      </c>
      <c r="G235" s="6" t="str">
        <f aca="false">IFERROR(IF(A235="","",SUMIFS(Movimientos!E:E, Movimientos!D:D, A235, Movimientos!C:C, "Ingreso", Movimientos!G:G, "G710")+SUMIFS(Movimientos!E:E, Movimientos!D:D, A235, Movimientos!C:C, "Traslado", Movimientos!G:G, "G710")-SUMIFS(Movimientos!E:E, Movimientos!D:D, A235, Movimientos!C:C, "Traslado", Movimientos!F:F, "G710")-SUMIFS(Movimientos!E:E, Movimientos!D:D, A235, Movimientos!C:C, "Egreso", Movimientos!F:F, "G710")+SUMIFS(Movimientos!E:E, Movimientos!D:D, A235, Movimientos!C:C, "Ajuste", Movimientos!F:F, "G710")),"")</f>
        <v/>
      </c>
      <c r="H235" s="6" t="str">
        <f aca="false">IFERROR(IF(A235="","",SUMIFS(Movimientos!E:E, Movimientos!D:D, A235, Movimientos!C:C, "Ingreso", Movimientos!G:G, "G5000")+SUMIFS(Movimientos!E:E, Movimientos!D:D, A235, Movimientos!C:C, "Traslado", Movimientos!G:G, "G5000")-SUMIFS(Movimientos!E:E, Movimientos!D:D, A235, Movimientos!C:C, "Traslado", Movimientos!F:F, "G5000")-SUMIFS(Movimientos!E:E, Movimientos!D:D, A235, Movimientos!C:C, "Egreso", Movimientos!F:F, "G5000")+SUMIFS(Movimientos!E:E, Movimientos!D:D, A235, Movimientos!C:C, "Ajuste", Movimientos!F:F, "G5000")),"")</f>
        <v/>
      </c>
      <c r="I235" s="6" t="str">
        <f aca="false">IFERROR(IF(A235="","",SUMIFS(Movimientos!E:E, Movimientos!D:D, A235, Movimientos!C:C, "Ingreso", Movimientos!G:G, "G3")+SUMIFS(Movimientos!E:E, Movimientos!D:D, A235, Movimientos!C:C, "Traslado", Movimientos!G:G, "G3")-SUMIFS(Movimientos!E:E, Movimientos!D:D, A235, Movimientos!C:C, "Traslado", Movimientos!F:F, "G3")-SUMIFS(Movimientos!E:E, Movimientos!D:D, A235, Movimientos!C:C, "Egreso", Movimientos!F:F, "G3")+SUMIFS(Movimientos!E:E, Movimientos!D:D, A235, Movimientos!C:C, "Ajuste", Movimientos!F:F, "G3")),"")</f>
        <v/>
      </c>
      <c r="J235" s="6" t="str">
        <f aca="false">IFERROR(IF(A235="","",SUM(E235:I235)),"")</f>
        <v/>
      </c>
      <c r="K235" s="6" t="str">
        <f aca="false">IFERROR(IF(A235="","",SUMIFS(Movimientos!E:E, Movimientos!D:D, A235, Movimientos!C:C, "Reserva")-SUMIFS(Movimientos!E:E, Movimientos!D:D, A235, Movimientos!C:C, "Libera_Reserva")),"")</f>
        <v/>
      </c>
      <c r="L235" s="6" t="str">
        <f aca="false">IFERROR(IF(A235="","",J235-K235),"")</f>
        <v/>
      </c>
      <c r="M235" s="6" t="str">
        <f aca="false">IFERROR(IF(Productos!A235="","",Productos!G235),"")</f>
        <v/>
      </c>
      <c r="N235" s="6" t="str">
        <f aca="false">IFERROR(IF(A235="","",IF(L235&lt;M235,"BAJO STOCK","OK")),"")</f>
        <v/>
      </c>
    </row>
    <row r="236" customFormat="false" ht="15" hidden="false" customHeight="false" outlineLevel="0" collapsed="false">
      <c r="A236" s="0" t="str">
        <f aca="false">IFERROR(IF(Productos!A236="","",Productos!A236),"")</f>
        <v/>
      </c>
      <c r="B236" s="0" t="str">
        <f aca="false">IFERROR(IF(Productos!A236="","",Productos!B236),"")</f>
        <v/>
      </c>
      <c r="C236" s="0" t="str">
        <f aca="false">IFERROR(IF(Productos!A236="","",Productos!C236),"")</f>
        <v/>
      </c>
      <c r="D236" s="0" t="str">
        <f aca="false">IFERROR(IF(Productos!A236="","",Productos!E236),"")</f>
        <v/>
      </c>
      <c r="E236" s="6" t="str">
        <f aca="false">IFERROR(IF(A236="","",SUMIFS(Movimientos!E:E, Movimientos!D:D, A236, Movimientos!C:C, "Ingreso", Movimientos!G:G, "TIN")+SUMIFS(Movimientos!E:E, Movimientos!D:D, A236, Movimientos!C:C, "Traslado", Movimientos!G:G, "TIN")-SUMIFS(Movimientos!E:E, Movimientos!D:D, A236, Movimientos!C:C, "Traslado", Movimientos!F:F, "TIN")-SUMIFS(Movimientos!E:E, Movimientos!D:D, A236, Movimientos!C:C, "Egreso", Movimientos!F:F, "TIN")+SUMIFS(Movimientos!E:E, Movimientos!D:D, A236, Movimientos!C:C, "Ajuste", Movimientos!F:F, "TIN")),"")</f>
        <v/>
      </c>
      <c r="F236" s="6" t="str">
        <f aca="false">IFERROR(IF(A236="","",SUMIFS(Movimientos!E:E, Movimientos!D:D, A236, Movimientos!C:C, "Ingreso", Movimientos!G:G, "G1000")+SUMIFS(Movimientos!E:E, Movimientos!D:D, A236, Movimientos!C:C, "Traslado", Movimientos!G:G, "G1000")-SUMIFS(Movimientos!E:E, Movimientos!D:D, A236, Movimientos!C:C, "Traslado", Movimientos!F:F, "G1000")-SUMIFS(Movimientos!E:E, Movimientos!D:D, A236, Movimientos!C:C, "Egreso", Movimientos!F:F, "G1000")+SUMIFS(Movimientos!E:E, Movimientos!D:D, A236, Movimientos!C:C, "Ajuste", Movimientos!F:F, "G1000")),"")</f>
        <v/>
      </c>
      <c r="G236" s="6" t="str">
        <f aca="false">IFERROR(IF(A236="","",SUMIFS(Movimientos!E:E, Movimientos!D:D, A236, Movimientos!C:C, "Ingreso", Movimientos!G:G, "G710")+SUMIFS(Movimientos!E:E, Movimientos!D:D, A236, Movimientos!C:C, "Traslado", Movimientos!G:G, "G710")-SUMIFS(Movimientos!E:E, Movimientos!D:D, A236, Movimientos!C:C, "Traslado", Movimientos!F:F, "G710")-SUMIFS(Movimientos!E:E, Movimientos!D:D, A236, Movimientos!C:C, "Egreso", Movimientos!F:F, "G710")+SUMIFS(Movimientos!E:E, Movimientos!D:D, A236, Movimientos!C:C, "Ajuste", Movimientos!F:F, "G710")),"")</f>
        <v/>
      </c>
      <c r="H236" s="6" t="str">
        <f aca="false">IFERROR(IF(A236="","",SUMIFS(Movimientos!E:E, Movimientos!D:D, A236, Movimientos!C:C, "Ingreso", Movimientos!G:G, "G5000")+SUMIFS(Movimientos!E:E, Movimientos!D:D, A236, Movimientos!C:C, "Traslado", Movimientos!G:G, "G5000")-SUMIFS(Movimientos!E:E, Movimientos!D:D, A236, Movimientos!C:C, "Traslado", Movimientos!F:F, "G5000")-SUMIFS(Movimientos!E:E, Movimientos!D:D, A236, Movimientos!C:C, "Egreso", Movimientos!F:F, "G5000")+SUMIFS(Movimientos!E:E, Movimientos!D:D, A236, Movimientos!C:C, "Ajuste", Movimientos!F:F, "G5000")),"")</f>
        <v/>
      </c>
      <c r="I236" s="6" t="str">
        <f aca="false">IFERROR(IF(A236="","",SUMIFS(Movimientos!E:E, Movimientos!D:D, A236, Movimientos!C:C, "Ingreso", Movimientos!G:G, "G3")+SUMIFS(Movimientos!E:E, Movimientos!D:D, A236, Movimientos!C:C, "Traslado", Movimientos!G:G, "G3")-SUMIFS(Movimientos!E:E, Movimientos!D:D, A236, Movimientos!C:C, "Traslado", Movimientos!F:F, "G3")-SUMIFS(Movimientos!E:E, Movimientos!D:D, A236, Movimientos!C:C, "Egreso", Movimientos!F:F, "G3")+SUMIFS(Movimientos!E:E, Movimientos!D:D, A236, Movimientos!C:C, "Ajuste", Movimientos!F:F, "G3")),"")</f>
        <v/>
      </c>
      <c r="J236" s="6" t="str">
        <f aca="false">IFERROR(IF(A236="","",SUM(E236:I236)),"")</f>
        <v/>
      </c>
      <c r="K236" s="6" t="str">
        <f aca="false">IFERROR(IF(A236="","",SUMIFS(Movimientos!E:E, Movimientos!D:D, A236, Movimientos!C:C, "Reserva")-SUMIFS(Movimientos!E:E, Movimientos!D:D, A236, Movimientos!C:C, "Libera_Reserva")),"")</f>
        <v/>
      </c>
      <c r="L236" s="6" t="str">
        <f aca="false">IFERROR(IF(A236="","",J236-K236),"")</f>
        <v/>
      </c>
      <c r="M236" s="6" t="str">
        <f aca="false">IFERROR(IF(Productos!A236="","",Productos!G236),"")</f>
        <v/>
      </c>
      <c r="N236" s="6" t="str">
        <f aca="false">IFERROR(IF(A236="","",IF(L236&lt;M236,"BAJO STOCK","OK")),"")</f>
        <v/>
      </c>
    </row>
    <row r="237" customFormat="false" ht="15" hidden="false" customHeight="false" outlineLevel="0" collapsed="false">
      <c r="A237" s="0" t="str">
        <f aca="false">IFERROR(IF(Productos!A237="","",Productos!A237),"")</f>
        <v/>
      </c>
      <c r="B237" s="0" t="str">
        <f aca="false">IFERROR(IF(Productos!A237="","",Productos!B237),"")</f>
        <v/>
      </c>
      <c r="C237" s="0" t="str">
        <f aca="false">IFERROR(IF(Productos!A237="","",Productos!C237),"")</f>
        <v/>
      </c>
      <c r="D237" s="0" t="str">
        <f aca="false">IFERROR(IF(Productos!A237="","",Productos!E237),"")</f>
        <v/>
      </c>
      <c r="E237" s="6" t="str">
        <f aca="false">IFERROR(IF(A237="","",SUMIFS(Movimientos!E:E, Movimientos!D:D, A237, Movimientos!C:C, "Ingreso", Movimientos!G:G, "TIN")+SUMIFS(Movimientos!E:E, Movimientos!D:D, A237, Movimientos!C:C, "Traslado", Movimientos!G:G, "TIN")-SUMIFS(Movimientos!E:E, Movimientos!D:D, A237, Movimientos!C:C, "Traslado", Movimientos!F:F, "TIN")-SUMIFS(Movimientos!E:E, Movimientos!D:D, A237, Movimientos!C:C, "Egreso", Movimientos!F:F, "TIN")+SUMIFS(Movimientos!E:E, Movimientos!D:D, A237, Movimientos!C:C, "Ajuste", Movimientos!F:F, "TIN")),"")</f>
        <v/>
      </c>
      <c r="F237" s="6" t="str">
        <f aca="false">IFERROR(IF(A237="","",SUMIFS(Movimientos!E:E, Movimientos!D:D, A237, Movimientos!C:C, "Ingreso", Movimientos!G:G, "G1000")+SUMIFS(Movimientos!E:E, Movimientos!D:D, A237, Movimientos!C:C, "Traslado", Movimientos!G:G, "G1000")-SUMIFS(Movimientos!E:E, Movimientos!D:D, A237, Movimientos!C:C, "Traslado", Movimientos!F:F, "G1000")-SUMIFS(Movimientos!E:E, Movimientos!D:D, A237, Movimientos!C:C, "Egreso", Movimientos!F:F, "G1000")+SUMIFS(Movimientos!E:E, Movimientos!D:D, A237, Movimientos!C:C, "Ajuste", Movimientos!F:F, "G1000")),"")</f>
        <v/>
      </c>
      <c r="G237" s="6" t="str">
        <f aca="false">IFERROR(IF(A237="","",SUMIFS(Movimientos!E:E, Movimientos!D:D, A237, Movimientos!C:C, "Ingreso", Movimientos!G:G, "G710")+SUMIFS(Movimientos!E:E, Movimientos!D:D, A237, Movimientos!C:C, "Traslado", Movimientos!G:G, "G710")-SUMIFS(Movimientos!E:E, Movimientos!D:D, A237, Movimientos!C:C, "Traslado", Movimientos!F:F, "G710")-SUMIFS(Movimientos!E:E, Movimientos!D:D, A237, Movimientos!C:C, "Egreso", Movimientos!F:F, "G710")+SUMIFS(Movimientos!E:E, Movimientos!D:D, A237, Movimientos!C:C, "Ajuste", Movimientos!F:F, "G710")),"")</f>
        <v/>
      </c>
      <c r="H237" s="6" t="str">
        <f aca="false">IFERROR(IF(A237="","",SUMIFS(Movimientos!E:E, Movimientos!D:D, A237, Movimientos!C:C, "Ingreso", Movimientos!G:G, "G5000")+SUMIFS(Movimientos!E:E, Movimientos!D:D, A237, Movimientos!C:C, "Traslado", Movimientos!G:G, "G5000")-SUMIFS(Movimientos!E:E, Movimientos!D:D, A237, Movimientos!C:C, "Traslado", Movimientos!F:F, "G5000")-SUMIFS(Movimientos!E:E, Movimientos!D:D, A237, Movimientos!C:C, "Egreso", Movimientos!F:F, "G5000")+SUMIFS(Movimientos!E:E, Movimientos!D:D, A237, Movimientos!C:C, "Ajuste", Movimientos!F:F, "G5000")),"")</f>
        <v/>
      </c>
      <c r="I237" s="6" t="str">
        <f aca="false">IFERROR(IF(A237="","",SUMIFS(Movimientos!E:E, Movimientos!D:D, A237, Movimientos!C:C, "Ingreso", Movimientos!G:G, "G3")+SUMIFS(Movimientos!E:E, Movimientos!D:D, A237, Movimientos!C:C, "Traslado", Movimientos!G:G, "G3")-SUMIFS(Movimientos!E:E, Movimientos!D:D, A237, Movimientos!C:C, "Traslado", Movimientos!F:F, "G3")-SUMIFS(Movimientos!E:E, Movimientos!D:D, A237, Movimientos!C:C, "Egreso", Movimientos!F:F, "G3")+SUMIFS(Movimientos!E:E, Movimientos!D:D, A237, Movimientos!C:C, "Ajuste", Movimientos!F:F, "G3")),"")</f>
        <v/>
      </c>
      <c r="J237" s="6" t="str">
        <f aca="false">IFERROR(IF(A237="","",SUM(E237:I237)),"")</f>
        <v/>
      </c>
      <c r="K237" s="6" t="str">
        <f aca="false">IFERROR(IF(A237="","",SUMIFS(Movimientos!E:E, Movimientos!D:D, A237, Movimientos!C:C, "Reserva")-SUMIFS(Movimientos!E:E, Movimientos!D:D, A237, Movimientos!C:C, "Libera_Reserva")),"")</f>
        <v/>
      </c>
      <c r="L237" s="6" t="str">
        <f aca="false">IFERROR(IF(A237="","",J237-K237),"")</f>
        <v/>
      </c>
      <c r="M237" s="6" t="str">
        <f aca="false">IFERROR(IF(Productos!A237="","",Productos!G237),"")</f>
        <v/>
      </c>
      <c r="N237" s="6" t="str">
        <f aca="false">IFERROR(IF(A237="","",IF(L237&lt;M237,"BAJO STOCK","OK")),"")</f>
        <v/>
      </c>
    </row>
    <row r="238" customFormat="false" ht="15" hidden="false" customHeight="false" outlineLevel="0" collapsed="false">
      <c r="A238" s="0" t="str">
        <f aca="false">IFERROR(IF(Productos!A238="","",Productos!A238),"")</f>
        <v/>
      </c>
      <c r="B238" s="0" t="str">
        <f aca="false">IFERROR(IF(Productos!A238="","",Productos!B238),"")</f>
        <v/>
      </c>
      <c r="C238" s="0" t="str">
        <f aca="false">IFERROR(IF(Productos!A238="","",Productos!C238),"")</f>
        <v/>
      </c>
      <c r="D238" s="0" t="str">
        <f aca="false">IFERROR(IF(Productos!A238="","",Productos!E238),"")</f>
        <v/>
      </c>
      <c r="E238" s="6" t="str">
        <f aca="false">IFERROR(IF(A238="","",SUMIFS(Movimientos!E:E, Movimientos!D:D, A238, Movimientos!C:C, "Ingreso", Movimientos!G:G, "TIN")+SUMIFS(Movimientos!E:E, Movimientos!D:D, A238, Movimientos!C:C, "Traslado", Movimientos!G:G, "TIN")-SUMIFS(Movimientos!E:E, Movimientos!D:D, A238, Movimientos!C:C, "Traslado", Movimientos!F:F, "TIN")-SUMIFS(Movimientos!E:E, Movimientos!D:D, A238, Movimientos!C:C, "Egreso", Movimientos!F:F, "TIN")+SUMIFS(Movimientos!E:E, Movimientos!D:D, A238, Movimientos!C:C, "Ajuste", Movimientos!F:F, "TIN")),"")</f>
        <v/>
      </c>
      <c r="F238" s="6" t="str">
        <f aca="false">IFERROR(IF(A238="","",SUMIFS(Movimientos!E:E, Movimientos!D:D, A238, Movimientos!C:C, "Ingreso", Movimientos!G:G, "G1000")+SUMIFS(Movimientos!E:E, Movimientos!D:D, A238, Movimientos!C:C, "Traslado", Movimientos!G:G, "G1000")-SUMIFS(Movimientos!E:E, Movimientos!D:D, A238, Movimientos!C:C, "Traslado", Movimientos!F:F, "G1000")-SUMIFS(Movimientos!E:E, Movimientos!D:D, A238, Movimientos!C:C, "Egreso", Movimientos!F:F, "G1000")+SUMIFS(Movimientos!E:E, Movimientos!D:D, A238, Movimientos!C:C, "Ajuste", Movimientos!F:F, "G1000")),"")</f>
        <v/>
      </c>
      <c r="G238" s="6" t="str">
        <f aca="false">IFERROR(IF(A238="","",SUMIFS(Movimientos!E:E, Movimientos!D:D, A238, Movimientos!C:C, "Ingreso", Movimientos!G:G, "G710")+SUMIFS(Movimientos!E:E, Movimientos!D:D, A238, Movimientos!C:C, "Traslado", Movimientos!G:G, "G710")-SUMIFS(Movimientos!E:E, Movimientos!D:D, A238, Movimientos!C:C, "Traslado", Movimientos!F:F, "G710")-SUMIFS(Movimientos!E:E, Movimientos!D:D, A238, Movimientos!C:C, "Egreso", Movimientos!F:F, "G710")+SUMIFS(Movimientos!E:E, Movimientos!D:D, A238, Movimientos!C:C, "Ajuste", Movimientos!F:F, "G710")),"")</f>
        <v/>
      </c>
      <c r="H238" s="6" t="str">
        <f aca="false">IFERROR(IF(A238="","",SUMIFS(Movimientos!E:E, Movimientos!D:D, A238, Movimientos!C:C, "Ingreso", Movimientos!G:G, "G5000")+SUMIFS(Movimientos!E:E, Movimientos!D:D, A238, Movimientos!C:C, "Traslado", Movimientos!G:G, "G5000")-SUMIFS(Movimientos!E:E, Movimientos!D:D, A238, Movimientos!C:C, "Traslado", Movimientos!F:F, "G5000")-SUMIFS(Movimientos!E:E, Movimientos!D:D, A238, Movimientos!C:C, "Egreso", Movimientos!F:F, "G5000")+SUMIFS(Movimientos!E:E, Movimientos!D:D, A238, Movimientos!C:C, "Ajuste", Movimientos!F:F, "G5000")),"")</f>
        <v/>
      </c>
      <c r="I238" s="6" t="str">
        <f aca="false">IFERROR(IF(A238="","",SUMIFS(Movimientos!E:E, Movimientos!D:D, A238, Movimientos!C:C, "Ingreso", Movimientos!G:G, "G3")+SUMIFS(Movimientos!E:E, Movimientos!D:D, A238, Movimientos!C:C, "Traslado", Movimientos!G:G, "G3")-SUMIFS(Movimientos!E:E, Movimientos!D:D, A238, Movimientos!C:C, "Traslado", Movimientos!F:F, "G3")-SUMIFS(Movimientos!E:E, Movimientos!D:D, A238, Movimientos!C:C, "Egreso", Movimientos!F:F, "G3")+SUMIFS(Movimientos!E:E, Movimientos!D:D, A238, Movimientos!C:C, "Ajuste", Movimientos!F:F, "G3")),"")</f>
        <v/>
      </c>
      <c r="J238" s="6" t="str">
        <f aca="false">IFERROR(IF(A238="","",SUM(E238:I238)),"")</f>
        <v/>
      </c>
      <c r="K238" s="6" t="str">
        <f aca="false">IFERROR(IF(A238="","",SUMIFS(Movimientos!E:E, Movimientos!D:D, A238, Movimientos!C:C, "Reserva")-SUMIFS(Movimientos!E:E, Movimientos!D:D, A238, Movimientos!C:C, "Libera_Reserva")),"")</f>
        <v/>
      </c>
      <c r="L238" s="6" t="str">
        <f aca="false">IFERROR(IF(A238="","",J238-K238),"")</f>
        <v/>
      </c>
      <c r="M238" s="6" t="str">
        <f aca="false">IFERROR(IF(Productos!A238="","",Productos!G238),"")</f>
        <v/>
      </c>
      <c r="N238" s="6" t="str">
        <f aca="false">IFERROR(IF(A238="","",IF(L238&lt;M238,"BAJO STOCK","OK")),"")</f>
        <v/>
      </c>
    </row>
    <row r="239" customFormat="false" ht="15" hidden="false" customHeight="false" outlineLevel="0" collapsed="false">
      <c r="A239" s="0" t="str">
        <f aca="false">IFERROR(IF(Productos!A239="","",Productos!A239),"")</f>
        <v/>
      </c>
      <c r="B239" s="0" t="str">
        <f aca="false">IFERROR(IF(Productos!A239="","",Productos!B239),"")</f>
        <v/>
      </c>
      <c r="C239" s="0" t="str">
        <f aca="false">IFERROR(IF(Productos!A239="","",Productos!C239),"")</f>
        <v/>
      </c>
      <c r="D239" s="0" t="str">
        <f aca="false">IFERROR(IF(Productos!A239="","",Productos!E239),"")</f>
        <v/>
      </c>
      <c r="E239" s="6" t="str">
        <f aca="false">IFERROR(IF(A239="","",SUMIFS(Movimientos!E:E, Movimientos!D:D, A239, Movimientos!C:C, "Ingreso", Movimientos!G:G, "TIN")+SUMIFS(Movimientos!E:E, Movimientos!D:D, A239, Movimientos!C:C, "Traslado", Movimientos!G:G, "TIN")-SUMIFS(Movimientos!E:E, Movimientos!D:D, A239, Movimientos!C:C, "Traslado", Movimientos!F:F, "TIN")-SUMIFS(Movimientos!E:E, Movimientos!D:D, A239, Movimientos!C:C, "Egreso", Movimientos!F:F, "TIN")+SUMIFS(Movimientos!E:E, Movimientos!D:D, A239, Movimientos!C:C, "Ajuste", Movimientos!F:F, "TIN")),"")</f>
        <v/>
      </c>
      <c r="F239" s="6" t="str">
        <f aca="false">IFERROR(IF(A239="","",SUMIFS(Movimientos!E:E, Movimientos!D:D, A239, Movimientos!C:C, "Ingreso", Movimientos!G:G, "G1000")+SUMIFS(Movimientos!E:E, Movimientos!D:D, A239, Movimientos!C:C, "Traslado", Movimientos!G:G, "G1000")-SUMIFS(Movimientos!E:E, Movimientos!D:D, A239, Movimientos!C:C, "Traslado", Movimientos!F:F, "G1000")-SUMIFS(Movimientos!E:E, Movimientos!D:D, A239, Movimientos!C:C, "Egreso", Movimientos!F:F, "G1000")+SUMIFS(Movimientos!E:E, Movimientos!D:D, A239, Movimientos!C:C, "Ajuste", Movimientos!F:F, "G1000")),"")</f>
        <v/>
      </c>
      <c r="G239" s="6" t="str">
        <f aca="false">IFERROR(IF(A239="","",SUMIFS(Movimientos!E:E, Movimientos!D:D, A239, Movimientos!C:C, "Ingreso", Movimientos!G:G, "G710")+SUMIFS(Movimientos!E:E, Movimientos!D:D, A239, Movimientos!C:C, "Traslado", Movimientos!G:G, "G710")-SUMIFS(Movimientos!E:E, Movimientos!D:D, A239, Movimientos!C:C, "Traslado", Movimientos!F:F, "G710")-SUMIFS(Movimientos!E:E, Movimientos!D:D, A239, Movimientos!C:C, "Egreso", Movimientos!F:F, "G710")+SUMIFS(Movimientos!E:E, Movimientos!D:D, A239, Movimientos!C:C, "Ajuste", Movimientos!F:F, "G710")),"")</f>
        <v/>
      </c>
      <c r="H239" s="6" t="str">
        <f aca="false">IFERROR(IF(A239="","",SUMIFS(Movimientos!E:E, Movimientos!D:D, A239, Movimientos!C:C, "Ingreso", Movimientos!G:G, "G5000")+SUMIFS(Movimientos!E:E, Movimientos!D:D, A239, Movimientos!C:C, "Traslado", Movimientos!G:G, "G5000")-SUMIFS(Movimientos!E:E, Movimientos!D:D, A239, Movimientos!C:C, "Traslado", Movimientos!F:F, "G5000")-SUMIFS(Movimientos!E:E, Movimientos!D:D, A239, Movimientos!C:C, "Egreso", Movimientos!F:F, "G5000")+SUMIFS(Movimientos!E:E, Movimientos!D:D, A239, Movimientos!C:C, "Ajuste", Movimientos!F:F, "G5000")),"")</f>
        <v/>
      </c>
      <c r="I239" s="6" t="str">
        <f aca="false">IFERROR(IF(A239="","",SUMIFS(Movimientos!E:E, Movimientos!D:D, A239, Movimientos!C:C, "Ingreso", Movimientos!G:G, "G3")+SUMIFS(Movimientos!E:E, Movimientos!D:D, A239, Movimientos!C:C, "Traslado", Movimientos!G:G, "G3")-SUMIFS(Movimientos!E:E, Movimientos!D:D, A239, Movimientos!C:C, "Traslado", Movimientos!F:F, "G3")-SUMIFS(Movimientos!E:E, Movimientos!D:D, A239, Movimientos!C:C, "Egreso", Movimientos!F:F, "G3")+SUMIFS(Movimientos!E:E, Movimientos!D:D, A239, Movimientos!C:C, "Ajuste", Movimientos!F:F, "G3")),"")</f>
        <v/>
      </c>
      <c r="J239" s="6" t="str">
        <f aca="false">IFERROR(IF(A239="","",SUM(E239:I239)),"")</f>
        <v/>
      </c>
      <c r="K239" s="6" t="str">
        <f aca="false">IFERROR(IF(A239="","",SUMIFS(Movimientos!E:E, Movimientos!D:D, A239, Movimientos!C:C, "Reserva")-SUMIFS(Movimientos!E:E, Movimientos!D:D, A239, Movimientos!C:C, "Libera_Reserva")),"")</f>
        <v/>
      </c>
      <c r="L239" s="6" t="str">
        <f aca="false">IFERROR(IF(A239="","",J239-K239),"")</f>
        <v/>
      </c>
      <c r="M239" s="6" t="str">
        <f aca="false">IFERROR(IF(Productos!A239="","",Productos!G239),"")</f>
        <v/>
      </c>
      <c r="N239" s="6" t="str">
        <f aca="false">IFERROR(IF(A239="","",IF(L239&lt;M239,"BAJO STOCK","OK")),"")</f>
        <v/>
      </c>
    </row>
    <row r="240" customFormat="false" ht="15" hidden="false" customHeight="false" outlineLevel="0" collapsed="false">
      <c r="A240" s="0" t="str">
        <f aca="false">IFERROR(IF(Productos!A240="","",Productos!A240),"")</f>
        <v/>
      </c>
      <c r="B240" s="0" t="str">
        <f aca="false">IFERROR(IF(Productos!A240="","",Productos!B240),"")</f>
        <v/>
      </c>
      <c r="C240" s="0" t="str">
        <f aca="false">IFERROR(IF(Productos!A240="","",Productos!C240),"")</f>
        <v/>
      </c>
      <c r="D240" s="0" t="str">
        <f aca="false">IFERROR(IF(Productos!A240="","",Productos!E240),"")</f>
        <v/>
      </c>
      <c r="E240" s="6" t="str">
        <f aca="false">IFERROR(IF(A240="","",SUMIFS(Movimientos!E:E, Movimientos!D:D, A240, Movimientos!C:C, "Ingreso", Movimientos!G:G, "TIN")+SUMIFS(Movimientos!E:E, Movimientos!D:D, A240, Movimientos!C:C, "Traslado", Movimientos!G:G, "TIN")-SUMIFS(Movimientos!E:E, Movimientos!D:D, A240, Movimientos!C:C, "Traslado", Movimientos!F:F, "TIN")-SUMIFS(Movimientos!E:E, Movimientos!D:D, A240, Movimientos!C:C, "Egreso", Movimientos!F:F, "TIN")+SUMIFS(Movimientos!E:E, Movimientos!D:D, A240, Movimientos!C:C, "Ajuste", Movimientos!F:F, "TIN")),"")</f>
        <v/>
      </c>
      <c r="F240" s="6" t="str">
        <f aca="false">IFERROR(IF(A240="","",SUMIFS(Movimientos!E:E, Movimientos!D:D, A240, Movimientos!C:C, "Ingreso", Movimientos!G:G, "G1000")+SUMIFS(Movimientos!E:E, Movimientos!D:D, A240, Movimientos!C:C, "Traslado", Movimientos!G:G, "G1000")-SUMIFS(Movimientos!E:E, Movimientos!D:D, A240, Movimientos!C:C, "Traslado", Movimientos!F:F, "G1000")-SUMIFS(Movimientos!E:E, Movimientos!D:D, A240, Movimientos!C:C, "Egreso", Movimientos!F:F, "G1000")+SUMIFS(Movimientos!E:E, Movimientos!D:D, A240, Movimientos!C:C, "Ajuste", Movimientos!F:F, "G1000")),"")</f>
        <v/>
      </c>
      <c r="G240" s="6" t="str">
        <f aca="false">IFERROR(IF(A240="","",SUMIFS(Movimientos!E:E, Movimientos!D:D, A240, Movimientos!C:C, "Ingreso", Movimientos!G:G, "G710")+SUMIFS(Movimientos!E:E, Movimientos!D:D, A240, Movimientos!C:C, "Traslado", Movimientos!G:G, "G710")-SUMIFS(Movimientos!E:E, Movimientos!D:D, A240, Movimientos!C:C, "Traslado", Movimientos!F:F, "G710")-SUMIFS(Movimientos!E:E, Movimientos!D:D, A240, Movimientos!C:C, "Egreso", Movimientos!F:F, "G710")+SUMIFS(Movimientos!E:E, Movimientos!D:D, A240, Movimientos!C:C, "Ajuste", Movimientos!F:F, "G710")),"")</f>
        <v/>
      </c>
      <c r="H240" s="6" t="str">
        <f aca="false">IFERROR(IF(A240="","",SUMIFS(Movimientos!E:E, Movimientos!D:D, A240, Movimientos!C:C, "Ingreso", Movimientos!G:G, "G5000")+SUMIFS(Movimientos!E:E, Movimientos!D:D, A240, Movimientos!C:C, "Traslado", Movimientos!G:G, "G5000")-SUMIFS(Movimientos!E:E, Movimientos!D:D, A240, Movimientos!C:C, "Traslado", Movimientos!F:F, "G5000")-SUMIFS(Movimientos!E:E, Movimientos!D:D, A240, Movimientos!C:C, "Egreso", Movimientos!F:F, "G5000")+SUMIFS(Movimientos!E:E, Movimientos!D:D, A240, Movimientos!C:C, "Ajuste", Movimientos!F:F, "G5000")),"")</f>
        <v/>
      </c>
      <c r="I240" s="6" t="str">
        <f aca="false">IFERROR(IF(A240="","",SUMIFS(Movimientos!E:E, Movimientos!D:D, A240, Movimientos!C:C, "Ingreso", Movimientos!G:G, "G3")+SUMIFS(Movimientos!E:E, Movimientos!D:D, A240, Movimientos!C:C, "Traslado", Movimientos!G:G, "G3")-SUMIFS(Movimientos!E:E, Movimientos!D:D, A240, Movimientos!C:C, "Traslado", Movimientos!F:F, "G3")-SUMIFS(Movimientos!E:E, Movimientos!D:D, A240, Movimientos!C:C, "Egreso", Movimientos!F:F, "G3")+SUMIFS(Movimientos!E:E, Movimientos!D:D, A240, Movimientos!C:C, "Ajuste", Movimientos!F:F, "G3")),"")</f>
        <v/>
      </c>
      <c r="J240" s="6" t="str">
        <f aca="false">IFERROR(IF(A240="","",SUM(E240:I240)),"")</f>
        <v/>
      </c>
      <c r="K240" s="6" t="str">
        <f aca="false">IFERROR(IF(A240="","",SUMIFS(Movimientos!E:E, Movimientos!D:D, A240, Movimientos!C:C, "Reserva")-SUMIFS(Movimientos!E:E, Movimientos!D:D, A240, Movimientos!C:C, "Libera_Reserva")),"")</f>
        <v/>
      </c>
      <c r="L240" s="6" t="str">
        <f aca="false">IFERROR(IF(A240="","",J240-K240),"")</f>
        <v/>
      </c>
      <c r="M240" s="6" t="str">
        <f aca="false">IFERROR(IF(Productos!A240="","",Productos!G240),"")</f>
        <v/>
      </c>
      <c r="N240" s="6" t="str">
        <f aca="false">IFERROR(IF(A240="","",IF(L240&lt;M240,"BAJO STOCK","OK")),"")</f>
        <v/>
      </c>
    </row>
    <row r="241" customFormat="false" ht="15" hidden="false" customHeight="false" outlineLevel="0" collapsed="false">
      <c r="A241" s="0" t="str">
        <f aca="false">IFERROR(IF(Productos!A241="","",Productos!A241),"")</f>
        <v/>
      </c>
      <c r="B241" s="0" t="str">
        <f aca="false">IFERROR(IF(Productos!A241="","",Productos!B241),"")</f>
        <v/>
      </c>
      <c r="C241" s="0" t="str">
        <f aca="false">IFERROR(IF(Productos!A241="","",Productos!C241),"")</f>
        <v/>
      </c>
      <c r="D241" s="0" t="str">
        <f aca="false">IFERROR(IF(Productos!A241="","",Productos!E241),"")</f>
        <v/>
      </c>
      <c r="E241" s="6" t="str">
        <f aca="false">IFERROR(IF(A241="","",SUMIFS(Movimientos!E:E, Movimientos!D:D, A241, Movimientos!C:C, "Ingreso", Movimientos!G:G, "TIN")+SUMIFS(Movimientos!E:E, Movimientos!D:D, A241, Movimientos!C:C, "Traslado", Movimientos!G:G, "TIN")-SUMIFS(Movimientos!E:E, Movimientos!D:D, A241, Movimientos!C:C, "Traslado", Movimientos!F:F, "TIN")-SUMIFS(Movimientos!E:E, Movimientos!D:D, A241, Movimientos!C:C, "Egreso", Movimientos!F:F, "TIN")+SUMIFS(Movimientos!E:E, Movimientos!D:D, A241, Movimientos!C:C, "Ajuste", Movimientos!F:F, "TIN")),"")</f>
        <v/>
      </c>
      <c r="F241" s="6" t="str">
        <f aca="false">IFERROR(IF(A241="","",SUMIFS(Movimientos!E:E, Movimientos!D:D, A241, Movimientos!C:C, "Ingreso", Movimientos!G:G, "G1000")+SUMIFS(Movimientos!E:E, Movimientos!D:D, A241, Movimientos!C:C, "Traslado", Movimientos!G:G, "G1000")-SUMIFS(Movimientos!E:E, Movimientos!D:D, A241, Movimientos!C:C, "Traslado", Movimientos!F:F, "G1000")-SUMIFS(Movimientos!E:E, Movimientos!D:D, A241, Movimientos!C:C, "Egreso", Movimientos!F:F, "G1000")+SUMIFS(Movimientos!E:E, Movimientos!D:D, A241, Movimientos!C:C, "Ajuste", Movimientos!F:F, "G1000")),"")</f>
        <v/>
      </c>
      <c r="G241" s="6" t="str">
        <f aca="false">IFERROR(IF(A241="","",SUMIFS(Movimientos!E:E, Movimientos!D:D, A241, Movimientos!C:C, "Ingreso", Movimientos!G:G, "G710")+SUMIFS(Movimientos!E:E, Movimientos!D:D, A241, Movimientos!C:C, "Traslado", Movimientos!G:G, "G710")-SUMIFS(Movimientos!E:E, Movimientos!D:D, A241, Movimientos!C:C, "Traslado", Movimientos!F:F, "G710")-SUMIFS(Movimientos!E:E, Movimientos!D:D, A241, Movimientos!C:C, "Egreso", Movimientos!F:F, "G710")+SUMIFS(Movimientos!E:E, Movimientos!D:D, A241, Movimientos!C:C, "Ajuste", Movimientos!F:F, "G710")),"")</f>
        <v/>
      </c>
      <c r="H241" s="6" t="str">
        <f aca="false">IFERROR(IF(A241="","",SUMIFS(Movimientos!E:E, Movimientos!D:D, A241, Movimientos!C:C, "Ingreso", Movimientos!G:G, "G5000")+SUMIFS(Movimientos!E:E, Movimientos!D:D, A241, Movimientos!C:C, "Traslado", Movimientos!G:G, "G5000")-SUMIFS(Movimientos!E:E, Movimientos!D:D, A241, Movimientos!C:C, "Traslado", Movimientos!F:F, "G5000")-SUMIFS(Movimientos!E:E, Movimientos!D:D, A241, Movimientos!C:C, "Egreso", Movimientos!F:F, "G5000")+SUMIFS(Movimientos!E:E, Movimientos!D:D, A241, Movimientos!C:C, "Ajuste", Movimientos!F:F, "G5000")),"")</f>
        <v/>
      </c>
      <c r="I241" s="6" t="str">
        <f aca="false">IFERROR(IF(A241="","",SUMIFS(Movimientos!E:E, Movimientos!D:D, A241, Movimientos!C:C, "Ingreso", Movimientos!G:G, "G3")+SUMIFS(Movimientos!E:E, Movimientos!D:D, A241, Movimientos!C:C, "Traslado", Movimientos!G:G, "G3")-SUMIFS(Movimientos!E:E, Movimientos!D:D, A241, Movimientos!C:C, "Traslado", Movimientos!F:F, "G3")-SUMIFS(Movimientos!E:E, Movimientos!D:D, A241, Movimientos!C:C, "Egreso", Movimientos!F:F, "G3")+SUMIFS(Movimientos!E:E, Movimientos!D:D, A241, Movimientos!C:C, "Ajuste", Movimientos!F:F, "G3")),"")</f>
        <v/>
      </c>
      <c r="J241" s="6" t="str">
        <f aca="false">IFERROR(IF(A241="","",SUM(E241:I241)),"")</f>
        <v/>
      </c>
      <c r="K241" s="6" t="str">
        <f aca="false">IFERROR(IF(A241="","",SUMIFS(Movimientos!E:E, Movimientos!D:D, A241, Movimientos!C:C, "Reserva")-SUMIFS(Movimientos!E:E, Movimientos!D:D, A241, Movimientos!C:C, "Libera_Reserva")),"")</f>
        <v/>
      </c>
      <c r="L241" s="6" t="str">
        <f aca="false">IFERROR(IF(A241="","",J241-K241),"")</f>
        <v/>
      </c>
      <c r="M241" s="6" t="str">
        <f aca="false">IFERROR(IF(Productos!A241="","",Productos!G241),"")</f>
        <v/>
      </c>
      <c r="N241" s="6" t="str">
        <f aca="false">IFERROR(IF(A241="","",IF(L241&lt;M241,"BAJO STOCK","OK")),"")</f>
        <v/>
      </c>
    </row>
    <row r="242" customFormat="false" ht="15" hidden="false" customHeight="false" outlineLevel="0" collapsed="false">
      <c r="A242" s="0" t="str">
        <f aca="false">IFERROR(IF(Productos!A242="","",Productos!A242),"")</f>
        <v/>
      </c>
      <c r="B242" s="0" t="str">
        <f aca="false">IFERROR(IF(Productos!A242="","",Productos!B242),"")</f>
        <v/>
      </c>
      <c r="C242" s="0" t="str">
        <f aca="false">IFERROR(IF(Productos!A242="","",Productos!C242),"")</f>
        <v/>
      </c>
      <c r="D242" s="0" t="str">
        <f aca="false">IFERROR(IF(Productos!A242="","",Productos!E242),"")</f>
        <v/>
      </c>
      <c r="E242" s="6" t="str">
        <f aca="false">IFERROR(IF(A242="","",SUMIFS(Movimientos!E:E, Movimientos!D:D, A242, Movimientos!C:C, "Ingreso", Movimientos!G:G, "TIN")+SUMIFS(Movimientos!E:E, Movimientos!D:D, A242, Movimientos!C:C, "Traslado", Movimientos!G:G, "TIN")-SUMIFS(Movimientos!E:E, Movimientos!D:D, A242, Movimientos!C:C, "Traslado", Movimientos!F:F, "TIN")-SUMIFS(Movimientos!E:E, Movimientos!D:D, A242, Movimientos!C:C, "Egreso", Movimientos!F:F, "TIN")+SUMIFS(Movimientos!E:E, Movimientos!D:D, A242, Movimientos!C:C, "Ajuste", Movimientos!F:F, "TIN")),"")</f>
        <v/>
      </c>
      <c r="F242" s="6" t="str">
        <f aca="false">IFERROR(IF(A242="","",SUMIFS(Movimientos!E:E, Movimientos!D:D, A242, Movimientos!C:C, "Ingreso", Movimientos!G:G, "G1000")+SUMIFS(Movimientos!E:E, Movimientos!D:D, A242, Movimientos!C:C, "Traslado", Movimientos!G:G, "G1000")-SUMIFS(Movimientos!E:E, Movimientos!D:D, A242, Movimientos!C:C, "Traslado", Movimientos!F:F, "G1000")-SUMIFS(Movimientos!E:E, Movimientos!D:D, A242, Movimientos!C:C, "Egreso", Movimientos!F:F, "G1000")+SUMIFS(Movimientos!E:E, Movimientos!D:D, A242, Movimientos!C:C, "Ajuste", Movimientos!F:F, "G1000")),"")</f>
        <v/>
      </c>
      <c r="G242" s="6" t="str">
        <f aca="false">IFERROR(IF(A242="","",SUMIFS(Movimientos!E:E, Movimientos!D:D, A242, Movimientos!C:C, "Ingreso", Movimientos!G:G, "G710")+SUMIFS(Movimientos!E:E, Movimientos!D:D, A242, Movimientos!C:C, "Traslado", Movimientos!G:G, "G710")-SUMIFS(Movimientos!E:E, Movimientos!D:D, A242, Movimientos!C:C, "Traslado", Movimientos!F:F, "G710")-SUMIFS(Movimientos!E:E, Movimientos!D:D, A242, Movimientos!C:C, "Egreso", Movimientos!F:F, "G710")+SUMIFS(Movimientos!E:E, Movimientos!D:D, A242, Movimientos!C:C, "Ajuste", Movimientos!F:F, "G710")),"")</f>
        <v/>
      </c>
      <c r="H242" s="6" t="str">
        <f aca="false">IFERROR(IF(A242="","",SUMIFS(Movimientos!E:E, Movimientos!D:D, A242, Movimientos!C:C, "Ingreso", Movimientos!G:G, "G5000")+SUMIFS(Movimientos!E:E, Movimientos!D:D, A242, Movimientos!C:C, "Traslado", Movimientos!G:G, "G5000")-SUMIFS(Movimientos!E:E, Movimientos!D:D, A242, Movimientos!C:C, "Traslado", Movimientos!F:F, "G5000")-SUMIFS(Movimientos!E:E, Movimientos!D:D, A242, Movimientos!C:C, "Egreso", Movimientos!F:F, "G5000")+SUMIFS(Movimientos!E:E, Movimientos!D:D, A242, Movimientos!C:C, "Ajuste", Movimientos!F:F, "G5000")),"")</f>
        <v/>
      </c>
      <c r="I242" s="6" t="str">
        <f aca="false">IFERROR(IF(A242="","",SUMIFS(Movimientos!E:E, Movimientos!D:D, A242, Movimientos!C:C, "Ingreso", Movimientos!G:G, "G3")+SUMIFS(Movimientos!E:E, Movimientos!D:D, A242, Movimientos!C:C, "Traslado", Movimientos!G:G, "G3")-SUMIFS(Movimientos!E:E, Movimientos!D:D, A242, Movimientos!C:C, "Traslado", Movimientos!F:F, "G3")-SUMIFS(Movimientos!E:E, Movimientos!D:D, A242, Movimientos!C:C, "Egreso", Movimientos!F:F, "G3")+SUMIFS(Movimientos!E:E, Movimientos!D:D, A242, Movimientos!C:C, "Ajuste", Movimientos!F:F, "G3")),"")</f>
        <v/>
      </c>
      <c r="J242" s="6" t="str">
        <f aca="false">IFERROR(IF(A242="","",SUM(E242:I242)),"")</f>
        <v/>
      </c>
      <c r="K242" s="6" t="str">
        <f aca="false">IFERROR(IF(A242="","",SUMIFS(Movimientos!E:E, Movimientos!D:D, A242, Movimientos!C:C, "Reserva")-SUMIFS(Movimientos!E:E, Movimientos!D:D, A242, Movimientos!C:C, "Libera_Reserva")),"")</f>
        <v/>
      </c>
      <c r="L242" s="6" t="str">
        <f aca="false">IFERROR(IF(A242="","",J242-K242),"")</f>
        <v/>
      </c>
      <c r="M242" s="6" t="str">
        <f aca="false">IFERROR(IF(Productos!A242="","",Productos!G242),"")</f>
        <v/>
      </c>
      <c r="N242" s="6" t="str">
        <f aca="false">IFERROR(IF(A242="","",IF(L242&lt;M242,"BAJO STOCK","OK")),"")</f>
        <v/>
      </c>
    </row>
    <row r="243" customFormat="false" ht="15" hidden="false" customHeight="false" outlineLevel="0" collapsed="false">
      <c r="A243" s="0" t="str">
        <f aca="false">IFERROR(IF(Productos!A243="","",Productos!A243),"")</f>
        <v/>
      </c>
      <c r="B243" s="0" t="str">
        <f aca="false">IFERROR(IF(Productos!A243="","",Productos!B243),"")</f>
        <v/>
      </c>
      <c r="C243" s="0" t="str">
        <f aca="false">IFERROR(IF(Productos!A243="","",Productos!C243),"")</f>
        <v/>
      </c>
      <c r="D243" s="0" t="str">
        <f aca="false">IFERROR(IF(Productos!A243="","",Productos!E243),"")</f>
        <v/>
      </c>
      <c r="E243" s="6" t="str">
        <f aca="false">IFERROR(IF(A243="","",SUMIFS(Movimientos!E:E, Movimientos!D:D, A243, Movimientos!C:C, "Ingreso", Movimientos!G:G, "TIN")+SUMIFS(Movimientos!E:E, Movimientos!D:D, A243, Movimientos!C:C, "Traslado", Movimientos!G:G, "TIN")-SUMIFS(Movimientos!E:E, Movimientos!D:D, A243, Movimientos!C:C, "Traslado", Movimientos!F:F, "TIN")-SUMIFS(Movimientos!E:E, Movimientos!D:D, A243, Movimientos!C:C, "Egreso", Movimientos!F:F, "TIN")+SUMIFS(Movimientos!E:E, Movimientos!D:D, A243, Movimientos!C:C, "Ajuste", Movimientos!F:F, "TIN")),"")</f>
        <v/>
      </c>
      <c r="F243" s="6" t="str">
        <f aca="false">IFERROR(IF(A243="","",SUMIFS(Movimientos!E:E, Movimientos!D:D, A243, Movimientos!C:C, "Ingreso", Movimientos!G:G, "G1000")+SUMIFS(Movimientos!E:E, Movimientos!D:D, A243, Movimientos!C:C, "Traslado", Movimientos!G:G, "G1000")-SUMIFS(Movimientos!E:E, Movimientos!D:D, A243, Movimientos!C:C, "Traslado", Movimientos!F:F, "G1000")-SUMIFS(Movimientos!E:E, Movimientos!D:D, A243, Movimientos!C:C, "Egreso", Movimientos!F:F, "G1000")+SUMIFS(Movimientos!E:E, Movimientos!D:D, A243, Movimientos!C:C, "Ajuste", Movimientos!F:F, "G1000")),"")</f>
        <v/>
      </c>
      <c r="G243" s="6" t="str">
        <f aca="false">IFERROR(IF(A243="","",SUMIFS(Movimientos!E:E, Movimientos!D:D, A243, Movimientos!C:C, "Ingreso", Movimientos!G:G, "G710")+SUMIFS(Movimientos!E:E, Movimientos!D:D, A243, Movimientos!C:C, "Traslado", Movimientos!G:G, "G710")-SUMIFS(Movimientos!E:E, Movimientos!D:D, A243, Movimientos!C:C, "Traslado", Movimientos!F:F, "G710")-SUMIFS(Movimientos!E:E, Movimientos!D:D, A243, Movimientos!C:C, "Egreso", Movimientos!F:F, "G710")+SUMIFS(Movimientos!E:E, Movimientos!D:D, A243, Movimientos!C:C, "Ajuste", Movimientos!F:F, "G710")),"")</f>
        <v/>
      </c>
      <c r="H243" s="6" t="str">
        <f aca="false">IFERROR(IF(A243="","",SUMIFS(Movimientos!E:E, Movimientos!D:D, A243, Movimientos!C:C, "Ingreso", Movimientos!G:G, "G5000")+SUMIFS(Movimientos!E:E, Movimientos!D:D, A243, Movimientos!C:C, "Traslado", Movimientos!G:G, "G5000")-SUMIFS(Movimientos!E:E, Movimientos!D:D, A243, Movimientos!C:C, "Traslado", Movimientos!F:F, "G5000")-SUMIFS(Movimientos!E:E, Movimientos!D:D, A243, Movimientos!C:C, "Egreso", Movimientos!F:F, "G5000")+SUMIFS(Movimientos!E:E, Movimientos!D:D, A243, Movimientos!C:C, "Ajuste", Movimientos!F:F, "G5000")),"")</f>
        <v/>
      </c>
      <c r="I243" s="6" t="str">
        <f aca="false">IFERROR(IF(A243="","",SUMIFS(Movimientos!E:E, Movimientos!D:D, A243, Movimientos!C:C, "Ingreso", Movimientos!G:G, "G3")+SUMIFS(Movimientos!E:E, Movimientos!D:D, A243, Movimientos!C:C, "Traslado", Movimientos!G:G, "G3")-SUMIFS(Movimientos!E:E, Movimientos!D:D, A243, Movimientos!C:C, "Traslado", Movimientos!F:F, "G3")-SUMIFS(Movimientos!E:E, Movimientos!D:D, A243, Movimientos!C:C, "Egreso", Movimientos!F:F, "G3")+SUMIFS(Movimientos!E:E, Movimientos!D:D, A243, Movimientos!C:C, "Ajuste", Movimientos!F:F, "G3")),"")</f>
        <v/>
      </c>
      <c r="J243" s="6" t="str">
        <f aca="false">IFERROR(IF(A243="","",SUM(E243:I243)),"")</f>
        <v/>
      </c>
      <c r="K243" s="6" t="str">
        <f aca="false">IFERROR(IF(A243="","",SUMIFS(Movimientos!E:E, Movimientos!D:D, A243, Movimientos!C:C, "Reserva")-SUMIFS(Movimientos!E:E, Movimientos!D:D, A243, Movimientos!C:C, "Libera_Reserva")),"")</f>
        <v/>
      </c>
      <c r="L243" s="6" t="str">
        <f aca="false">IFERROR(IF(A243="","",J243-K243),"")</f>
        <v/>
      </c>
      <c r="M243" s="6" t="str">
        <f aca="false">IFERROR(IF(Productos!A243="","",Productos!G243),"")</f>
        <v/>
      </c>
      <c r="N243" s="6" t="str">
        <f aca="false">IFERROR(IF(A243="","",IF(L243&lt;M243,"BAJO STOCK","OK")),"")</f>
        <v/>
      </c>
    </row>
    <row r="244" customFormat="false" ht="15" hidden="false" customHeight="false" outlineLevel="0" collapsed="false">
      <c r="A244" s="0" t="str">
        <f aca="false">IFERROR(IF(Productos!A244="","",Productos!A244),"")</f>
        <v/>
      </c>
      <c r="B244" s="0" t="str">
        <f aca="false">IFERROR(IF(Productos!A244="","",Productos!B244),"")</f>
        <v/>
      </c>
      <c r="C244" s="0" t="str">
        <f aca="false">IFERROR(IF(Productos!A244="","",Productos!C244),"")</f>
        <v/>
      </c>
      <c r="D244" s="0" t="str">
        <f aca="false">IFERROR(IF(Productos!A244="","",Productos!E244),"")</f>
        <v/>
      </c>
      <c r="E244" s="6" t="str">
        <f aca="false">IFERROR(IF(A244="","",SUMIFS(Movimientos!E:E, Movimientos!D:D, A244, Movimientos!C:C, "Ingreso", Movimientos!G:G, "TIN")+SUMIFS(Movimientos!E:E, Movimientos!D:D, A244, Movimientos!C:C, "Traslado", Movimientos!G:G, "TIN")-SUMIFS(Movimientos!E:E, Movimientos!D:D, A244, Movimientos!C:C, "Traslado", Movimientos!F:F, "TIN")-SUMIFS(Movimientos!E:E, Movimientos!D:D, A244, Movimientos!C:C, "Egreso", Movimientos!F:F, "TIN")+SUMIFS(Movimientos!E:E, Movimientos!D:D, A244, Movimientos!C:C, "Ajuste", Movimientos!F:F, "TIN")),"")</f>
        <v/>
      </c>
      <c r="F244" s="6" t="str">
        <f aca="false">IFERROR(IF(A244="","",SUMIFS(Movimientos!E:E, Movimientos!D:D, A244, Movimientos!C:C, "Ingreso", Movimientos!G:G, "G1000")+SUMIFS(Movimientos!E:E, Movimientos!D:D, A244, Movimientos!C:C, "Traslado", Movimientos!G:G, "G1000")-SUMIFS(Movimientos!E:E, Movimientos!D:D, A244, Movimientos!C:C, "Traslado", Movimientos!F:F, "G1000")-SUMIFS(Movimientos!E:E, Movimientos!D:D, A244, Movimientos!C:C, "Egreso", Movimientos!F:F, "G1000")+SUMIFS(Movimientos!E:E, Movimientos!D:D, A244, Movimientos!C:C, "Ajuste", Movimientos!F:F, "G1000")),"")</f>
        <v/>
      </c>
      <c r="G244" s="6" t="str">
        <f aca="false">IFERROR(IF(A244="","",SUMIFS(Movimientos!E:E, Movimientos!D:D, A244, Movimientos!C:C, "Ingreso", Movimientos!G:G, "G710")+SUMIFS(Movimientos!E:E, Movimientos!D:D, A244, Movimientos!C:C, "Traslado", Movimientos!G:G, "G710")-SUMIFS(Movimientos!E:E, Movimientos!D:D, A244, Movimientos!C:C, "Traslado", Movimientos!F:F, "G710")-SUMIFS(Movimientos!E:E, Movimientos!D:D, A244, Movimientos!C:C, "Egreso", Movimientos!F:F, "G710")+SUMIFS(Movimientos!E:E, Movimientos!D:D, A244, Movimientos!C:C, "Ajuste", Movimientos!F:F, "G710")),"")</f>
        <v/>
      </c>
      <c r="H244" s="6" t="str">
        <f aca="false">IFERROR(IF(A244="","",SUMIFS(Movimientos!E:E, Movimientos!D:D, A244, Movimientos!C:C, "Ingreso", Movimientos!G:G, "G5000")+SUMIFS(Movimientos!E:E, Movimientos!D:D, A244, Movimientos!C:C, "Traslado", Movimientos!G:G, "G5000")-SUMIFS(Movimientos!E:E, Movimientos!D:D, A244, Movimientos!C:C, "Traslado", Movimientos!F:F, "G5000")-SUMIFS(Movimientos!E:E, Movimientos!D:D, A244, Movimientos!C:C, "Egreso", Movimientos!F:F, "G5000")+SUMIFS(Movimientos!E:E, Movimientos!D:D, A244, Movimientos!C:C, "Ajuste", Movimientos!F:F, "G5000")),"")</f>
        <v/>
      </c>
      <c r="I244" s="6" t="str">
        <f aca="false">IFERROR(IF(A244="","",SUMIFS(Movimientos!E:E, Movimientos!D:D, A244, Movimientos!C:C, "Ingreso", Movimientos!G:G, "G3")+SUMIFS(Movimientos!E:E, Movimientos!D:D, A244, Movimientos!C:C, "Traslado", Movimientos!G:G, "G3")-SUMIFS(Movimientos!E:E, Movimientos!D:D, A244, Movimientos!C:C, "Traslado", Movimientos!F:F, "G3")-SUMIFS(Movimientos!E:E, Movimientos!D:D, A244, Movimientos!C:C, "Egreso", Movimientos!F:F, "G3")+SUMIFS(Movimientos!E:E, Movimientos!D:D, A244, Movimientos!C:C, "Ajuste", Movimientos!F:F, "G3")),"")</f>
        <v/>
      </c>
      <c r="J244" s="6" t="str">
        <f aca="false">IFERROR(IF(A244="","",SUM(E244:I244)),"")</f>
        <v/>
      </c>
      <c r="K244" s="6" t="str">
        <f aca="false">IFERROR(IF(A244="","",SUMIFS(Movimientos!E:E, Movimientos!D:D, A244, Movimientos!C:C, "Reserva")-SUMIFS(Movimientos!E:E, Movimientos!D:D, A244, Movimientos!C:C, "Libera_Reserva")),"")</f>
        <v/>
      </c>
      <c r="L244" s="6" t="str">
        <f aca="false">IFERROR(IF(A244="","",J244-K244),"")</f>
        <v/>
      </c>
      <c r="M244" s="6" t="str">
        <f aca="false">IFERROR(IF(Productos!A244="","",Productos!G244),"")</f>
        <v/>
      </c>
      <c r="N244" s="6" t="str">
        <f aca="false">IFERROR(IF(A244="","",IF(L244&lt;M244,"BAJO STOCK","OK")),"")</f>
        <v/>
      </c>
    </row>
    <row r="245" customFormat="false" ht="15" hidden="false" customHeight="false" outlineLevel="0" collapsed="false">
      <c r="A245" s="0" t="str">
        <f aca="false">IFERROR(IF(Productos!A245="","",Productos!A245),"")</f>
        <v/>
      </c>
      <c r="B245" s="0" t="str">
        <f aca="false">IFERROR(IF(Productos!A245="","",Productos!B245),"")</f>
        <v/>
      </c>
      <c r="C245" s="0" t="str">
        <f aca="false">IFERROR(IF(Productos!A245="","",Productos!C245),"")</f>
        <v/>
      </c>
      <c r="D245" s="0" t="str">
        <f aca="false">IFERROR(IF(Productos!A245="","",Productos!E245),"")</f>
        <v/>
      </c>
      <c r="E245" s="6" t="str">
        <f aca="false">IFERROR(IF(A245="","",SUMIFS(Movimientos!E:E, Movimientos!D:D, A245, Movimientos!C:C, "Ingreso", Movimientos!G:G, "TIN")+SUMIFS(Movimientos!E:E, Movimientos!D:D, A245, Movimientos!C:C, "Traslado", Movimientos!G:G, "TIN")-SUMIFS(Movimientos!E:E, Movimientos!D:D, A245, Movimientos!C:C, "Traslado", Movimientos!F:F, "TIN")-SUMIFS(Movimientos!E:E, Movimientos!D:D, A245, Movimientos!C:C, "Egreso", Movimientos!F:F, "TIN")+SUMIFS(Movimientos!E:E, Movimientos!D:D, A245, Movimientos!C:C, "Ajuste", Movimientos!F:F, "TIN")),"")</f>
        <v/>
      </c>
      <c r="F245" s="6" t="str">
        <f aca="false">IFERROR(IF(A245="","",SUMIFS(Movimientos!E:E, Movimientos!D:D, A245, Movimientos!C:C, "Ingreso", Movimientos!G:G, "G1000")+SUMIFS(Movimientos!E:E, Movimientos!D:D, A245, Movimientos!C:C, "Traslado", Movimientos!G:G, "G1000")-SUMIFS(Movimientos!E:E, Movimientos!D:D, A245, Movimientos!C:C, "Traslado", Movimientos!F:F, "G1000")-SUMIFS(Movimientos!E:E, Movimientos!D:D, A245, Movimientos!C:C, "Egreso", Movimientos!F:F, "G1000")+SUMIFS(Movimientos!E:E, Movimientos!D:D, A245, Movimientos!C:C, "Ajuste", Movimientos!F:F, "G1000")),"")</f>
        <v/>
      </c>
      <c r="G245" s="6" t="str">
        <f aca="false">IFERROR(IF(A245="","",SUMIFS(Movimientos!E:E, Movimientos!D:D, A245, Movimientos!C:C, "Ingreso", Movimientos!G:G, "G710")+SUMIFS(Movimientos!E:E, Movimientos!D:D, A245, Movimientos!C:C, "Traslado", Movimientos!G:G, "G710")-SUMIFS(Movimientos!E:E, Movimientos!D:D, A245, Movimientos!C:C, "Traslado", Movimientos!F:F, "G710")-SUMIFS(Movimientos!E:E, Movimientos!D:D, A245, Movimientos!C:C, "Egreso", Movimientos!F:F, "G710")+SUMIFS(Movimientos!E:E, Movimientos!D:D, A245, Movimientos!C:C, "Ajuste", Movimientos!F:F, "G710")),"")</f>
        <v/>
      </c>
      <c r="H245" s="6" t="str">
        <f aca="false">IFERROR(IF(A245="","",SUMIFS(Movimientos!E:E, Movimientos!D:D, A245, Movimientos!C:C, "Ingreso", Movimientos!G:G, "G5000")+SUMIFS(Movimientos!E:E, Movimientos!D:D, A245, Movimientos!C:C, "Traslado", Movimientos!G:G, "G5000")-SUMIFS(Movimientos!E:E, Movimientos!D:D, A245, Movimientos!C:C, "Traslado", Movimientos!F:F, "G5000")-SUMIFS(Movimientos!E:E, Movimientos!D:D, A245, Movimientos!C:C, "Egreso", Movimientos!F:F, "G5000")+SUMIFS(Movimientos!E:E, Movimientos!D:D, A245, Movimientos!C:C, "Ajuste", Movimientos!F:F, "G5000")),"")</f>
        <v/>
      </c>
      <c r="I245" s="6" t="str">
        <f aca="false">IFERROR(IF(A245="","",SUMIFS(Movimientos!E:E, Movimientos!D:D, A245, Movimientos!C:C, "Ingreso", Movimientos!G:G, "G3")+SUMIFS(Movimientos!E:E, Movimientos!D:D, A245, Movimientos!C:C, "Traslado", Movimientos!G:G, "G3")-SUMIFS(Movimientos!E:E, Movimientos!D:D, A245, Movimientos!C:C, "Traslado", Movimientos!F:F, "G3")-SUMIFS(Movimientos!E:E, Movimientos!D:D, A245, Movimientos!C:C, "Egreso", Movimientos!F:F, "G3")+SUMIFS(Movimientos!E:E, Movimientos!D:D, A245, Movimientos!C:C, "Ajuste", Movimientos!F:F, "G3")),"")</f>
        <v/>
      </c>
      <c r="J245" s="6" t="str">
        <f aca="false">IFERROR(IF(A245="","",SUM(E245:I245)),"")</f>
        <v/>
      </c>
      <c r="K245" s="6" t="str">
        <f aca="false">IFERROR(IF(A245="","",SUMIFS(Movimientos!E:E, Movimientos!D:D, A245, Movimientos!C:C, "Reserva")-SUMIFS(Movimientos!E:E, Movimientos!D:D, A245, Movimientos!C:C, "Libera_Reserva")),"")</f>
        <v/>
      </c>
      <c r="L245" s="6" t="str">
        <f aca="false">IFERROR(IF(A245="","",J245-K245),"")</f>
        <v/>
      </c>
      <c r="M245" s="6" t="str">
        <f aca="false">IFERROR(IF(Productos!A245="","",Productos!G245),"")</f>
        <v/>
      </c>
      <c r="N245" s="6" t="str">
        <f aca="false">IFERROR(IF(A245="","",IF(L245&lt;M245,"BAJO STOCK","OK")),"")</f>
        <v/>
      </c>
    </row>
    <row r="246" customFormat="false" ht="15" hidden="false" customHeight="false" outlineLevel="0" collapsed="false">
      <c r="A246" s="0" t="str">
        <f aca="false">IFERROR(IF(Productos!A246="","",Productos!A246),"")</f>
        <v/>
      </c>
      <c r="B246" s="0" t="str">
        <f aca="false">IFERROR(IF(Productos!A246="","",Productos!B246),"")</f>
        <v/>
      </c>
      <c r="C246" s="0" t="str">
        <f aca="false">IFERROR(IF(Productos!A246="","",Productos!C246),"")</f>
        <v/>
      </c>
      <c r="D246" s="0" t="str">
        <f aca="false">IFERROR(IF(Productos!A246="","",Productos!E246),"")</f>
        <v/>
      </c>
      <c r="E246" s="6" t="str">
        <f aca="false">IFERROR(IF(A246="","",SUMIFS(Movimientos!E:E, Movimientos!D:D, A246, Movimientos!C:C, "Ingreso", Movimientos!G:G, "TIN")+SUMIFS(Movimientos!E:E, Movimientos!D:D, A246, Movimientos!C:C, "Traslado", Movimientos!G:G, "TIN")-SUMIFS(Movimientos!E:E, Movimientos!D:D, A246, Movimientos!C:C, "Traslado", Movimientos!F:F, "TIN")-SUMIFS(Movimientos!E:E, Movimientos!D:D, A246, Movimientos!C:C, "Egreso", Movimientos!F:F, "TIN")+SUMIFS(Movimientos!E:E, Movimientos!D:D, A246, Movimientos!C:C, "Ajuste", Movimientos!F:F, "TIN")),"")</f>
        <v/>
      </c>
      <c r="F246" s="6" t="str">
        <f aca="false">IFERROR(IF(A246="","",SUMIFS(Movimientos!E:E, Movimientos!D:D, A246, Movimientos!C:C, "Ingreso", Movimientos!G:G, "G1000")+SUMIFS(Movimientos!E:E, Movimientos!D:D, A246, Movimientos!C:C, "Traslado", Movimientos!G:G, "G1000")-SUMIFS(Movimientos!E:E, Movimientos!D:D, A246, Movimientos!C:C, "Traslado", Movimientos!F:F, "G1000")-SUMIFS(Movimientos!E:E, Movimientos!D:D, A246, Movimientos!C:C, "Egreso", Movimientos!F:F, "G1000")+SUMIFS(Movimientos!E:E, Movimientos!D:D, A246, Movimientos!C:C, "Ajuste", Movimientos!F:F, "G1000")),"")</f>
        <v/>
      </c>
      <c r="G246" s="6" t="str">
        <f aca="false">IFERROR(IF(A246="","",SUMIFS(Movimientos!E:E, Movimientos!D:D, A246, Movimientos!C:C, "Ingreso", Movimientos!G:G, "G710")+SUMIFS(Movimientos!E:E, Movimientos!D:D, A246, Movimientos!C:C, "Traslado", Movimientos!G:G, "G710")-SUMIFS(Movimientos!E:E, Movimientos!D:D, A246, Movimientos!C:C, "Traslado", Movimientos!F:F, "G710")-SUMIFS(Movimientos!E:E, Movimientos!D:D, A246, Movimientos!C:C, "Egreso", Movimientos!F:F, "G710")+SUMIFS(Movimientos!E:E, Movimientos!D:D, A246, Movimientos!C:C, "Ajuste", Movimientos!F:F, "G710")),"")</f>
        <v/>
      </c>
      <c r="H246" s="6" t="str">
        <f aca="false">IFERROR(IF(A246="","",SUMIFS(Movimientos!E:E, Movimientos!D:D, A246, Movimientos!C:C, "Ingreso", Movimientos!G:G, "G5000")+SUMIFS(Movimientos!E:E, Movimientos!D:D, A246, Movimientos!C:C, "Traslado", Movimientos!G:G, "G5000")-SUMIFS(Movimientos!E:E, Movimientos!D:D, A246, Movimientos!C:C, "Traslado", Movimientos!F:F, "G5000")-SUMIFS(Movimientos!E:E, Movimientos!D:D, A246, Movimientos!C:C, "Egreso", Movimientos!F:F, "G5000")+SUMIFS(Movimientos!E:E, Movimientos!D:D, A246, Movimientos!C:C, "Ajuste", Movimientos!F:F, "G5000")),"")</f>
        <v/>
      </c>
      <c r="I246" s="6" t="str">
        <f aca="false">IFERROR(IF(A246="","",SUMIFS(Movimientos!E:E, Movimientos!D:D, A246, Movimientos!C:C, "Ingreso", Movimientos!G:G, "G3")+SUMIFS(Movimientos!E:E, Movimientos!D:D, A246, Movimientos!C:C, "Traslado", Movimientos!G:G, "G3")-SUMIFS(Movimientos!E:E, Movimientos!D:D, A246, Movimientos!C:C, "Traslado", Movimientos!F:F, "G3")-SUMIFS(Movimientos!E:E, Movimientos!D:D, A246, Movimientos!C:C, "Egreso", Movimientos!F:F, "G3")+SUMIFS(Movimientos!E:E, Movimientos!D:D, A246, Movimientos!C:C, "Ajuste", Movimientos!F:F, "G3")),"")</f>
        <v/>
      </c>
      <c r="J246" s="6" t="str">
        <f aca="false">IFERROR(IF(A246="","",SUM(E246:I246)),"")</f>
        <v/>
      </c>
      <c r="K246" s="6" t="str">
        <f aca="false">IFERROR(IF(A246="","",SUMIFS(Movimientos!E:E, Movimientos!D:D, A246, Movimientos!C:C, "Reserva")-SUMIFS(Movimientos!E:E, Movimientos!D:D, A246, Movimientos!C:C, "Libera_Reserva")),"")</f>
        <v/>
      </c>
      <c r="L246" s="6" t="str">
        <f aca="false">IFERROR(IF(A246="","",J246-K246),"")</f>
        <v/>
      </c>
      <c r="M246" s="6" t="str">
        <f aca="false">IFERROR(IF(Productos!A246="","",Productos!G246),"")</f>
        <v/>
      </c>
      <c r="N246" s="6" t="str">
        <f aca="false">IFERROR(IF(A246="","",IF(L246&lt;M246,"BAJO STOCK","OK")),"")</f>
        <v/>
      </c>
    </row>
    <row r="247" customFormat="false" ht="15" hidden="false" customHeight="false" outlineLevel="0" collapsed="false">
      <c r="A247" s="0" t="str">
        <f aca="false">IFERROR(IF(Productos!A247="","",Productos!A247),"")</f>
        <v/>
      </c>
      <c r="B247" s="0" t="str">
        <f aca="false">IFERROR(IF(Productos!A247="","",Productos!B247),"")</f>
        <v/>
      </c>
      <c r="C247" s="0" t="str">
        <f aca="false">IFERROR(IF(Productos!A247="","",Productos!C247),"")</f>
        <v/>
      </c>
      <c r="D247" s="0" t="str">
        <f aca="false">IFERROR(IF(Productos!A247="","",Productos!E247),"")</f>
        <v/>
      </c>
      <c r="E247" s="6" t="str">
        <f aca="false">IFERROR(IF(A247="","",SUMIFS(Movimientos!E:E, Movimientos!D:D, A247, Movimientos!C:C, "Ingreso", Movimientos!G:G, "TIN")+SUMIFS(Movimientos!E:E, Movimientos!D:D, A247, Movimientos!C:C, "Traslado", Movimientos!G:G, "TIN")-SUMIFS(Movimientos!E:E, Movimientos!D:D, A247, Movimientos!C:C, "Traslado", Movimientos!F:F, "TIN")-SUMIFS(Movimientos!E:E, Movimientos!D:D, A247, Movimientos!C:C, "Egreso", Movimientos!F:F, "TIN")+SUMIFS(Movimientos!E:E, Movimientos!D:D, A247, Movimientos!C:C, "Ajuste", Movimientos!F:F, "TIN")),"")</f>
        <v/>
      </c>
      <c r="F247" s="6" t="str">
        <f aca="false">IFERROR(IF(A247="","",SUMIFS(Movimientos!E:E, Movimientos!D:D, A247, Movimientos!C:C, "Ingreso", Movimientos!G:G, "G1000")+SUMIFS(Movimientos!E:E, Movimientos!D:D, A247, Movimientos!C:C, "Traslado", Movimientos!G:G, "G1000")-SUMIFS(Movimientos!E:E, Movimientos!D:D, A247, Movimientos!C:C, "Traslado", Movimientos!F:F, "G1000")-SUMIFS(Movimientos!E:E, Movimientos!D:D, A247, Movimientos!C:C, "Egreso", Movimientos!F:F, "G1000")+SUMIFS(Movimientos!E:E, Movimientos!D:D, A247, Movimientos!C:C, "Ajuste", Movimientos!F:F, "G1000")),"")</f>
        <v/>
      </c>
      <c r="G247" s="6" t="str">
        <f aca="false">IFERROR(IF(A247="","",SUMIFS(Movimientos!E:E, Movimientos!D:D, A247, Movimientos!C:C, "Ingreso", Movimientos!G:G, "G710")+SUMIFS(Movimientos!E:E, Movimientos!D:D, A247, Movimientos!C:C, "Traslado", Movimientos!G:G, "G710")-SUMIFS(Movimientos!E:E, Movimientos!D:D, A247, Movimientos!C:C, "Traslado", Movimientos!F:F, "G710")-SUMIFS(Movimientos!E:E, Movimientos!D:D, A247, Movimientos!C:C, "Egreso", Movimientos!F:F, "G710")+SUMIFS(Movimientos!E:E, Movimientos!D:D, A247, Movimientos!C:C, "Ajuste", Movimientos!F:F, "G710")),"")</f>
        <v/>
      </c>
      <c r="H247" s="6" t="str">
        <f aca="false">IFERROR(IF(A247="","",SUMIFS(Movimientos!E:E, Movimientos!D:D, A247, Movimientos!C:C, "Ingreso", Movimientos!G:G, "G5000")+SUMIFS(Movimientos!E:E, Movimientos!D:D, A247, Movimientos!C:C, "Traslado", Movimientos!G:G, "G5000")-SUMIFS(Movimientos!E:E, Movimientos!D:D, A247, Movimientos!C:C, "Traslado", Movimientos!F:F, "G5000")-SUMIFS(Movimientos!E:E, Movimientos!D:D, A247, Movimientos!C:C, "Egreso", Movimientos!F:F, "G5000")+SUMIFS(Movimientos!E:E, Movimientos!D:D, A247, Movimientos!C:C, "Ajuste", Movimientos!F:F, "G5000")),"")</f>
        <v/>
      </c>
      <c r="I247" s="6" t="str">
        <f aca="false">IFERROR(IF(A247="","",SUMIFS(Movimientos!E:E, Movimientos!D:D, A247, Movimientos!C:C, "Ingreso", Movimientos!G:G, "G3")+SUMIFS(Movimientos!E:E, Movimientos!D:D, A247, Movimientos!C:C, "Traslado", Movimientos!G:G, "G3")-SUMIFS(Movimientos!E:E, Movimientos!D:D, A247, Movimientos!C:C, "Traslado", Movimientos!F:F, "G3")-SUMIFS(Movimientos!E:E, Movimientos!D:D, A247, Movimientos!C:C, "Egreso", Movimientos!F:F, "G3")+SUMIFS(Movimientos!E:E, Movimientos!D:D, A247, Movimientos!C:C, "Ajuste", Movimientos!F:F, "G3")),"")</f>
        <v/>
      </c>
      <c r="J247" s="6" t="str">
        <f aca="false">IFERROR(IF(A247="","",SUM(E247:I247)),"")</f>
        <v/>
      </c>
      <c r="K247" s="6" t="str">
        <f aca="false">IFERROR(IF(A247="","",SUMIFS(Movimientos!E:E, Movimientos!D:D, A247, Movimientos!C:C, "Reserva")-SUMIFS(Movimientos!E:E, Movimientos!D:D, A247, Movimientos!C:C, "Libera_Reserva")),"")</f>
        <v/>
      </c>
      <c r="L247" s="6" t="str">
        <f aca="false">IFERROR(IF(A247="","",J247-K247),"")</f>
        <v/>
      </c>
      <c r="M247" s="6" t="str">
        <f aca="false">IFERROR(IF(Productos!A247="","",Productos!G247),"")</f>
        <v/>
      </c>
      <c r="N247" s="6" t="str">
        <f aca="false">IFERROR(IF(A247="","",IF(L247&lt;M247,"BAJO STOCK","OK")),"")</f>
        <v/>
      </c>
    </row>
    <row r="248" customFormat="false" ht="15" hidden="false" customHeight="false" outlineLevel="0" collapsed="false">
      <c r="A248" s="0" t="str">
        <f aca="false">IFERROR(IF(Productos!A248="","",Productos!A248),"")</f>
        <v/>
      </c>
      <c r="B248" s="0" t="str">
        <f aca="false">IFERROR(IF(Productos!A248="","",Productos!B248),"")</f>
        <v/>
      </c>
      <c r="C248" s="0" t="str">
        <f aca="false">IFERROR(IF(Productos!A248="","",Productos!C248),"")</f>
        <v/>
      </c>
      <c r="D248" s="0" t="str">
        <f aca="false">IFERROR(IF(Productos!A248="","",Productos!E248),"")</f>
        <v/>
      </c>
      <c r="E248" s="6" t="str">
        <f aca="false">IFERROR(IF(A248="","",SUMIFS(Movimientos!E:E, Movimientos!D:D, A248, Movimientos!C:C, "Ingreso", Movimientos!G:G, "TIN")+SUMIFS(Movimientos!E:E, Movimientos!D:D, A248, Movimientos!C:C, "Traslado", Movimientos!G:G, "TIN")-SUMIFS(Movimientos!E:E, Movimientos!D:D, A248, Movimientos!C:C, "Traslado", Movimientos!F:F, "TIN")-SUMIFS(Movimientos!E:E, Movimientos!D:D, A248, Movimientos!C:C, "Egreso", Movimientos!F:F, "TIN")+SUMIFS(Movimientos!E:E, Movimientos!D:D, A248, Movimientos!C:C, "Ajuste", Movimientos!F:F, "TIN")),"")</f>
        <v/>
      </c>
      <c r="F248" s="6" t="str">
        <f aca="false">IFERROR(IF(A248="","",SUMIFS(Movimientos!E:E, Movimientos!D:D, A248, Movimientos!C:C, "Ingreso", Movimientos!G:G, "G1000")+SUMIFS(Movimientos!E:E, Movimientos!D:D, A248, Movimientos!C:C, "Traslado", Movimientos!G:G, "G1000")-SUMIFS(Movimientos!E:E, Movimientos!D:D, A248, Movimientos!C:C, "Traslado", Movimientos!F:F, "G1000")-SUMIFS(Movimientos!E:E, Movimientos!D:D, A248, Movimientos!C:C, "Egreso", Movimientos!F:F, "G1000")+SUMIFS(Movimientos!E:E, Movimientos!D:D, A248, Movimientos!C:C, "Ajuste", Movimientos!F:F, "G1000")),"")</f>
        <v/>
      </c>
      <c r="G248" s="6" t="str">
        <f aca="false">IFERROR(IF(A248="","",SUMIFS(Movimientos!E:E, Movimientos!D:D, A248, Movimientos!C:C, "Ingreso", Movimientos!G:G, "G710")+SUMIFS(Movimientos!E:E, Movimientos!D:D, A248, Movimientos!C:C, "Traslado", Movimientos!G:G, "G710")-SUMIFS(Movimientos!E:E, Movimientos!D:D, A248, Movimientos!C:C, "Traslado", Movimientos!F:F, "G710")-SUMIFS(Movimientos!E:E, Movimientos!D:D, A248, Movimientos!C:C, "Egreso", Movimientos!F:F, "G710")+SUMIFS(Movimientos!E:E, Movimientos!D:D, A248, Movimientos!C:C, "Ajuste", Movimientos!F:F, "G710")),"")</f>
        <v/>
      </c>
      <c r="H248" s="6" t="str">
        <f aca="false">IFERROR(IF(A248="","",SUMIFS(Movimientos!E:E, Movimientos!D:D, A248, Movimientos!C:C, "Ingreso", Movimientos!G:G, "G5000")+SUMIFS(Movimientos!E:E, Movimientos!D:D, A248, Movimientos!C:C, "Traslado", Movimientos!G:G, "G5000")-SUMIFS(Movimientos!E:E, Movimientos!D:D, A248, Movimientos!C:C, "Traslado", Movimientos!F:F, "G5000")-SUMIFS(Movimientos!E:E, Movimientos!D:D, A248, Movimientos!C:C, "Egreso", Movimientos!F:F, "G5000")+SUMIFS(Movimientos!E:E, Movimientos!D:D, A248, Movimientos!C:C, "Ajuste", Movimientos!F:F, "G5000")),"")</f>
        <v/>
      </c>
      <c r="I248" s="6" t="str">
        <f aca="false">IFERROR(IF(A248="","",SUMIFS(Movimientos!E:E, Movimientos!D:D, A248, Movimientos!C:C, "Ingreso", Movimientos!G:G, "G3")+SUMIFS(Movimientos!E:E, Movimientos!D:D, A248, Movimientos!C:C, "Traslado", Movimientos!G:G, "G3")-SUMIFS(Movimientos!E:E, Movimientos!D:D, A248, Movimientos!C:C, "Traslado", Movimientos!F:F, "G3")-SUMIFS(Movimientos!E:E, Movimientos!D:D, A248, Movimientos!C:C, "Egreso", Movimientos!F:F, "G3")+SUMIFS(Movimientos!E:E, Movimientos!D:D, A248, Movimientos!C:C, "Ajuste", Movimientos!F:F, "G3")),"")</f>
        <v/>
      </c>
      <c r="J248" s="6" t="str">
        <f aca="false">IFERROR(IF(A248="","",SUM(E248:I248)),"")</f>
        <v/>
      </c>
      <c r="K248" s="6" t="str">
        <f aca="false">IFERROR(IF(A248="","",SUMIFS(Movimientos!E:E, Movimientos!D:D, A248, Movimientos!C:C, "Reserva")-SUMIFS(Movimientos!E:E, Movimientos!D:D, A248, Movimientos!C:C, "Libera_Reserva")),"")</f>
        <v/>
      </c>
      <c r="L248" s="6" t="str">
        <f aca="false">IFERROR(IF(A248="","",J248-K248),"")</f>
        <v/>
      </c>
      <c r="M248" s="6" t="str">
        <f aca="false">IFERROR(IF(Productos!A248="","",Productos!G248),"")</f>
        <v/>
      </c>
      <c r="N248" s="6" t="str">
        <f aca="false">IFERROR(IF(A248="","",IF(L248&lt;M248,"BAJO STOCK","OK")),"")</f>
        <v/>
      </c>
    </row>
    <row r="249" customFormat="false" ht="15" hidden="false" customHeight="false" outlineLevel="0" collapsed="false">
      <c r="A249" s="0" t="str">
        <f aca="false">IFERROR(IF(Productos!A249="","",Productos!A249),"")</f>
        <v/>
      </c>
      <c r="B249" s="0" t="str">
        <f aca="false">IFERROR(IF(Productos!A249="","",Productos!B249),"")</f>
        <v/>
      </c>
      <c r="C249" s="0" t="str">
        <f aca="false">IFERROR(IF(Productos!A249="","",Productos!C249),"")</f>
        <v/>
      </c>
      <c r="D249" s="0" t="str">
        <f aca="false">IFERROR(IF(Productos!A249="","",Productos!E249),"")</f>
        <v/>
      </c>
      <c r="E249" s="6" t="str">
        <f aca="false">IFERROR(IF(A249="","",SUMIFS(Movimientos!E:E, Movimientos!D:D, A249, Movimientos!C:C, "Ingreso", Movimientos!G:G, "TIN")+SUMIFS(Movimientos!E:E, Movimientos!D:D, A249, Movimientos!C:C, "Traslado", Movimientos!G:G, "TIN")-SUMIFS(Movimientos!E:E, Movimientos!D:D, A249, Movimientos!C:C, "Traslado", Movimientos!F:F, "TIN")-SUMIFS(Movimientos!E:E, Movimientos!D:D, A249, Movimientos!C:C, "Egreso", Movimientos!F:F, "TIN")+SUMIFS(Movimientos!E:E, Movimientos!D:D, A249, Movimientos!C:C, "Ajuste", Movimientos!F:F, "TIN")),"")</f>
        <v/>
      </c>
      <c r="F249" s="6" t="str">
        <f aca="false">IFERROR(IF(A249="","",SUMIFS(Movimientos!E:E, Movimientos!D:D, A249, Movimientos!C:C, "Ingreso", Movimientos!G:G, "G1000")+SUMIFS(Movimientos!E:E, Movimientos!D:D, A249, Movimientos!C:C, "Traslado", Movimientos!G:G, "G1000")-SUMIFS(Movimientos!E:E, Movimientos!D:D, A249, Movimientos!C:C, "Traslado", Movimientos!F:F, "G1000")-SUMIFS(Movimientos!E:E, Movimientos!D:D, A249, Movimientos!C:C, "Egreso", Movimientos!F:F, "G1000")+SUMIFS(Movimientos!E:E, Movimientos!D:D, A249, Movimientos!C:C, "Ajuste", Movimientos!F:F, "G1000")),"")</f>
        <v/>
      </c>
      <c r="G249" s="6" t="str">
        <f aca="false">IFERROR(IF(A249="","",SUMIFS(Movimientos!E:E, Movimientos!D:D, A249, Movimientos!C:C, "Ingreso", Movimientos!G:G, "G710")+SUMIFS(Movimientos!E:E, Movimientos!D:D, A249, Movimientos!C:C, "Traslado", Movimientos!G:G, "G710")-SUMIFS(Movimientos!E:E, Movimientos!D:D, A249, Movimientos!C:C, "Traslado", Movimientos!F:F, "G710")-SUMIFS(Movimientos!E:E, Movimientos!D:D, A249, Movimientos!C:C, "Egreso", Movimientos!F:F, "G710")+SUMIFS(Movimientos!E:E, Movimientos!D:D, A249, Movimientos!C:C, "Ajuste", Movimientos!F:F, "G710")),"")</f>
        <v/>
      </c>
      <c r="H249" s="6" t="str">
        <f aca="false">IFERROR(IF(A249="","",SUMIFS(Movimientos!E:E, Movimientos!D:D, A249, Movimientos!C:C, "Ingreso", Movimientos!G:G, "G5000")+SUMIFS(Movimientos!E:E, Movimientos!D:D, A249, Movimientos!C:C, "Traslado", Movimientos!G:G, "G5000")-SUMIFS(Movimientos!E:E, Movimientos!D:D, A249, Movimientos!C:C, "Traslado", Movimientos!F:F, "G5000")-SUMIFS(Movimientos!E:E, Movimientos!D:D, A249, Movimientos!C:C, "Egreso", Movimientos!F:F, "G5000")+SUMIFS(Movimientos!E:E, Movimientos!D:D, A249, Movimientos!C:C, "Ajuste", Movimientos!F:F, "G5000")),"")</f>
        <v/>
      </c>
      <c r="I249" s="6" t="str">
        <f aca="false">IFERROR(IF(A249="","",SUMIFS(Movimientos!E:E, Movimientos!D:D, A249, Movimientos!C:C, "Ingreso", Movimientos!G:G, "G3")+SUMIFS(Movimientos!E:E, Movimientos!D:D, A249, Movimientos!C:C, "Traslado", Movimientos!G:G, "G3")-SUMIFS(Movimientos!E:E, Movimientos!D:D, A249, Movimientos!C:C, "Traslado", Movimientos!F:F, "G3")-SUMIFS(Movimientos!E:E, Movimientos!D:D, A249, Movimientos!C:C, "Egreso", Movimientos!F:F, "G3")+SUMIFS(Movimientos!E:E, Movimientos!D:D, A249, Movimientos!C:C, "Ajuste", Movimientos!F:F, "G3")),"")</f>
        <v/>
      </c>
      <c r="J249" s="6" t="str">
        <f aca="false">IFERROR(IF(A249="","",SUM(E249:I249)),"")</f>
        <v/>
      </c>
      <c r="K249" s="6" t="str">
        <f aca="false">IFERROR(IF(A249="","",SUMIFS(Movimientos!E:E, Movimientos!D:D, A249, Movimientos!C:C, "Reserva")-SUMIFS(Movimientos!E:E, Movimientos!D:D, A249, Movimientos!C:C, "Libera_Reserva")),"")</f>
        <v/>
      </c>
      <c r="L249" s="6" t="str">
        <f aca="false">IFERROR(IF(A249="","",J249-K249),"")</f>
        <v/>
      </c>
      <c r="M249" s="6" t="str">
        <f aca="false">IFERROR(IF(Productos!A249="","",Productos!G249),"")</f>
        <v/>
      </c>
      <c r="N249" s="6" t="str">
        <f aca="false">IFERROR(IF(A249="","",IF(L249&lt;M249,"BAJO STOCK","OK")),"")</f>
        <v/>
      </c>
    </row>
    <row r="250" customFormat="false" ht="15" hidden="false" customHeight="false" outlineLevel="0" collapsed="false">
      <c r="A250" s="0" t="str">
        <f aca="false">IFERROR(IF(Productos!A250="","",Productos!A250),"")</f>
        <v/>
      </c>
      <c r="B250" s="0" t="str">
        <f aca="false">IFERROR(IF(Productos!A250="","",Productos!B250),"")</f>
        <v/>
      </c>
      <c r="C250" s="0" t="str">
        <f aca="false">IFERROR(IF(Productos!A250="","",Productos!C250),"")</f>
        <v/>
      </c>
      <c r="D250" s="0" t="str">
        <f aca="false">IFERROR(IF(Productos!A250="","",Productos!E250),"")</f>
        <v/>
      </c>
      <c r="E250" s="6" t="str">
        <f aca="false">IFERROR(IF(A250="","",SUMIFS(Movimientos!E:E, Movimientos!D:D, A250, Movimientos!C:C, "Ingreso", Movimientos!G:G, "TIN")+SUMIFS(Movimientos!E:E, Movimientos!D:D, A250, Movimientos!C:C, "Traslado", Movimientos!G:G, "TIN")-SUMIFS(Movimientos!E:E, Movimientos!D:D, A250, Movimientos!C:C, "Traslado", Movimientos!F:F, "TIN")-SUMIFS(Movimientos!E:E, Movimientos!D:D, A250, Movimientos!C:C, "Egreso", Movimientos!F:F, "TIN")+SUMIFS(Movimientos!E:E, Movimientos!D:D, A250, Movimientos!C:C, "Ajuste", Movimientos!F:F, "TIN")),"")</f>
        <v/>
      </c>
      <c r="F250" s="6" t="str">
        <f aca="false">IFERROR(IF(A250="","",SUMIFS(Movimientos!E:E, Movimientos!D:D, A250, Movimientos!C:C, "Ingreso", Movimientos!G:G, "G1000")+SUMIFS(Movimientos!E:E, Movimientos!D:D, A250, Movimientos!C:C, "Traslado", Movimientos!G:G, "G1000")-SUMIFS(Movimientos!E:E, Movimientos!D:D, A250, Movimientos!C:C, "Traslado", Movimientos!F:F, "G1000")-SUMIFS(Movimientos!E:E, Movimientos!D:D, A250, Movimientos!C:C, "Egreso", Movimientos!F:F, "G1000")+SUMIFS(Movimientos!E:E, Movimientos!D:D, A250, Movimientos!C:C, "Ajuste", Movimientos!F:F, "G1000")),"")</f>
        <v/>
      </c>
      <c r="G250" s="6" t="str">
        <f aca="false">IFERROR(IF(A250="","",SUMIFS(Movimientos!E:E, Movimientos!D:D, A250, Movimientos!C:C, "Ingreso", Movimientos!G:G, "G710")+SUMIFS(Movimientos!E:E, Movimientos!D:D, A250, Movimientos!C:C, "Traslado", Movimientos!G:G, "G710")-SUMIFS(Movimientos!E:E, Movimientos!D:D, A250, Movimientos!C:C, "Traslado", Movimientos!F:F, "G710")-SUMIFS(Movimientos!E:E, Movimientos!D:D, A250, Movimientos!C:C, "Egreso", Movimientos!F:F, "G710")+SUMIFS(Movimientos!E:E, Movimientos!D:D, A250, Movimientos!C:C, "Ajuste", Movimientos!F:F, "G710")),"")</f>
        <v/>
      </c>
      <c r="H250" s="6" t="str">
        <f aca="false">IFERROR(IF(A250="","",SUMIFS(Movimientos!E:E, Movimientos!D:D, A250, Movimientos!C:C, "Ingreso", Movimientos!G:G, "G5000")+SUMIFS(Movimientos!E:E, Movimientos!D:D, A250, Movimientos!C:C, "Traslado", Movimientos!G:G, "G5000")-SUMIFS(Movimientos!E:E, Movimientos!D:D, A250, Movimientos!C:C, "Traslado", Movimientos!F:F, "G5000")-SUMIFS(Movimientos!E:E, Movimientos!D:D, A250, Movimientos!C:C, "Egreso", Movimientos!F:F, "G5000")+SUMIFS(Movimientos!E:E, Movimientos!D:D, A250, Movimientos!C:C, "Ajuste", Movimientos!F:F, "G5000")),"")</f>
        <v/>
      </c>
      <c r="I250" s="6" t="str">
        <f aca="false">IFERROR(IF(A250="","",SUMIFS(Movimientos!E:E, Movimientos!D:D, A250, Movimientos!C:C, "Ingreso", Movimientos!G:G, "G3")+SUMIFS(Movimientos!E:E, Movimientos!D:D, A250, Movimientos!C:C, "Traslado", Movimientos!G:G, "G3")-SUMIFS(Movimientos!E:E, Movimientos!D:D, A250, Movimientos!C:C, "Traslado", Movimientos!F:F, "G3")-SUMIFS(Movimientos!E:E, Movimientos!D:D, A250, Movimientos!C:C, "Egreso", Movimientos!F:F, "G3")+SUMIFS(Movimientos!E:E, Movimientos!D:D, A250, Movimientos!C:C, "Ajuste", Movimientos!F:F, "G3")),"")</f>
        <v/>
      </c>
      <c r="J250" s="6" t="str">
        <f aca="false">IFERROR(IF(A250="","",SUM(E250:I250)),"")</f>
        <v/>
      </c>
      <c r="K250" s="6" t="str">
        <f aca="false">IFERROR(IF(A250="","",SUMIFS(Movimientos!E:E, Movimientos!D:D, A250, Movimientos!C:C, "Reserva")-SUMIFS(Movimientos!E:E, Movimientos!D:D, A250, Movimientos!C:C, "Libera_Reserva")),"")</f>
        <v/>
      </c>
      <c r="L250" s="6" t="str">
        <f aca="false">IFERROR(IF(A250="","",J250-K250),"")</f>
        <v/>
      </c>
      <c r="M250" s="6" t="str">
        <f aca="false">IFERROR(IF(Productos!A250="","",Productos!G250),"")</f>
        <v/>
      </c>
      <c r="N250" s="6" t="str">
        <f aca="false">IFERROR(IF(A250="","",IF(L250&lt;M250,"BAJO STOCK","OK")),"")</f>
        <v/>
      </c>
    </row>
    <row r="251" customFormat="false" ht="15" hidden="false" customHeight="false" outlineLevel="0" collapsed="false">
      <c r="A251" s="0" t="str">
        <f aca="false">IFERROR(IF(Productos!A251="","",Productos!A251),"")</f>
        <v/>
      </c>
      <c r="B251" s="0" t="str">
        <f aca="false">IFERROR(IF(Productos!A251="","",Productos!B251),"")</f>
        <v/>
      </c>
      <c r="C251" s="0" t="str">
        <f aca="false">IFERROR(IF(Productos!A251="","",Productos!C251),"")</f>
        <v/>
      </c>
      <c r="D251" s="0" t="str">
        <f aca="false">IFERROR(IF(Productos!A251="","",Productos!E251),"")</f>
        <v/>
      </c>
      <c r="E251" s="6" t="str">
        <f aca="false">IFERROR(IF(A251="","",SUMIFS(Movimientos!E:E, Movimientos!D:D, A251, Movimientos!C:C, "Ingreso", Movimientos!G:G, "TIN")+SUMIFS(Movimientos!E:E, Movimientos!D:D, A251, Movimientos!C:C, "Traslado", Movimientos!G:G, "TIN")-SUMIFS(Movimientos!E:E, Movimientos!D:D, A251, Movimientos!C:C, "Traslado", Movimientos!F:F, "TIN")-SUMIFS(Movimientos!E:E, Movimientos!D:D, A251, Movimientos!C:C, "Egreso", Movimientos!F:F, "TIN")+SUMIFS(Movimientos!E:E, Movimientos!D:D, A251, Movimientos!C:C, "Ajuste", Movimientos!F:F, "TIN")),"")</f>
        <v/>
      </c>
      <c r="F251" s="6" t="str">
        <f aca="false">IFERROR(IF(A251="","",SUMIFS(Movimientos!E:E, Movimientos!D:D, A251, Movimientos!C:C, "Ingreso", Movimientos!G:G, "G1000")+SUMIFS(Movimientos!E:E, Movimientos!D:D, A251, Movimientos!C:C, "Traslado", Movimientos!G:G, "G1000")-SUMIFS(Movimientos!E:E, Movimientos!D:D, A251, Movimientos!C:C, "Traslado", Movimientos!F:F, "G1000")-SUMIFS(Movimientos!E:E, Movimientos!D:D, A251, Movimientos!C:C, "Egreso", Movimientos!F:F, "G1000")+SUMIFS(Movimientos!E:E, Movimientos!D:D, A251, Movimientos!C:C, "Ajuste", Movimientos!F:F, "G1000")),"")</f>
        <v/>
      </c>
      <c r="G251" s="6" t="str">
        <f aca="false">IFERROR(IF(A251="","",SUMIFS(Movimientos!E:E, Movimientos!D:D, A251, Movimientos!C:C, "Ingreso", Movimientos!G:G, "G710")+SUMIFS(Movimientos!E:E, Movimientos!D:D, A251, Movimientos!C:C, "Traslado", Movimientos!G:G, "G710")-SUMIFS(Movimientos!E:E, Movimientos!D:D, A251, Movimientos!C:C, "Traslado", Movimientos!F:F, "G710")-SUMIFS(Movimientos!E:E, Movimientos!D:D, A251, Movimientos!C:C, "Egreso", Movimientos!F:F, "G710")+SUMIFS(Movimientos!E:E, Movimientos!D:D, A251, Movimientos!C:C, "Ajuste", Movimientos!F:F, "G710")),"")</f>
        <v/>
      </c>
      <c r="H251" s="6" t="str">
        <f aca="false">IFERROR(IF(A251="","",SUMIFS(Movimientos!E:E, Movimientos!D:D, A251, Movimientos!C:C, "Ingreso", Movimientos!G:G, "G5000")+SUMIFS(Movimientos!E:E, Movimientos!D:D, A251, Movimientos!C:C, "Traslado", Movimientos!G:G, "G5000")-SUMIFS(Movimientos!E:E, Movimientos!D:D, A251, Movimientos!C:C, "Traslado", Movimientos!F:F, "G5000")-SUMIFS(Movimientos!E:E, Movimientos!D:D, A251, Movimientos!C:C, "Egreso", Movimientos!F:F, "G5000")+SUMIFS(Movimientos!E:E, Movimientos!D:D, A251, Movimientos!C:C, "Ajuste", Movimientos!F:F, "G5000")),"")</f>
        <v/>
      </c>
      <c r="I251" s="6" t="str">
        <f aca="false">IFERROR(IF(A251="","",SUMIFS(Movimientos!E:E, Movimientos!D:D, A251, Movimientos!C:C, "Ingreso", Movimientos!G:G, "G3")+SUMIFS(Movimientos!E:E, Movimientos!D:D, A251, Movimientos!C:C, "Traslado", Movimientos!G:G, "G3")-SUMIFS(Movimientos!E:E, Movimientos!D:D, A251, Movimientos!C:C, "Traslado", Movimientos!F:F, "G3")-SUMIFS(Movimientos!E:E, Movimientos!D:D, A251, Movimientos!C:C, "Egreso", Movimientos!F:F, "G3")+SUMIFS(Movimientos!E:E, Movimientos!D:D, A251, Movimientos!C:C, "Ajuste", Movimientos!F:F, "G3")),"")</f>
        <v/>
      </c>
      <c r="J251" s="6" t="str">
        <f aca="false">IFERROR(IF(A251="","",SUM(E251:I251)),"")</f>
        <v/>
      </c>
      <c r="K251" s="6" t="str">
        <f aca="false">IFERROR(IF(A251="","",SUMIFS(Movimientos!E:E, Movimientos!D:D, A251, Movimientos!C:C, "Reserva")-SUMIFS(Movimientos!E:E, Movimientos!D:D, A251, Movimientos!C:C, "Libera_Reserva")),"")</f>
        <v/>
      </c>
      <c r="L251" s="6" t="str">
        <f aca="false">IFERROR(IF(A251="","",J251-K251),"")</f>
        <v/>
      </c>
      <c r="M251" s="6" t="str">
        <f aca="false">IFERROR(IF(Productos!A251="","",Productos!G251),"")</f>
        <v/>
      </c>
      <c r="N251" s="6" t="str">
        <f aca="false">IFERROR(IF(A251="","",IF(L251&lt;M251,"BAJO STOCK","OK")),"")</f>
        <v/>
      </c>
    </row>
    <row r="252" customFormat="false" ht="15" hidden="false" customHeight="false" outlineLevel="0" collapsed="false">
      <c r="A252" s="0" t="str">
        <f aca="false">IFERROR(IF(Productos!A252="","",Productos!A252),"")</f>
        <v/>
      </c>
      <c r="B252" s="0" t="str">
        <f aca="false">IFERROR(IF(Productos!A252="","",Productos!B252),"")</f>
        <v/>
      </c>
      <c r="C252" s="0" t="str">
        <f aca="false">IFERROR(IF(Productos!A252="","",Productos!C252),"")</f>
        <v/>
      </c>
      <c r="D252" s="0" t="str">
        <f aca="false">IFERROR(IF(Productos!A252="","",Productos!E252),"")</f>
        <v/>
      </c>
      <c r="E252" s="6" t="str">
        <f aca="false">IFERROR(IF(A252="","",SUMIFS(Movimientos!E:E, Movimientos!D:D, A252, Movimientos!C:C, "Ingreso", Movimientos!G:G, "TIN")+SUMIFS(Movimientos!E:E, Movimientos!D:D, A252, Movimientos!C:C, "Traslado", Movimientos!G:G, "TIN")-SUMIFS(Movimientos!E:E, Movimientos!D:D, A252, Movimientos!C:C, "Traslado", Movimientos!F:F, "TIN")-SUMIFS(Movimientos!E:E, Movimientos!D:D, A252, Movimientos!C:C, "Egreso", Movimientos!F:F, "TIN")+SUMIFS(Movimientos!E:E, Movimientos!D:D, A252, Movimientos!C:C, "Ajuste", Movimientos!F:F, "TIN")),"")</f>
        <v/>
      </c>
      <c r="F252" s="6" t="str">
        <f aca="false">IFERROR(IF(A252="","",SUMIFS(Movimientos!E:E, Movimientos!D:D, A252, Movimientos!C:C, "Ingreso", Movimientos!G:G, "G1000")+SUMIFS(Movimientos!E:E, Movimientos!D:D, A252, Movimientos!C:C, "Traslado", Movimientos!G:G, "G1000")-SUMIFS(Movimientos!E:E, Movimientos!D:D, A252, Movimientos!C:C, "Traslado", Movimientos!F:F, "G1000")-SUMIFS(Movimientos!E:E, Movimientos!D:D, A252, Movimientos!C:C, "Egreso", Movimientos!F:F, "G1000")+SUMIFS(Movimientos!E:E, Movimientos!D:D, A252, Movimientos!C:C, "Ajuste", Movimientos!F:F, "G1000")),"")</f>
        <v/>
      </c>
      <c r="G252" s="6" t="str">
        <f aca="false">IFERROR(IF(A252="","",SUMIFS(Movimientos!E:E, Movimientos!D:D, A252, Movimientos!C:C, "Ingreso", Movimientos!G:G, "G710")+SUMIFS(Movimientos!E:E, Movimientos!D:D, A252, Movimientos!C:C, "Traslado", Movimientos!G:G, "G710")-SUMIFS(Movimientos!E:E, Movimientos!D:D, A252, Movimientos!C:C, "Traslado", Movimientos!F:F, "G710")-SUMIFS(Movimientos!E:E, Movimientos!D:D, A252, Movimientos!C:C, "Egreso", Movimientos!F:F, "G710")+SUMIFS(Movimientos!E:E, Movimientos!D:D, A252, Movimientos!C:C, "Ajuste", Movimientos!F:F, "G710")),"")</f>
        <v/>
      </c>
      <c r="H252" s="6" t="str">
        <f aca="false">IFERROR(IF(A252="","",SUMIFS(Movimientos!E:E, Movimientos!D:D, A252, Movimientos!C:C, "Ingreso", Movimientos!G:G, "G5000")+SUMIFS(Movimientos!E:E, Movimientos!D:D, A252, Movimientos!C:C, "Traslado", Movimientos!G:G, "G5000")-SUMIFS(Movimientos!E:E, Movimientos!D:D, A252, Movimientos!C:C, "Traslado", Movimientos!F:F, "G5000")-SUMIFS(Movimientos!E:E, Movimientos!D:D, A252, Movimientos!C:C, "Egreso", Movimientos!F:F, "G5000")+SUMIFS(Movimientos!E:E, Movimientos!D:D, A252, Movimientos!C:C, "Ajuste", Movimientos!F:F, "G5000")),"")</f>
        <v/>
      </c>
      <c r="I252" s="6" t="str">
        <f aca="false">IFERROR(IF(A252="","",SUMIFS(Movimientos!E:E, Movimientos!D:D, A252, Movimientos!C:C, "Ingreso", Movimientos!G:G, "G3")+SUMIFS(Movimientos!E:E, Movimientos!D:D, A252, Movimientos!C:C, "Traslado", Movimientos!G:G, "G3")-SUMIFS(Movimientos!E:E, Movimientos!D:D, A252, Movimientos!C:C, "Traslado", Movimientos!F:F, "G3")-SUMIFS(Movimientos!E:E, Movimientos!D:D, A252, Movimientos!C:C, "Egreso", Movimientos!F:F, "G3")+SUMIFS(Movimientos!E:E, Movimientos!D:D, A252, Movimientos!C:C, "Ajuste", Movimientos!F:F, "G3")),"")</f>
        <v/>
      </c>
      <c r="J252" s="6" t="str">
        <f aca="false">IFERROR(IF(A252="","",SUM(E252:I252)),"")</f>
        <v/>
      </c>
      <c r="K252" s="6" t="str">
        <f aca="false">IFERROR(IF(A252="","",SUMIFS(Movimientos!E:E, Movimientos!D:D, A252, Movimientos!C:C, "Reserva")-SUMIFS(Movimientos!E:E, Movimientos!D:D, A252, Movimientos!C:C, "Libera_Reserva")),"")</f>
        <v/>
      </c>
      <c r="L252" s="6" t="str">
        <f aca="false">IFERROR(IF(A252="","",J252-K252),"")</f>
        <v/>
      </c>
      <c r="M252" s="6" t="str">
        <f aca="false">IFERROR(IF(Productos!A252="","",Productos!G252),"")</f>
        <v/>
      </c>
      <c r="N252" s="6" t="str">
        <f aca="false">IFERROR(IF(A252="","",IF(L252&lt;M252,"BAJO STOCK","OK")),"")</f>
        <v/>
      </c>
    </row>
    <row r="253" customFormat="false" ht="15" hidden="false" customHeight="false" outlineLevel="0" collapsed="false">
      <c r="A253" s="0" t="str">
        <f aca="false">IFERROR(IF(Productos!A253="","",Productos!A253),"")</f>
        <v/>
      </c>
      <c r="B253" s="0" t="str">
        <f aca="false">IFERROR(IF(Productos!A253="","",Productos!B253),"")</f>
        <v/>
      </c>
      <c r="C253" s="0" t="str">
        <f aca="false">IFERROR(IF(Productos!A253="","",Productos!C253),"")</f>
        <v/>
      </c>
      <c r="D253" s="0" t="str">
        <f aca="false">IFERROR(IF(Productos!A253="","",Productos!E253),"")</f>
        <v/>
      </c>
      <c r="E253" s="6" t="str">
        <f aca="false">IFERROR(IF(A253="","",SUMIFS(Movimientos!E:E, Movimientos!D:D, A253, Movimientos!C:C, "Ingreso", Movimientos!G:G, "TIN")+SUMIFS(Movimientos!E:E, Movimientos!D:D, A253, Movimientos!C:C, "Traslado", Movimientos!G:G, "TIN")-SUMIFS(Movimientos!E:E, Movimientos!D:D, A253, Movimientos!C:C, "Traslado", Movimientos!F:F, "TIN")-SUMIFS(Movimientos!E:E, Movimientos!D:D, A253, Movimientos!C:C, "Egreso", Movimientos!F:F, "TIN")+SUMIFS(Movimientos!E:E, Movimientos!D:D, A253, Movimientos!C:C, "Ajuste", Movimientos!F:F, "TIN")),"")</f>
        <v/>
      </c>
      <c r="F253" s="6" t="str">
        <f aca="false">IFERROR(IF(A253="","",SUMIFS(Movimientos!E:E, Movimientos!D:D, A253, Movimientos!C:C, "Ingreso", Movimientos!G:G, "G1000")+SUMIFS(Movimientos!E:E, Movimientos!D:D, A253, Movimientos!C:C, "Traslado", Movimientos!G:G, "G1000")-SUMIFS(Movimientos!E:E, Movimientos!D:D, A253, Movimientos!C:C, "Traslado", Movimientos!F:F, "G1000")-SUMIFS(Movimientos!E:E, Movimientos!D:D, A253, Movimientos!C:C, "Egreso", Movimientos!F:F, "G1000")+SUMIFS(Movimientos!E:E, Movimientos!D:D, A253, Movimientos!C:C, "Ajuste", Movimientos!F:F, "G1000")),"")</f>
        <v/>
      </c>
      <c r="G253" s="6" t="str">
        <f aca="false">IFERROR(IF(A253="","",SUMIFS(Movimientos!E:E, Movimientos!D:D, A253, Movimientos!C:C, "Ingreso", Movimientos!G:G, "G710")+SUMIFS(Movimientos!E:E, Movimientos!D:D, A253, Movimientos!C:C, "Traslado", Movimientos!G:G, "G710")-SUMIFS(Movimientos!E:E, Movimientos!D:D, A253, Movimientos!C:C, "Traslado", Movimientos!F:F, "G710")-SUMIFS(Movimientos!E:E, Movimientos!D:D, A253, Movimientos!C:C, "Egreso", Movimientos!F:F, "G710")+SUMIFS(Movimientos!E:E, Movimientos!D:D, A253, Movimientos!C:C, "Ajuste", Movimientos!F:F, "G710")),"")</f>
        <v/>
      </c>
      <c r="H253" s="6" t="str">
        <f aca="false">IFERROR(IF(A253="","",SUMIFS(Movimientos!E:E, Movimientos!D:D, A253, Movimientos!C:C, "Ingreso", Movimientos!G:G, "G5000")+SUMIFS(Movimientos!E:E, Movimientos!D:D, A253, Movimientos!C:C, "Traslado", Movimientos!G:G, "G5000")-SUMIFS(Movimientos!E:E, Movimientos!D:D, A253, Movimientos!C:C, "Traslado", Movimientos!F:F, "G5000")-SUMIFS(Movimientos!E:E, Movimientos!D:D, A253, Movimientos!C:C, "Egreso", Movimientos!F:F, "G5000")+SUMIFS(Movimientos!E:E, Movimientos!D:D, A253, Movimientos!C:C, "Ajuste", Movimientos!F:F, "G5000")),"")</f>
        <v/>
      </c>
      <c r="I253" s="6" t="str">
        <f aca="false">IFERROR(IF(A253="","",SUMIFS(Movimientos!E:E, Movimientos!D:D, A253, Movimientos!C:C, "Ingreso", Movimientos!G:G, "G3")+SUMIFS(Movimientos!E:E, Movimientos!D:D, A253, Movimientos!C:C, "Traslado", Movimientos!G:G, "G3")-SUMIFS(Movimientos!E:E, Movimientos!D:D, A253, Movimientos!C:C, "Traslado", Movimientos!F:F, "G3")-SUMIFS(Movimientos!E:E, Movimientos!D:D, A253, Movimientos!C:C, "Egreso", Movimientos!F:F, "G3")+SUMIFS(Movimientos!E:E, Movimientos!D:D, A253, Movimientos!C:C, "Ajuste", Movimientos!F:F, "G3")),"")</f>
        <v/>
      </c>
      <c r="J253" s="6" t="str">
        <f aca="false">IFERROR(IF(A253="","",SUM(E253:I253)),"")</f>
        <v/>
      </c>
      <c r="K253" s="6" t="str">
        <f aca="false">IFERROR(IF(A253="","",SUMIFS(Movimientos!E:E, Movimientos!D:D, A253, Movimientos!C:C, "Reserva")-SUMIFS(Movimientos!E:E, Movimientos!D:D, A253, Movimientos!C:C, "Libera_Reserva")),"")</f>
        <v/>
      </c>
      <c r="L253" s="6" t="str">
        <f aca="false">IFERROR(IF(A253="","",J253-K253),"")</f>
        <v/>
      </c>
      <c r="M253" s="6" t="str">
        <f aca="false">IFERROR(IF(Productos!A253="","",Productos!G253),"")</f>
        <v/>
      </c>
      <c r="N253" s="6" t="str">
        <f aca="false">IFERROR(IF(A253="","",IF(L253&lt;M253,"BAJO STOCK","OK")),"")</f>
        <v/>
      </c>
    </row>
    <row r="254" customFormat="false" ht="15" hidden="false" customHeight="false" outlineLevel="0" collapsed="false">
      <c r="A254" s="0" t="str">
        <f aca="false">IFERROR(IF(Productos!A254="","",Productos!A254),"")</f>
        <v/>
      </c>
      <c r="B254" s="0" t="str">
        <f aca="false">IFERROR(IF(Productos!A254="","",Productos!B254),"")</f>
        <v/>
      </c>
      <c r="C254" s="0" t="str">
        <f aca="false">IFERROR(IF(Productos!A254="","",Productos!C254),"")</f>
        <v/>
      </c>
      <c r="D254" s="0" t="str">
        <f aca="false">IFERROR(IF(Productos!A254="","",Productos!E254),"")</f>
        <v/>
      </c>
      <c r="E254" s="6" t="str">
        <f aca="false">IFERROR(IF(A254="","",SUMIFS(Movimientos!E:E, Movimientos!D:D, A254, Movimientos!C:C, "Ingreso", Movimientos!G:G, "TIN")+SUMIFS(Movimientos!E:E, Movimientos!D:D, A254, Movimientos!C:C, "Traslado", Movimientos!G:G, "TIN")-SUMIFS(Movimientos!E:E, Movimientos!D:D, A254, Movimientos!C:C, "Traslado", Movimientos!F:F, "TIN")-SUMIFS(Movimientos!E:E, Movimientos!D:D, A254, Movimientos!C:C, "Egreso", Movimientos!F:F, "TIN")+SUMIFS(Movimientos!E:E, Movimientos!D:D, A254, Movimientos!C:C, "Ajuste", Movimientos!F:F, "TIN")),"")</f>
        <v/>
      </c>
      <c r="F254" s="6" t="str">
        <f aca="false">IFERROR(IF(A254="","",SUMIFS(Movimientos!E:E, Movimientos!D:D, A254, Movimientos!C:C, "Ingreso", Movimientos!G:G, "G1000")+SUMIFS(Movimientos!E:E, Movimientos!D:D, A254, Movimientos!C:C, "Traslado", Movimientos!G:G, "G1000")-SUMIFS(Movimientos!E:E, Movimientos!D:D, A254, Movimientos!C:C, "Traslado", Movimientos!F:F, "G1000")-SUMIFS(Movimientos!E:E, Movimientos!D:D, A254, Movimientos!C:C, "Egreso", Movimientos!F:F, "G1000")+SUMIFS(Movimientos!E:E, Movimientos!D:D, A254, Movimientos!C:C, "Ajuste", Movimientos!F:F, "G1000")),"")</f>
        <v/>
      </c>
      <c r="G254" s="6" t="str">
        <f aca="false">IFERROR(IF(A254="","",SUMIFS(Movimientos!E:E, Movimientos!D:D, A254, Movimientos!C:C, "Ingreso", Movimientos!G:G, "G710")+SUMIFS(Movimientos!E:E, Movimientos!D:D, A254, Movimientos!C:C, "Traslado", Movimientos!G:G, "G710")-SUMIFS(Movimientos!E:E, Movimientos!D:D, A254, Movimientos!C:C, "Traslado", Movimientos!F:F, "G710")-SUMIFS(Movimientos!E:E, Movimientos!D:D, A254, Movimientos!C:C, "Egreso", Movimientos!F:F, "G710")+SUMIFS(Movimientos!E:E, Movimientos!D:D, A254, Movimientos!C:C, "Ajuste", Movimientos!F:F, "G710")),"")</f>
        <v/>
      </c>
      <c r="H254" s="6" t="str">
        <f aca="false">IFERROR(IF(A254="","",SUMIFS(Movimientos!E:E, Movimientos!D:D, A254, Movimientos!C:C, "Ingreso", Movimientos!G:G, "G5000")+SUMIFS(Movimientos!E:E, Movimientos!D:D, A254, Movimientos!C:C, "Traslado", Movimientos!G:G, "G5000")-SUMIFS(Movimientos!E:E, Movimientos!D:D, A254, Movimientos!C:C, "Traslado", Movimientos!F:F, "G5000")-SUMIFS(Movimientos!E:E, Movimientos!D:D, A254, Movimientos!C:C, "Egreso", Movimientos!F:F, "G5000")+SUMIFS(Movimientos!E:E, Movimientos!D:D, A254, Movimientos!C:C, "Ajuste", Movimientos!F:F, "G5000")),"")</f>
        <v/>
      </c>
      <c r="I254" s="6" t="str">
        <f aca="false">IFERROR(IF(A254="","",SUMIFS(Movimientos!E:E, Movimientos!D:D, A254, Movimientos!C:C, "Ingreso", Movimientos!G:G, "G3")+SUMIFS(Movimientos!E:E, Movimientos!D:D, A254, Movimientos!C:C, "Traslado", Movimientos!G:G, "G3")-SUMIFS(Movimientos!E:E, Movimientos!D:D, A254, Movimientos!C:C, "Traslado", Movimientos!F:F, "G3")-SUMIFS(Movimientos!E:E, Movimientos!D:D, A254, Movimientos!C:C, "Egreso", Movimientos!F:F, "G3")+SUMIFS(Movimientos!E:E, Movimientos!D:D, A254, Movimientos!C:C, "Ajuste", Movimientos!F:F, "G3")),"")</f>
        <v/>
      </c>
      <c r="J254" s="6" t="str">
        <f aca="false">IFERROR(IF(A254="","",SUM(E254:I254)),"")</f>
        <v/>
      </c>
      <c r="K254" s="6" t="str">
        <f aca="false">IFERROR(IF(A254="","",SUMIFS(Movimientos!E:E, Movimientos!D:D, A254, Movimientos!C:C, "Reserva")-SUMIFS(Movimientos!E:E, Movimientos!D:D, A254, Movimientos!C:C, "Libera_Reserva")),"")</f>
        <v/>
      </c>
      <c r="L254" s="6" t="str">
        <f aca="false">IFERROR(IF(A254="","",J254-K254),"")</f>
        <v/>
      </c>
      <c r="M254" s="6" t="str">
        <f aca="false">IFERROR(IF(Productos!A254="","",Productos!G254),"")</f>
        <v/>
      </c>
      <c r="N254" s="6" t="str">
        <f aca="false">IFERROR(IF(A254="","",IF(L254&lt;M254,"BAJO STOCK","OK")),"")</f>
        <v/>
      </c>
    </row>
    <row r="255" customFormat="false" ht="15" hidden="false" customHeight="false" outlineLevel="0" collapsed="false">
      <c r="A255" s="0" t="str">
        <f aca="false">IFERROR(IF(Productos!A255="","",Productos!A255),"")</f>
        <v/>
      </c>
      <c r="B255" s="0" t="str">
        <f aca="false">IFERROR(IF(Productos!A255="","",Productos!B255),"")</f>
        <v/>
      </c>
      <c r="C255" s="0" t="str">
        <f aca="false">IFERROR(IF(Productos!A255="","",Productos!C255),"")</f>
        <v/>
      </c>
      <c r="D255" s="0" t="str">
        <f aca="false">IFERROR(IF(Productos!A255="","",Productos!E255),"")</f>
        <v/>
      </c>
      <c r="E255" s="6" t="str">
        <f aca="false">IFERROR(IF(A255="","",SUMIFS(Movimientos!E:E, Movimientos!D:D, A255, Movimientos!C:C, "Ingreso", Movimientos!G:G, "TIN")+SUMIFS(Movimientos!E:E, Movimientos!D:D, A255, Movimientos!C:C, "Traslado", Movimientos!G:G, "TIN")-SUMIFS(Movimientos!E:E, Movimientos!D:D, A255, Movimientos!C:C, "Traslado", Movimientos!F:F, "TIN")-SUMIFS(Movimientos!E:E, Movimientos!D:D, A255, Movimientos!C:C, "Egreso", Movimientos!F:F, "TIN")+SUMIFS(Movimientos!E:E, Movimientos!D:D, A255, Movimientos!C:C, "Ajuste", Movimientos!F:F, "TIN")),"")</f>
        <v/>
      </c>
      <c r="F255" s="6" t="str">
        <f aca="false">IFERROR(IF(A255="","",SUMIFS(Movimientos!E:E, Movimientos!D:D, A255, Movimientos!C:C, "Ingreso", Movimientos!G:G, "G1000")+SUMIFS(Movimientos!E:E, Movimientos!D:D, A255, Movimientos!C:C, "Traslado", Movimientos!G:G, "G1000")-SUMIFS(Movimientos!E:E, Movimientos!D:D, A255, Movimientos!C:C, "Traslado", Movimientos!F:F, "G1000")-SUMIFS(Movimientos!E:E, Movimientos!D:D, A255, Movimientos!C:C, "Egreso", Movimientos!F:F, "G1000")+SUMIFS(Movimientos!E:E, Movimientos!D:D, A255, Movimientos!C:C, "Ajuste", Movimientos!F:F, "G1000")),"")</f>
        <v/>
      </c>
      <c r="G255" s="6" t="str">
        <f aca="false">IFERROR(IF(A255="","",SUMIFS(Movimientos!E:E, Movimientos!D:D, A255, Movimientos!C:C, "Ingreso", Movimientos!G:G, "G710")+SUMIFS(Movimientos!E:E, Movimientos!D:D, A255, Movimientos!C:C, "Traslado", Movimientos!G:G, "G710")-SUMIFS(Movimientos!E:E, Movimientos!D:D, A255, Movimientos!C:C, "Traslado", Movimientos!F:F, "G710")-SUMIFS(Movimientos!E:E, Movimientos!D:D, A255, Movimientos!C:C, "Egreso", Movimientos!F:F, "G710")+SUMIFS(Movimientos!E:E, Movimientos!D:D, A255, Movimientos!C:C, "Ajuste", Movimientos!F:F, "G710")),"")</f>
        <v/>
      </c>
      <c r="H255" s="6" t="str">
        <f aca="false">IFERROR(IF(A255="","",SUMIFS(Movimientos!E:E, Movimientos!D:D, A255, Movimientos!C:C, "Ingreso", Movimientos!G:G, "G5000")+SUMIFS(Movimientos!E:E, Movimientos!D:D, A255, Movimientos!C:C, "Traslado", Movimientos!G:G, "G5000")-SUMIFS(Movimientos!E:E, Movimientos!D:D, A255, Movimientos!C:C, "Traslado", Movimientos!F:F, "G5000")-SUMIFS(Movimientos!E:E, Movimientos!D:D, A255, Movimientos!C:C, "Egreso", Movimientos!F:F, "G5000")+SUMIFS(Movimientos!E:E, Movimientos!D:D, A255, Movimientos!C:C, "Ajuste", Movimientos!F:F, "G5000")),"")</f>
        <v/>
      </c>
      <c r="I255" s="6" t="str">
        <f aca="false">IFERROR(IF(A255="","",SUMIFS(Movimientos!E:E, Movimientos!D:D, A255, Movimientos!C:C, "Ingreso", Movimientos!G:G, "G3")+SUMIFS(Movimientos!E:E, Movimientos!D:D, A255, Movimientos!C:C, "Traslado", Movimientos!G:G, "G3")-SUMIFS(Movimientos!E:E, Movimientos!D:D, A255, Movimientos!C:C, "Traslado", Movimientos!F:F, "G3")-SUMIFS(Movimientos!E:E, Movimientos!D:D, A255, Movimientos!C:C, "Egreso", Movimientos!F:F, "G3")+SUMIFS(Movimientos!E:E, Movimientos!D:D, A255, Movimientos!C:C, "Ajuste", Movimientos!F:F, "G3")),"")</f>
        <v/>
      </c>
      <c r="J255" s="6" t="str">
        <f aca="false">IFERROR(IF(A255="","",SUM(E255:I255)),"")</f>
        <v/>
      </c>
      <c r="K255" s="6" t="str">
        <f aca="false">IFERROR(IF(A255="","",SUMIFS(Movimientos!E:E, Movimientos!D:D, A255, Movimientos!C:C, "Reserva")-SUMIFS(Movimientos!E:E, Movimientos!D:D, A255, Movimientos!C:C, "Libera_Reserva")),"")</f>
        <v/>
      </c>
      <c r="L255" s="6" t="str">
        <f aca="false">IFERROR(IF(A255="","",J255-K255),"")</f>
        <v/>
      </c>
      <c r="M255" s="6" t="str">
        <f aca="false">IFERROR(IF(Productos!A255="","",Productos!G255),"")</f>
        <v/>
      </c>
      <c r="N255" s="6" t="str">
        <f aca="false">IFERROR(IF(A255="","",IF(L255&lt;M255,"BAJO STOCK","OK")),"")</f>
        <v/>
      </c>
    </row>
    <row r="256" customFormat="false" ht="15" hidden="false" customHeight="false" outlineLevel="0" collapsed="false">
      <c r="A256" s="0" t="str">
        <f aca="false">IFERROR(IF(Productos!A256="","",Productos!A256),"")</f>
        <v/>
      </c>
      <c r="B256" s="0" t="str">
        <f aca="false">IFERROR(IF(Productos!A256="","",Productos!B256),"")</f>
        <v/>
      </c>
      <c r="C256" s="0" t="str">
        <f aca="false">IFERROR(IF(Productos!A256="","",Productos!C256),"")</f>
        <v/>
      </c>
      <c r="D256" s="0" t="str">
        <f aca="false">IFERROR(IF(Productos!A256="","",Productos!E256),"")</f>
        <v/>
      </c>
      <c r="E256" s="6" t="str">
        <f aca="false">IFERROR(IF(A256="","",SUMIFS(Movimientos!E:E, Movimientos!D:D, A256, Movimientos!C:C, "Ingreso", Movimientos!G:G, "TIN")+SUMIFS(Movimientos!E:E, Movimientos!D:D, A256, Movimientos!C:C, "Traslado", Movimientos!G:G, "TIN")-SUMIFS(Movimientos!E:E, Movimientos!D:D, A256, Movimientos!C:C, "Traslado", Movimientos!F:F, "TIN")-SUMIFS(Movimientos!E:E, Movimientos!D:D, A256, Movimientos!C:C, "Egreso", Movimientos!F:F, "TIN")+SUMIFS(Movimientos!E:E, Movimientos!D:D, A256, Movimientos!C:C, "Ajuste", Movimientos!F:F, "TIN")),"")</f>
        <v/>
      </c>
      <c r="F256" s="6" t="str">
        <f aca="false">IFERROR(IF(A256="","",SUMIFS(Movimientos!E:E, Movimientos!D:D, A256, Movimientos!C:C, "Ingreso", Movimientos!G:G, "G1000")+SUMIFS(Movimientos!E:E, Movimientos!D:D, A256, Movimientos!C:C, "Traslado", Movimientos!G:G, "G1000")-SUMIFS(Movimientos!E:E, Movimientos!D:D, A256, Movimientos!C:C, "Traslado", Movimientos!F:F, "G1000")-SUMIFS(Movimientos!E:E, Movimientos!D:D, A256, Movimientos!C:C, "Egreso", Movimientos!F:F, "G1000")+SUMIFS(Movimientos!E:E, Movimientos!D:D, A256, Movimientos!C:C, "Ajuste", Movimientos!F:F, "G1000")),"")</f>
        <v/>
      </c>
      <c r="G256" s="6" t="str">
        <f aca="false">IFERROR(IF(A256="","",SUMIFS(Movimientos!E:E, Movimientos!D:D, A256, Movimientos!C:C, "Ingreso", Movimientos!G:G, "G710")+SUMIFS(Movimientos!E:E, Movimientos!D:D, A256, Movimientos!C:C, "Traslado", Movimientos!G:G, "G710")-SUMIFS(Movimientos!E:E, Movimientos!D:D, A256, Movimientos!C:C, "Traslado", Movimientos!F:F, "G710")-SUMIFS(Movimientos!E:E, Movimientos!D:D, A256, Movimientos!C:C, "Egreso", Movimientos!F:F, "G710")+SUMIFS(Movimientos!E:E, Movimientos!D:D, A256, Movimientos!C:C, "Ajuste", Movimientos!F:F, "G710")),"")</f>
        <v/>
      </c>
      <c r="H256" s="6" t="str">
        <f aca="false">IFERROR(IF(A256="","",SUMIFS(Movimientos!E:E, Movimientos!D:D, A256, Movimientos!C:C, "Ingreso", Movimientos!G:G, "G5000")+SUMIFS(Movimientos!E:E, Movimientos!D:D, A256, Movimientos!C:C, "Traslado", Movimientos!G:G, "G5000")-SUMIFS(Movimientos!E:E, Movimientos!D:D, A256, Movimientos!C:C, "Traslado", Movimientos!F:F, "G5000")-SUMIFS(Movimientos!E:E, Movimientos!D:D, A256, Movimientos!C:C, "Egreso", Movimientos!F:F, "G5000")+SUMIFS(Movimientos!E:E, Movimientos!D:D, A256, Movimientos!C:C, "Ajuste", Movimientos!F:F, "G5000")),"")</f>
        <v/>
      </c>
      <c r="I256" s="6" t="str">
        <f aca="false">IFERROR(IF(A256="","",SUMIFS(Movimientos!E:E, Movimientos!D:D, A256, Movimientos!C:C, "Ingreso", Movimientos!G:G, "G3")+SUMIFS(Movimientos!E:E, Movimientos!D:D, A256, Movimientos!C:C, "Traslado", Movimientos!G:G, "G3")-SUMIFS(Movimientos!E:E, Movimientos!D:D, A256, Movimientos!C:C, "Traslado", Movimientos!F:F, "G3")-SUMIFS(Movimientos!E:E, Movimientos!D:D, A256, Movimientos!C:C, "Egreso", Movimientos!F:F, "G3")+SUMIFS(Movimientos!E:E, Movimientos!D:D, A256, Movimientos!C:C, "Ajuste", Movimientos!F:F, "G3")),"")</f>
        <v/>
      </c>
      <c r="J256" s="6" t="str">
        <f aca="false">IFERROR(IF(A256="","",SUM(E256:I256)),"")</f>
        <v/>
      </c>
      <c r="K256" s="6" t="str">
        <f aca="false">IFERROR(IF(A256="","",SUMIFS(Movimientos!E:E, Movimientos!D:D, A256, Movimientos!C:C, "Reserva")-SUMIFS(Movimientos!E:E, Movimientos!D:D, A256, Movimientos!C:C, "Libera_Reserva")),"")</f>
        <v/>
      </c>
      <c r="L256" s="6" t="str">
        <f aca="false">IFERROR(IF(A256="","",J256-K256),"")</f>
        <v/>
      </c>
      <c r="M256" s="6" t="str">
        <f aca="false">IFERROR(IF(Productos!A256="","",Productos!G256),"")</f>
        <v/>
      </c>
      <c r="N256" s="6" t="str">
        <f aca="false">IFERROR(IF(A256="","",IF(L256&lt;M256,"BAJO STOCK","OK")),"")</f>
        <v/>
      </c>
    </row>
    <row r="257" customFormat="false" ht="15" hidden="false" customHeight="false" outlineLevel="0" collapsed="false">
      <c r="A257" s="0" t="str">
        <f aca="false">IFERROR(IF(Productos!A257="","",Productos!A257),"")</f>
        <v/>
      </c>
      <c r="B257" s="0" t="str">
        <f aca="false">IFERROR(IF(Productos!A257="","",Productos!B257),"")</f>
        <v/>
      </c>
      <c r="C257" s="0" t="str">
        <f aca="false">IFERROR(IF(Productos!A257="","",Productos!C257),"")</f>
        <v/>
      </c>
      <c r="D257" s="0" t="str">
        <f aca="false">IFERROR(IF(Productos!A257="","",Productos!E257),"")</f>
        <v/>
      </c>
      <c r="E257" s="6" t="str">
        <f aca="false">IFERROR(IF(A257="","",SUMIFS(Movimientos!E:E, Movimientos!D:D, A257, Movimientos!C:C, "Ingreso", Movimientos!G:G, "TIN")+SUMIFS(Movimientos!E:E, Movimientos!D:D, A257, Movimientos!C:C, "Traslado", Movimientos!G:G, "TIN")-SUMIFS(Movimientos!E:E, Movimientos!D:D, A257, Movimientos!C:C, "Traslado", Movimientos!F:F, "TIN")-SUMIFS(Movimientos!E:E, Movimientos!D:D, A257, Movimientos!C:C, "Egreso", Movimientos!F:F, "TIN")+SUMIFS(Movimientos!E:E, Movimientos!D:D, A257, Movimientos!C:C, "Ajuste", Movimientos!F:F, "TIN")),"")</f>
        <v/>
      </c>
      <c r="F257" s="6" t="str">
        <f aca="false">IFERROR(IF(A257="","",SUMIFS(Movimientos!E:E, Movimientos!D:D, A257, Movimientos!C:C, "Ingreso", Movimientos!G:G, "G1000")+SUMIFS(Movimientos!E:E, Movimientos!D:D, A257, Movimientos!C:C, "Traslado", Movimientos!G:G, "G1000")-SUMIFS(Movimientos!E:E, Movimientos!D:D, A257, Movimientos!C:C, "Traslado", Movimientos!F:F, "G1000")-SUMIFS(Movimientos!E:E, Movimientos!D:D, A257, Movimientos!C:C, "Egreso", Movimientos!F:F, "G1000")+SUMIFS(Movimientos!E:E, Movimientos!D:D, A257, Movimientos!C:C, "Ajuste", Movimientos!F:F, "G1000")),"")</f>
        <v/>
      </c>
      <c r="G257" s="6" t="str">
        <f aca="false">IFERROR(IF(A257="","",SUMIFS(Movimientos!E:E, Movimientos!D:D, A257, Movimientos!C:C, "Ingreso", Movimientos!G:G, "G710")+SUMIFS(Movimientos!E:E, Movimientos!D:D, A257, Movimientos!C:C, "Traslado", Movimientos!G:G, "G710")-SUMIFS(Movimientos!E:E, Movimientos!D:D, A257, Movimientos!C:C, "Traslado", Movimientos!F:F, "G710")-SUMIFS(Movimientos!E:E, Movimientos!D:D, A257, Movimientos!C:C, "Egreso", Movimientos!F:F, "G710")+SUMIFS(Movimientos!E:E, Movimientos!D:D, A257, Movimientos!C:C, "Ajuste", Movimientos!F:F, "G710")),"")</f>
        <v/>
      </c>
      <c r="H257" s="6" t="str">
        <f aca="false">IFERROR(IF(A257="","",SUMIFS(Movimientos!E:E, Movimientos!D:D, A257, Movimientos!C:C, "Ingreso", Movimientos!G:G, "G5000")+SUMIFS(Movimientos!E:E, Movimientos!D:D, A257, Movimientos!C:C, "Traslado", Movimientos!G:G, "G5000")-SUMIFS(Movimientos!E:E, Movimientos!D:D, A257, Movimientos!C:C, "Traslado", Movimientos!F:F, "G5000")-SUMIFS(Movimientos!E:E, Movimientos!D:D, A257, Movimientos!C:C, "Egreso", Movimientos!F:F, "G5000")+SUMIFS(Movimientos!E:E, Movimientos!D:D, A257, Movimientos!C:C, "Ajuste", Movimientos!F:F, "G5000")),"")</f>
        <v/>
      </c>
      <c r="I257" s="6" t="str">
        <f aca="false">IFERROR(IF(A257="","",SUMIFS(Movimientos!E:E, Movimientos!D:D, A257, Movimientos!C:C, "Ingreso", Movimientos!G:G, "G3")+SUMIFS(Movimientos!E:E, Movimientos!D:D, A257, Movimientos!C:C, "Traslado", Movimientos!G:G, "G3")-SUMIFS(Movimientos!E:E, Movimientos!D:D, A257, Movimientos!C:C, "Traslado", Movimientos!F:F, "G3")-SUMIFS(Movimientos!E:E, Movimientos!D:D, A257, Movimientos!C:C, "Egreso", Movimientos!F:F, "G3")+SUMIFS(Movimientos!E:E, Movimientos!D:D, A257, Movimientos!C:C, "Ajuste", Movimientos!F:F, "G3")),"")</f>
        <v/>
      </c>
      <c r="J257" s="6" t="str">
        <f aca="false">IFERROR(IF(A257="","",SUM(E257:I257)),"")</f>
        <v/>
      </c>
      <c r="K257" s="6" t="str">
        <f aca="false">IFERROR(IF(A257="","",SUMIFS(Movimientos!E:E, Movimientos!D:D, A257, Movimientos!C:C, "Reserva")-SUMIFS(Movimientos!E:E, Movimientos!D:D, A257, Movimientos!C:C, "Libera_Reserva")),"")</f>
        <v/>
      </c>
      <c r="L257" s="6" t="str">
        <f aca="false">IFERROR(IF(A257="","",J257-K257),"")</f>
        <v/>
      </c>
      <c r="M257" s="6" t="str">
        <f aca="false">IFERROR(IF(Productos!A257="","",Productos!G257),"")</f>
        <v/>
      </c>
      <c r="N257" s="6" t="str">
        <f aca="false">IFERROR(IF(A257="","",IF(L257&lt;M257,"BAJO STOCK","OK")),"")</f>
        <v/>
      </c>
    </row>
    <row r="258" customFormat="false" ht="15" hidden="false" customHeight="false" outlineLevel="0" collapsed="false">
      <c r="A258" s="0" t="str">
        <f aca="false">IFERROR(IF(Productos!A258="","",Productos!A258),"")</f>
        <v/>
      </c>
      <c r="B258" s="0" t="str">
        <f aca="false">IFERROR(IF(Productos!A258="","",Productos!B258),"")</f>
        <v/>
      </c>
      <c r="C258" s="0" t="str">
        <f aca="false">IFERROR(IF(Productos!A258="","",Productos!C258),"")</f>
        <v/>
      </c>
      <c r="D258" s="0" t="str">
        <f aca="false">IFERROR(IF(Productos!A258="","",Productos!E258),"")</f>
        <v/>
      </c>
      <c r="E258" s="6" t="str">
        <f aca="false">IFERROR(IF(A258="","",SUMIFS(Movimientos!E:E, Movimientos!D:D, A258, Movimientos!C:C, "Ingreso", Movimientos!G:G, "TIN")+SUMIFS(Movimientos!E:E, Movimientos!D:D, A258, Movimientos!C:C, "Traslado", Movimientos!G:G, "TIN")-SUMIFS(Movimientos!E:E, Movimientos!D:D, A258, Movimientos!C:C, "Traslado", Movimientos!F:F, "TIN")-SUMIFS(Movimientos!E:E, Movimientos!D:D, A258, Movimientos!C:C, "Egreso", Movimientos!F:F, "TIN")+SUMIFS(Movimientos!E:E, Movimientos!D:D, A258, Movimientos!C:C, "Ajuste", Movimientos!F:F, "TIN")),"")</f>
        <v/>
      </c>
      <c r="F258" s="6" t="str">
        <f aca="false">IFERROR(IF(A258="","",SUMIFS(Movimientos!E:E, Movimientos!D:D, A258, Movimientos!C:C, "Ingreso", Movimientos!G:G, "G1000")+SUMIFS(Movimientos!E:E, Movimientos!D:D, A258, Movimientos!C:C, "Traslado", Movimientos!G:G, "G1000")-SUMIFS(Movimientos!E:E, Movimientos!D:D, A258, Movimientos!C:C, "Traslado", Movimientos!F:F, "G1000")-SUMIFS(Movimientos!E:E, Movimientos!D:D, A258, Movimientos!C:C, "Egreso", Movimientos!F:F, "G1000")+SUMIFS(Movimientos!E:E, Movimientos!D:D, A258, Movimientos!C:C, "Ajuste", Movimientos!F:F, "G1000")),"")</f>
        <v/>
      </c>
      <c r="G258" s="6" t="str">
        <f aca="false">IFERROR(IF(A258="","",SUMIFS(Movimientos!E:E, Movimientos!D:D, A258, Movimientos!C:C, "Ingreso", Movimientos!G:G, "G710")+SUMIFS(Movimientos!E:E, Movimientos!D:D, A258, Movimientos!C:C, "Traslado", Movimientos!G:G, "G710")-SUMIFS(Movimientos!E:E, Movimientos!D:D, A258, Movimientos!C:C, "Traslado", Movimientos!F:F, "G710")-SUMIFS(Movimientos!E:E, Movimientos!D:D, A258, Movimientos!C:C, "Egreso", Movimientos!F:F, "G710")+SUMIFS(Movimientos!E:E, Movimientos!D:D, A258, Movimientos!C:C, "Ajuste", Movimientos!F:F, "G710")),"")</f>
        <v/>
      </c>
      <c r="H258" s="6" t="str">
        <f aca="false">IFERROR(IF(A258="","",SUMIFS(Movimientos!E:E, Movimientos!D:D, A258, Movimientos!C:C, "Ingreso", Movimientos!G:G, "G5000")+SUMIFS(Movimientos!E:E, Movimientos!D:D, A258, Movimientos!C:C, "Traslado", Movimientos!G:G, "G5000")-SUMIFS(Movimientos!E:E, Movimientos!D:D, A258, Movimientos!C:C, "Traslado", Movimientos!F:F, "G5000")-SUMIFS(Movimientos!E:E, Movimientos!D:D, A258, Movimientos!C:C, "Egreso", Movimientos!F:F, "G5000")+SUMIFS(Movimientos!E:E, Movimientos!D:D, A258, Movimientos!C:C, "Ajuste", Movimientos!F:F, "G5000")),"")</f>
        <v/>
      </c>
      <c r="I258" s="6" t="str">
        <f aca="false">IFERROR(IF(A258="","",SUMIFS(Movimientos!E:E, Movimientos!D:D, A258, Movimientos!C:C, "Ingreso", Movimientos!G:G, "G3")+SUMIFS(Movimientos!E:E, Movimientos!D:D, A258, Movimientos!C:C, "Traslado", Movimientos!G:G, "G3")-SUMIFS(Movimientos!E:E, Movimientos!D:D, A258, Movimientos!C:C, "Traslado", Movimientos!F:F, "G3")-SUMIFS(Movimientos!E:E, Movimientos!D:D, A258, Movimientos!C:C, "Egreso", Movimientos!F:F, "G3")+SUMIFS(Movimientos!E:E, Movimientos!D:D, A258, Movimientos!C:C, "Ajuste", Movimientos!F:F, "G3")),"")</f>
        <v/>
      </c>
      <c r="J258" s="6" t="str">
        <f aca="false">IFERROR(IF(A258="","",SUM(E258:I258)),"")</f>
        <v/>
      </c>
      <c r="K258" s="6" t="str">
        <f aca="false">IFERROR(IF(A258="","",SUMIFS(Movimientos!E:E, Movimientos!D:D, A258, Movimientos!C:C, "Reserva")-SUMIFS(Movimientos!E:E, Movimientos!D:D, A258, Movimientos!C:C, "Libera_Reserva")),"")</f>
        <v/>
      </c>
      <c r="L258" s="6" t="str">
        <f aca="false">IFERROR(IF(A258="","",J258-K258),"")</f>
        <v/>
      </c>
      <c r="M258" s="6" t="str">
        <f aca="false">IFERROR(IF(Productos!A258="","",Productos!G258),"")</f>
        <v/>
      </c>
      <c r="N258" s="6" t="str">
        <f aca="false">IFERROR(IF(A258="","",IF(L258&lt;M258,"BAJO STOCK","OK")),"")</f>
        <v/>
      </c>
    </row>
    <row r="259" customFormat="false" ht="15" hidden="false" customHeight="false" outlineLevel="0" collapsed="false">
      <c r="A259" s="0" t="str">
        <f aca="false">IFERROR(IF(Productos!A259="","",Productos!A259),"")</f>
        <v/>
      </c>
      <c r="B259" s="0" t="str">
        <f aca="false">IFERROR(IF(Productos!A259="","",Productos!B259),"")</f>
        <v/>
      </c>
      <c r="C259" s="0" t="str">
        <f aca="false">IFERROR(IF(Productos!A259="","",Productos!C259),"")</f>
        <v/>
      </c>
      <c r="D259" s="0" t="str">
        <f aca="false">IFERROR(IF(Productos!A259="","",Productos!E259),"")</f>
        <v/>
      </c>
      <c r="E259" s="6" t="str">
        <f aca="false">IFERROR(IF(A259="","",SUMIFS(Movimientos!E:E, Movimientos!D:D, A259, Movimientos!C:C, "Ingreso", Movimientos!G:G, "TIN")+SUMIFS(Movimientos!E:E, Movimientos!D:D, A259, Movimientos!C:C, "Traslado", Movimientos!G:G, "TIN")-SUMIFS(Movimientos!E:E, Movimientos!D:D, A259, Movimientos!C:C, "Traslado", Movimientos!F:F, "TIN")-SUMIFS(Movimientos!E:E, Movimientos!D:D, A259, Movimientos!C:C, "Egreso", Movimientos!F:F, "TIN")+SUMIFS(Movimientos!E:E, Movimientos!D:D, A259, Movimientos!C:C, "Ajuste", Movimientos!F:F, "TIN")),"")</f>
        <v/>
      </c>
      <c r="F259" s="6" t="str">
        <f aca="false">IFERROR(IF(A259="","",SUMIFS(Movimientos!E:E, Movimientos!D:D, A259, Movimientos!C:C, "Ingreso", Movimientos!G:G, "G1000")+SUMIFS(Movimientos!E:E, Movimientos!D:D, A259, Movimientos!C:C, "Traslado", Movimientos!G:G, "G1000")-SUMIFS(Movimientos!E:E, Movimientos!D:D, A259, Movimientos!C:C, "Traslado", Movimientos!F:F, "G1000")-SUMIFS(Movimientos!E:E, Movimientos!D:D, A259, Movimientos!C:C, "Egreso", Movimientos!F:F, "G1000")+SUMIFS(Movimientos!E:E, Movimientos!D:D, A259, Movimientos!C:C, "Ajuste", Movimientos!F:F, "G1000")),"")</f>
        <v/>
      </c>
      <c r="G259" s="6" t="str">
        <f aca="false">IFERROR(IF(A259="","",SUMIFS(Movimientos!E:E, Movimientos!D:D, A259, Movimientos!C:C, "Ingreso", Movimientos!G:G, "G710")+SUMIFS(Movimientos!E:E, Movimientos!D:D, A259, Movimientos!C:C, "Traslado", Movimientos!G:G, "G710")-SUMIFS(Movimientos!E:E, Movimientos!D:D, A259, Movimientos!C:C, "Traslado", Movimientos!F:F, "G710")-SUMIFS(Movimientos!E:E, Movimientos!D:D, A259, Movimientos!C:C, "Egreso", Movimientos!F:F, "G710")+SUMIFS(Movimientos!E:E, Movimientos!D:D, A259, Movimientos!C:C, "Ajuste", Movimientos!F:F, "G710")),"")</f>
        <v/>
      </c>
      <c r="H259" s="6" t="str">
        <f aca="false">IFERROR(IF(A259="","",SUMIFS(Movimientos!E:E, Movimientos!D:D, A259, Movimientos!C:C, "Ingreso", Movimientos!G:G, "G5000")+SUMIFS(Movimientos!E:E, Movimientos!D:D, A259, Movimientos!C:C, "Traslado", Movimientos!G:G, "G5000")-SUMIFS(Movimientos!E:E, Movimientos!D:D, A259, Movimientos!C:C, "Traslado", Movimientos!F:F, "G5000")-SUMIFS(Movimientos!E:E, Movimientos!D:D, A259, Movimientos!C:C, "Egreso", Movimientos!F:F, "G5000")+SUMIFS(Movimientos!E:E, Movimientos!D:D, A259, Movimientos!C:C, "Ajuste", Movimientos!F:F, "G5000")),"")</f>
        <v/>
      </c>
      <c r="I259" s="6" t="str">
        <f aca="false">IFERROR(IF(A259="","",SUMIFS(Movimientos!E:E, Movimientos!D:D, A259, Movimientos!C:C, "Ingreso", Movimientos!G:G, "G3")+SUMIFS(Movimientos!E:E, Movimientos!D:D, A259, Movimientos!C:C, "Traslado", Movimientos!G:G, "G3")-SUMIFS(Movimientos!E:E, Movimientos!D:D, A259, Movimientos!C:C, "Traslado", Movimientos!F:F, "G3")-SUMIFS(Movimientos!E:E, Movimientos!D:D, A259, Movimientos!C:C, "Egreso", Movimientos!F:F, "G3")+SUMIFS(Movimientos!E:E, Movimientos!D:D, A259, Movimientos!C:C, "Ajuste", Movimientos!F:F, "G3")),"")</f>
        <v/>
      </c>
      <c r="J259" s="6" t="str">
        <f aca="false">IFERROR(IF(A259="","",SUM(E259:I259)),"")</f>
        <v/>
      </c>
      <c r="K259" s="6" t="str">
        <f aca="false">IFERROR(IF(A259="","",SUMIFS(Movimientos!E:E, Movimientos!D:D, A259, Movimientos!C:C, "Reserva")-SUMIFS(Movimientos!E:E, Movimientos!D:D, A259, Movimientos!C:C, "Libera_Reserva")),"")</f>
        <v/>
      </c>
      <c r="L259" s="6" t="str">
        <f aca="false">IFERROR(IF(A259="","",J259-K259),"")</f>
        <v/>
      </c>
      <c r="M259" s="6" t="str">
        <f aca="false">IFERROR(IF(Productos!A259="","",Productos!G259),"")</f>
        <v/>
      </c>
      <c r="N259" s="6" t="str">
        <f aca="false">IFERROR(IF(A259="","",IF(L259&lt;M259,"BAJO STOCK","OK")),"")</f>
        <v/>
      </c>
    </row>
    <row r="260" customFormat="false" ht="15" hidden="false" customHeight="false" outlineLevel="0" collapsed="false">
      <c r="A260" s="0" t="str">
        <f aca="false">IFERROR(IF(Productos!A260="","",Productos!A260),"")</f>
        <v/>
      </c>
      <c r="B260" s="0" t="str">
        <f aca="false">IFERROR(IF(Productos!A260="","",Productos!B260),"")</f>
        <v/>
      </c>
      <c r="C260" s="0" t="str">
        <f aca="false">IFERROR(IF(Productos!A260="","",Productos!C260),"")</f>
        <v/>
      </c>
      <c r="D260" s="0" t="str">
        <f aca="false">IFERROR(IF(Productos!A260="","",Productos!E260),"")</f>
        <v/>
      </c>
      <c r="E260" s="6" t="str">
        <f aca="false">IFERROR(IF(A260="","",SUMIFS(Movimientos!E:E, Movimientos!D:D, A260, Movimientos!C:C, "Ingreso", Movimientos!G:G, "TIN")+SUMIFS(Movimientos!E:E, Movimientos!D:D, A260, Movimientos!C:C, "Traslado", Movimientos!G:G, "TIN")-SUMIFS(Movimientos!E:E, Movimientos!D:D, A260, Movimientos!C:C, "Traslado", Movimientos!F:F, "TIN")-SUMIFS(Movimientos!E:E, Movimientos!D:D, A260, Movimientos!C:C, "Egreso", Movimientos!F:F, "TIN")+SUMIFS(Movimientos!E:E, Movimientos!D:D, A260, Movimientos!C:C, "Ajuste", Movimientos!F:F, "TIN")),"")</f>
        <v/>
      </c>
      <c r="F260" s="6" t="str">
        <f aca="false">IFERROR(IF(A260="","",SUMIFS(Movimientos!E:E, Movimientos!D:D, A260, Movimientos!C:C, "Ingreso", Movimientos!G:G, "G1000")+SUMIFS(Movimientos!E:E, Movimientos!D:D, A260, Movimientos!C:C, "Traslado", Movimientos!G:G, "G1000")-SUMIFS(Movimientos!E:E, Movimientos!D:D, A260, Movimientos!C:C, "Traslado", Movimientos!F:F, "G1000")-SUMIFS(Movimientos!E:E, Movimientos!D:D, A260, Movimientos!C:C, "Egreso", Movimientos!F:F, "G1000")+SUMIFS(Movimientos!E:E, Movimientos!D:D, A260, Movimientos!C:C, "Ajuste", Movimientos!F:F, "G1000")),"")</f>
        <v/>
      </c>
      <c r="G260" s="6" t="str">
        <f aca="false">IFERROR(IF(A260="","",SUMIFS(Movimientos!E:E, Movimientos!D:D, A260, Movimientos!C:C, "Ingreso", Movimientos!G:G, "G710")+SUMIFS(Movimientos!E:E, Movimientos!D:D, A260, Movimientos!C:C, "Traslado", Movimientos!G:G, "G710")-SUMIFS(Movimientos!E:E, Movimientos!D:D, A260, Movimientos!C:C, "Traslado", Movimientos!F:F, "G710")-SUMIFS(Movimientos!E:E, Movimientos!D:D, A260, Movimientos!C:C, "Egreso", Movimientos!F:F, "G710")+SUMIFS(Movimientos!E:E, Movimientos!D:D, A260, Movimientos!C:C, "Ajuste", Movimientos!F:F, "G710")),"")</f>
        <v/>
      </c>
      <c r="H260" s="6" t="str">
        <f aca="false">IFERROR(IF(A260="","",SUMIFS(Movimientos!E:E, Movimientos!D:D, A260, Movimientos!C:C, "Ingreso", Movimientos!G:G, "G5000")+SUMIFS(Movimientos!E:E, Movimientos!D:D, A260, Movimientos!C:C, "Traslado", Movimientos!G:G, "G5000")-SUMIFS(Movimientos!E:E, Movimientos!D:D, A260, Movimientos!C:C, "Traslado", Movimientos!F:F, "G5000")-SUMIFS(Movimientos!E:E, Movimientos!D:D, A260, Movimientos!C:C, "Egreso", Movimientos!F:F, "G5000")+SUMIFS(Movimientos!E:E, Movimientos!D:D, A260, Movimientos!C:C, "Ajuste", Movimientos!F:F, "G5000")),"")</f>
        <v/>
      </c>
      <c r="I260" s="6" t="str">
        <f aca="false">IFERROR(IF(A260="","",SUMIFS(Movimientos!E:E, Movimientos!D:D, A260, Movimientos!C:C, "Ingreso", Movimientos!G:G, "G3")+SUMIFS(Movimientos!E:E, Movimientos!D:D, A260, Movimientos!C:C, "Traslado", Movimientos!G:G, "G3")-SUMIFS(Movimientos!E:E, Movimientos!D:D, A260, Movimientos!C:C, "Traslado", Movimientos!F:F, "G3")-SUMIFS(Movimientos!E:E, Movimientos!D:D, A260, Movimientos!C:C, "Egreso", Movimientos!F:F, "G3")+SUMIFS(Movimientos!E:E, Movimientos!D:D, A260, Movimientos!C:C, "Ajuste", Movimientos!F:F, "G3")),"")</f>
        <v/>
      </c>
      <c r="J260" s="6" t="str">
        <f aca="false">IFERROR(IF(A260="","",SUM(E260:I260)),"")</f>
        <v/>
      </c>
      <c r="K260" s="6" t="str">
        <f aca="false">IFERROR(IF(A260="","",SUMIFS(Movimientos!E:E, Movimientos!D:D, A260, Movimientos!C:C, "Reserva")-SUMIFS(Movimientos!E:E, Movimientos!D:D, A260, Movimientos!C:C, "Libera_Reserva")),"")</f>
        <v/>
      </c>
      <c r="L260" s="6" t="str">
        <f aca="false">IFERROR(IF(A260="","",J260-K260),"")</f>
        <v/>
      </c>
      <c r="M260" s="6" t="str">
        <f aca="false">IFERROR(IF(Productos!A260="","",Productos!G260),"")</f>
        <v/>
      </c>
      <c r="N260" s="6" t="str">
        <f aca="false">IFERROR(IF(A260="","",IF(L260&lt;M260,"BAJO STOCK","OK")),"")</f>
        <v/>
      </c>
    </row>
    <row r="261" customFormat="false" ht="15" hidden="false" customHeight="false" outlineLevel="0" collapsed="false">
      <c r="A261" s="0" t="str">
        <f aca="false">IFERROR(IF(Productos!A261="","",Productos!A261),"")</f>
        <v/>
      </c>
      <c r="B261" s="0" t="str">
        <f aca="false">IFERROR(IF(Productos!A261="","",Productos!B261),"")</f>
        <v/>
      </c>
      <c r="C261" s="0" t="str">
        <f aca="false">IFERROR(IF(Productos!A261="","",Productos!C261),"")</f>
        <v/>
      </c>
      <c r="D261" s="0" t="str">
        <f aca="false">IFERROR(IF(Productos!A261="","",Productos!E261),"")</f>
        <v/>
      </c>
      <c r="E261" s="6" t="str">
        <f aca="false">IFERROR(IF(A261="","",SUMIFS(Movimientos!E:E, Movimientos!D:D, A261, Movimientos!C:C, "Ingreso", Movimientos!G:G, "TIN")+SUMIFS(Movimientos!E:E, Movimientos!D:D, A261, Movimientos!C:C, "Traslado", Movimientos!G:G, "TIN")-SUMIFS(Movimientos!E:E, Movimientos!D:D, A261, Movimientos!C:C, "Traslado", Movimientos!F:F, "TIN")-SUMIFS(Movimientos!E:E, Movimientos!D:D, A261, Movimientos!C:C, "Egreso", Movimientos!F:F, "TIN")+SUMIFS(Movimientos!E:E, Movimientos!D:D, A261, Movimientos!C:C, "Ajuste", Movimientos!F:F, "TIN")),"")</f>
        <v/>
      </c>
      <c r="F261" s="6" t="str">
        <f aca="false">IFERROR(IF(A261="","",SUMIFS(Movimientos!E:E, Movimientos!D:D, A261, Movimientos!C:C, "Ingreso", Movimientos!G:G, "G1000")+SUMIFS(Movimientos!E:E, Movimientos!D:D, A261, Movimientos!C:C, "Traslado", Movimientos!G:G, "G1000")-SUMIFS(Movimientos!E:E, Movimientos!D:D, A261, Movimientos!C:C, "Traslado", Movimientos!F:F, "G1000")-SUMIFS(Movimientos!E:E, Movimientos!D:D, A261, Movimientos!C:C, "Egreso", Movimientos!F:F, "G1000")+SUMIFS(Movimientos!E:E, Movimientos!D:D, A261, Movimientos!C:C, "Ajuste", Movimientos!F:F, "G1000")),"")</f>
        <v/>
      </c>
      <c r="G261" s="6" t="str">
        <f aca="false">IFERROR(IF(A261="","",SUMIFS(Movimientos!E:E, Movimientos!D:D, A261, Movimientos!C:C, "Ingreso", Movimientos!G:G, "G710")+SUMIFS(Movimientos!E:E, Movimientos!D:D, A261, Movimientos!C:C, "Traslado", Movimientos!G:G, "G710")-SUMIFS(Movimientos!E:E, Movimientos!D:D, A261, Movimientos!C:C, "Traslado", Movimientos!F:F, "G710")-SUMIFS(Movimientos!E:E, Movimientos!D:D, A261, Movimientos!C:C, "Egreso", Movimientos!F:F, "G710")+SUMIFS(Movimientos!E:E, Movimientos!D:D, A261, Movimientos!C:C, "Ajuste", Movimientos!F:F, "G710")),"")</f>
        <v/>
      </c>
      <c r="H261" s="6" t="str">
        <f aca="false">IFERROR(IF(A261="","",SUMIFS(Movimientos!E:E, Movimientos!D:D, A261, Movimientos!C:C, "Ingreso", Movimientos!G:G, "G5000")+SUMIFS(Movimientos!E:E, Movimientos!D:D, A261, Movimientos!C:C, "Traslado", Movimientos!G:G, "G5000")-SUMIFS(Movimientos!E:E, Movimientos!D:D, A261, Movimientos!C:C, "Traslado", Movimientos!F:F, "G5000")-SUMIFS(Movimientos!E:E, Movimientos!D:D, A261, Movimientos!C:C, "Egreso", Movimientos!F:F, "G5000")+SUMIFS(Movimientos!E:E, Movimientos!D:D, A261, Movimientos!C:C, "Ajuste", Movimientos!F:F, "G5000")),"")</f>
        <v/>
      </c>
      <c r="I261" s="6" t="str">
        <f aca="false">IFERROR(IF(A261="","",SUMIFS(Movimientos!E:E, Movimientos!D:D, A261, Movimientos!C:C, "Ingreso", Movimientos!G:G, "G3")+SUMIFS(Movimientos!E:E, Movimientos!D:D, A261, Movimientos!C:C, "Traslado", Movimientos!G:G, "G3")-SUMIFS(Movimientos!E:E, Movimientos!D:D, A261, Movimientos!C:C, "Traslado", Movimientos!F:F, "G3")-SUMIFS(Movimientos!E:E, Movimientos!D:D, A261, Movimientos!C:C, "Egreso", Movimientos!F:F, "G3")+SUMIFS(Movimientos!E:E, Movimientos!D:D, A261, Movimientos!C:C, "Ajuste", Movimientos!F:F, "G3")),"")</f>
        <v/>
      </c>
      <c r="J261" s="6" t="str">
        <f aca="false">IFERROR(IF(A261="","",SUM(E261:I261)),"")</f>
        <v/>
      </c>
      <c r="K261" s="6" t="str">
        <f aca="false">IFERROR(IF(A261="","",SUMIFS(Movimientos!E:E, Movimientos!D:D, A261, Movimientos!C:C, "Reserva")-SUMIFS(Movimientos!E:E, Movimientos!D:D, A261, Movimientos!C:C, "Libera_Reserva")),"")</f>
        <v/>
      </c>
      <c r="L261" s="6" t="str">
        <f aca="false">IFERROR(IF(A261="","",J261-K261),"")</f>
        <v/>
      </c>
      <c r="M261" s="6" t="str">
        <f aca="false">IFERROR(IF(Productos!A261="","",Productos!G261),"")</f>
        <v/>
      </c>
      <c r="N261" s="6" t="str">
        <f aca="false">IFERROR(IF(A261="","",IF(L261&lt;M261,"BAJO STOCK","OK")),"")</f>
        <v/>
      </c>
    </row>
    <row r="262" customFormat="false" ht="15" hidden="false" customHeight="false" outlineLevel="0" collapsed="false">
      <c r="A262" s="0" t="str">
        <f aca="false">IFERROR(IF(Productos!A262="","",Productos!A262),"")</f>
        <v/>
      </c>
      <c r="B262" s="0" t="str">
        <f aca="false">IFERROR(IF(Productos!A262="","",Productos!B262),"")</f>
        <v/>
      </c>
      <c r="C262" s="0" t="str">
        <f aca="false">IFERROR(IF(Productos!A262="","",Productos!C262),"")</f>
        <v/>
      </c>
      <c r="D262" s="0" t="str">
        <f aca="false">IFERROR(IF(Productos!A262="","",Productos!E262),"")</f>
        <v/>
      </c>
      <c r="E262" s="6" t="str">
        <f aca="false">IFERROR(IF(A262="","",SUMIFS(Movimientos!E:E, Movimientos!D:D, A262, Movimientos!C:C, "Ingreso", Movimientos!G:G, "TIN")+SUMIFS(Movimientos!E:E, Movimientos!D:D, A262, Movimientos!C:C, "Traslado", Movimientos!G:G, "TIN")-SUMIFS(Movimientos!E:E, Movimientos!D:D, A262, Movimientos!C:C, "Traslado", Movimientos!F:F, "TIN")-SUMIFS(Movimientos!E:E, Movimientos!D:D, A262, Movimientos!C:C, "Egreso", Movimientos!F:F, "TIN")+SUMIFS(Movimientos!E:E, Movimientos!D:D, A262, Movimientos!C:C, "Ajuste", Movimientos!F:F, "TIN")),"")</f>
        <v/>
      </c>
      <c r="F262" s="6" t="str">
        <f aca="false">IFERROR(IF(A262="","",SUMIFS(Movimientos!E:E, Movimientos!D:D, A262, Movimientos!C:C, "Ingreso", Movimientos!G:G, "G1000")+SUMIFS(Movimientos!E:E, Movimientos!D:D, A262, Movimientos!C:C, "Traslado", Movimientos!G:G, "G1000")-SUMIFS(Movimientos!E:E, Movimientos!D:D, A262, Movimientos!C:C, "Traslado", Movimientos!F:F, "G1000")-SUMIFS(Movimientos!E:E, Movimientos!D:D, A262, Movimientos!C:C, "Egreso", Movimientos!F:F, "G1000")+SUMIFS(Movimientos!E:E, Movimientos!D:D, A262, Movimientos!C:C, "Ajuste", Movimientos!F:F, "G1000")),"")</f>
        <v/>
      </c>
      <c r="G262" s="6" t="str">
        <f aca="false">IFERROR(IF(A262="","",SUMIFS(Movimientos!E:E, Movimientos!D:D, A262, Movimientos!C:C, "Ingreso", Movimientos!G:G, "G710")+SUMIFS(Movimientos!E:E, Movimientos!D:D, A262, Movimientos!C:C, "Traslado", Movimientos!G:G, "G710")-SUMIFS(Movimientos!E:E, Movimientos!D:D, A262, Movimientos!C:C, "Traslado", Movimientos!F:F, "G710")-SUMIFS(Movimientos!E:E, Movimientos!D:D, A262, Movimientos!C:C, "Egreso", Movimientos!F:F, "G710")+SUMIFS(Movimientos!E:E, Movimientos!D:D, A262, Movimientos!C:C, "Ajuste", Movimientos!F:F, "G710")),"")</f>
        <v/>
      </c>
      <c r="H262" s="6" t="str">
        <f aca="false">IFERROR(IF(A262="","",SUMIFS(Movimientos!E:E, Movimientos!D:D, A262, Movimientos!C:C, "Ingreso", Movimientos!G:G, "G5000")+SUMIFS(Movimientos!E:E, Movimientos!D:D, A262, Movimientos!C:C, "Traslado", Movimientos!G:G, "G5000")-SUMIFS(Movimientos!E:E, Movimientos!D:D, A262, Movimientos!C:C, "Traslado", Movimientos!F:F, "G5000")-SUMIFS(Movimientos!E:E, Movimientos!D:D, A262, Movimientos!C:C, "Egreso", Movimientos!F:F, "G5000")+SUMIFS(Movimientos!E:E, Movimientos!D:D, A262, Movimientos!C:C, "Ajuste", Movimientos!F:F, "G5000")),"")</f>
        <v/>
      </c>
      <c r="I262" s="6" t="str">
        <f aca="false">IFERROR(IF(A262="","",SUMIFS(Movimientos!E:E, Movimientos!D:D, A262, Movimientos!C:C, "Ingreso", Movimientos!G:G, "G3")+SUMIFS(Movimientos!E:E, Movimientos!D:D, A262, Movimientos!C:C, "Traslado", Movimientos!G:G, "G3")-SUMIFS(Movimientos!E:E, Movimientos!D:D, A262, Movimientos!C:C, "Traslado", Movimientos!F:F, "G3")-SUMIFS(Movimientos!E:E, Movimientos!D:D, A262, Movimientos!C:C, "Egreso", Movimientos!F:F, "G3")+SUMIFS(Movimientos!E:E, Movimientos!D:D, A262, Movimientos!C:C, "Ajuste", Movimientos!F:F, "G3")),"")</f>
        <v/>
      </c>
      <c r="J262" s="6" t="str">
        <f aca="false">IFERROR(IF(A262="","",SUM(E262:I262)),"")</f>
        <v/>
      </c>
      <c r="K262" s="6" t="str">
        <f aca="false">IFERROR(IF(A262="","",SUMIFS(Movimientos!E:E, Movimientos!D:D, A262, Movimientos!C:C, "Reserva")-SUMIFS(Movimientos!E:E, Movimientos!D:D, A262, Movimientos!C:C, "Libera_Reserva")),"")</f>
        <v/>
      </c>
      <c r="L262" s="6" t="str">
        <f aca="false">IFERROR(IF(A262="","",J262-K262),"")</f>
        <v/>
      </c>
      <c r="M262" s="6" t="str">
        <f aca="false">IFERROR(IF(Productos!A262="","",Productos!G262),"")</f>
        <v/>
      </c>
      <c r="N262" s="6" t="str">
        <f aca="false">IFERROR(IF(A262="","",IF(L262&lt;M262,"BAJO STOCK","OK")),"")</f>
        <v/>
      </c>
    </row>
    <row r="263" customFormat="false" ht="15" hidden="false" customHeight="false" outlineLevel="0" collapsed="false">
      <c r="A263" s="0" t="str">
        <f aca="false">IFERROR(IF(Productos!A263="","",Productos!A263),"")</f>
        <v/>
      </c>
      <c r="B263" s="0" t="str">
        <f aca="false">IFERROR(IF(Productos!A263="","",Productos!B263),"")</f>
        <v/>
      </c>
      <c r="C263" s="0" t="str">
        <f aca="false">IFERROR(IF(Productos!A263="","",Productos!C263),"")</f>
        <v/>
      </c>
      <c r="D263" s="0" t="str">
        <f aca="false">IFERROR(IF(Productos!A263="","",Productos!E263),"")</f>
        <v/>
      </c>
      <c r="E263" s="6" t="str">
        <f aca="false">IFERROR(IF(A263="","",SUMIFS(Movimientos!E:E, Movimientos!D:D, A263, Movimientos!C:C, "Ingreso", Movimientos!G:G, "TIN")+SUMIFS(Movimientos!E:E, Movimientos!D:D, A263, Movimientos!C:C, "Traslado", Movimientos!G:G, "TIN")-SUMIFS(Movimientos!E:E, Movimientos!D:D, A263, Movimientos!C:C, "Traslado", Movimientos!F:F, "TIN")-SUMIFS(Movimientos!E:E, Movimientos!D:D, A263, Movimientos!C:C, "Egreso", Movimientos!F:F, "TIN")+SUMIFS(Movimientos!E:E, Movimientos!D:D, A263, Movimientos!C:C, "Ajuste", Movimientos!F:F, "TIN")),"")</f>
        <v/>
      </c>
      <c r="F263" s="6" t="str">
        <f aca="false">IFERROR(IF(A263="","",SUMIFS(Movimientos!E:E, Movimientos!D:D, A263, Movimientos!C:C, "Ingreso", Movimientos!G:G, "G1000")+SUMIFS(Movimientos!E:E, Movimientos!D:D, A263, Movimientos!C:C, "Traslado", Movimientos!G:G, "G1000")-SUMIFS(Movimientos!E:E, Movimientos!D:D, A263, Movimientos!C:C, "Traslado", Movimientos!F:F, "G1000")-SUMIFS(Movimientos!E:E, Movimientos!D:D, A263, Movimientos!C:C, "Egreso", Movimientos!F:F, "G1000")+SUMIFS(Movimientos!E:E, Movimientos!D:D, A263, Movimientos!C:C, "Ajuste", Movimientos!F:F, "G1000")),"")</f>
        <v/>
      </c>
      <c r="G263" s="6" t="str">
        <f aca="false">IFERROR(IF(A263="","",SUMIFS(Movimientos!E:E, Movimientos!D:D, A263, Movimientos!C:C, "Ingreso", Movimientos!G:G, "G710")+SUMIFS(Movimientos!E:E, Movimientos!D:D, A263, Movimientos!C:C, "Traslado", Movimientos!G:G, "G710")-SUMIFS(Movimientos!E:E, Movimientos!D:D, A263, Movimientos!C:C, "Traslado", Movimientos!F:F, "G710")-SUMIFS(Movimientos!E:E, Movimientos!D:D, A263, Movimientos!C:C, "Egreso", Movimientos!F:F, "G710")+SUMIFS(Movimientos!E:E, Movimientos!D:D, A263, Movimientos!C:C, "Ajuste", Movimientos!F:F, "G710")),"")</f>
        <v/>
      </c>
      <c r="H263" s="6" t="str">
        <f aca="false">IFERROR(IF(A263="","",SUMIFS(Movimientos!E:E, Movimientos!D:D, A263, Movimientos!C:C, "Ingreso", Movimientos!G:G, "G5000")+SUMIFS(Movimientos!E:E, Movimientos!D:D, A263, Movimientos!C:C, "Traslado", Movimientos!G:G, "G5000")-SUMIFS(Movimientos!E:E, Movimientos!D:D, A263, Movimientos!C:C, "Traslado", Movimientos!F:F, "G5000")-SUMIFS(Movimientos!E:E, Movimientos!D:D, A263, Movimientos!C:C, "Egreso", Movimientos!F:F, "G5000")+SUMIFS(Movimientos!E:E, Movimientos!D:D, A263, Movimientos!C:C, "Ajuste", Movimientos!F:F, "G5000")),"")</f>
        <v/>
      </c>
      <c r="I263" s="6" t="str">
        <f aca="false">IFERROR(IF(A263="","",SUMIFS(Movimientos!E:E, Movimientos!D:D, A263, Movimientos!C:C, "Ingreso", Movimientos!G:G, "G3")+SUMIFS(Movimientos!E:E, Movimientos!D:D, A263, Movimientos!C:C, "Traslado", Movimientos!G:G, "G3")-SUMIFS(Movimientos!E:E, Movimientos!D:D, A263, Movimientos!C:C, "Traslado", Movimientos!F:F, "G3")-SUMIFS(Movimientos!E:E, Movimientos!D:D, A263, Movimientos!C:C, "Egreso", Movimientos!F:F, "G3")+SUMIFS(Movimientos!E:E, Movimientos!D:D, A263, Movimientos!C:C, "Ajuste", Movimientos!F:F, "G3")),"")</f>
        <v/>
      </c>
      <c r="J263" s="6" t="str">
        <f aca="false">IFERROR(IF(A263="","",SUM(E263:I263)),"")</f>
        <v/>
      </c>
      <c r="K263" s="6" t="str">
        <f aca="false">IFERROR(IF(A263="","",SUMIFS(Movimientos!E:E, Movimientos!D:D, A263, Movimientos!C:C, "Reserva")-SUMIFS(Movimientos!E:E, Movimientos!D:D, A263, Movimientos!C:C, "Libera_Reserva")),"")</f>
        <v/>
      </c>
      <c r="L263" s="6" t="str">
        <f aca="false">IFERROR(IF(A263="","",J263-K263),"")</f>
        <v/>
      </c>
      <c r="M263" s="6" t="str">
        <f aca="false">IFERROR(IF(Productos!A263="","",Productos!G263),"")</f>
        <v/>
      </c>
      <c r="N263" s="6" t="str">
        <f aca="false">IFERROR(IF(A263="","",IF(L263&lt;M263,"BAJO STOCK","OK")),"")</f>
        <v/>
      </c>
    </row>
    <row r="264" customFormat="false" ht="15" hidden="false" customHeight="false" outlineLevel="0" collapsed="false">
      <c r="A264" s="0" t="str">
        <f aca="false">IFERROR(IF(Productos!A264="","",Productos!A264),"")</f>
        <v/>
      </c>
      <c r="B264" s="0" t="str">
        <f aca="false">IFERROR(IF(Productos!A264="","",Productos!B264),"")</f>
        <v/>
      </c>
      <c r="C264" s="0" t="str">
        <f aca="false">IFERROR(IF(Productos!A264="","",Productos!C264),"")</f>
        <v/>
      </c>
      <c r="D264" s="0" t="str">
        <f aca="false">IFERROR(IF(Productos!A264="","",Productos!E264),"")</f>
        <v/>
      </c>
      <c r="E264" s="6" t="str">
        <f aca="false">IFERROR(IF(A264="","",SUMIFS(Movimientos!E:E, Movimientos!D:D, A264, Movimientos!C:C, "Ingreso", Movimientos!G:G, "TIN")+SUMIFS(Movimientos!E:E, Movimientos!D:D, A264, Movimientos!C:C, "Traslado", Movimientos!G:G, "TIN")-SUMIFS(Movimientos!E:E, Movimientos!D:D, A264, Movimientos!C:C, "Traslado", Movimientos!F:F, "TIN")-SUMIFS(Movimientos!E:E, Movimientos!D:D, A264, Movimientos!C:C, "Egreso", Movimientos!F:F, "TIN")+SUMIFS(Movimientos!E:E, Movimientos!D:D, A264, Movimientos!C:C, "Ajuste", Movimientos!F:F, "TIN")),"")</f>
        <v/>
      </c>
      <c r="F264" s="6" t="str">
        <f aca="false">IFERROR(IF(A264="","",SUMIFS(Movimientos!E:E, Movimientos!D:D, A264, Movimientos!C:C, "Ingreso", Movimientos!G:G, "G1000")+SUMIFS(Movimientos!E:E, Movimientos!D:D, A264, Movimientos!C:C, "Traslado", Movimientos!G:G, "G1000")-SUMIFS(Movimientos!E:E, Movimientos!D:D, A264, Movimientos!C:C, "Traslado", Movimientos!F:F, "G1000")-SUMIFS(Movimientos!E:E, Movimientos!D:D, A264, Movimientos!C:C, "Egreso", Movimientos!F:F, "G1000")+SUMIFS(Movimientos!E:E, Movimientos!D:D, A264, Movimientos!C:C, "Ajuste", Movimientos!F:F, "G1000")),"")</f>
        <v/>
      </c>
      <c r="G264" s="6" t="str">
        <f aca="false">IFERROR(IF(A264="","",SUMIFS(Movimientos!E:E, Movimientos!D:D, A264, Movimientos!C:C, "Ingreso", Movimientos!G:G, "G710")+SUMIFS(Movimientos!E:E, Movimientos!D:D, A264, Movimientos!C:C, "Traslado", Movimientos!G:G, "G710")-SUMIFS(Movimientos!E:E, Movimientos!D:D, A264, Movimientos!C:C, "Traslado", Movimientos!F:F, "G710")-SUMIFS(Movimientos!E:E, Movimientos!D:D, A264, Movimientos!C:C, "Egreso", Movimientos!F:F, "G710")+SUMIFS(Movimientos!E:E, Movimientos!D:D, A264, Movimientos!C:C, "Ajuste", Movimientos!F:F, "G710")),"")</f>
        <v/>
      </c>
      <c r="H264" s="6" t="str">
        <f aca="false">IFERROR(IF(A264="","",SUMIFS(Movimientos!E:E, Movimientos!D:D, A264, Movimientos!C:C, "Ingreso", Movimientos!G:G, "G5000")+SUMIFS(Movimientos!E:E, Movimientos!D:D, A264, Movimientos!C:C, "Traslado", Movimientos!G:G, "G5000")-SUMIFS(Movimientos!E:E, Movimientos!D:D, A264, Movimientos!C:C, "Traslado", Movimientos!F:F, "G5000")-SUMIFS(Movimientos!E:E, Movimientos!D:D, A264, Movimientos!C:C, "Egreso", Movimientos!F:F, "G5000")+SUMIFS(Movimientos!E:E, Movimientos!D:D, A264, Movimientos!C:C, "Ajuste", Movimientos!F:F, "G5000")),"")</f>
        <v/>
      </c>
      <c r="I264" s="6" t="str">
        <f aca="false">IFERROR(IF(A264="","",SUMIFS(Movimientos!E:E, Movimientos!D:D, A264, Movimientos!C:C, "Ingreso", Movimientos!G:G, "G3")+SUMIFS(Movimientos!E:E, Movimientos!D:D, A264, Movimientos!C:C, "Traslado", Movimientos!G:G, "G3")-SUMIFS(Movimientos!E:E, Movimientos!D:D, A264, Movimientos!C:C, "Traslado", Movimientos!F:F, "G3")-SUMIFS(Movimientos!E:E, Movimientos!D:D, A264, Movimientos!C:C, "Egreso", Movimientos!F:F, "G3")+SUMIFS(Movimientos!E:E, Movimientos!D:D, A264, Movimientos!C:C, "Ajuste", Movimientos!F:F, "G3")),"")</f>
        <v/>
      </c>
      <c r="J264" s="6" t="str">
        <f aca="false">IFERROR(IF(A264="","",SUM(E264:I264)),"")</f>
        <v/>
      </c>
      <c r="K264" s="6" t="str">
        <f aca="false">IFERROR(IF(A264="","",SUMIFS(Movimientos!E:E, Movimientos!D:D, A264, Movimientos!C:C, "Reserva")-SUMIFS(Movimientos!E:E, Movimientos!D:D, A264, Movimientos!C:C, "Libera_Reserva")),"")</f>
        <v/>
      </c>
      <c r="L264" s="6" t="str">
        <f aca="false">IFERROR(IF(A264="","",J264-K264),"")</f>
        <v/>
      </c>
      <c r="M264" s="6" t="str">
        <f aca="false">IFERROR(IF(Productos!A264="","",Productos!G264),"")</f>
        <v/>
      </c>
      <c r="N264" s="6" t="str">
        <f aca="false">IFERROR(IF(A264="","",IF(L264&lt;M264,"BAJO STOCK","OK")),"")</f>
        <v/>
      </c>
    </row>
    <row r="265" customFormat="false" ht="15" hidden="false" customHeight="false" outlineLevel="0" collapsed="false">
      <c r="A265" s="0" t="str">
        <f aca="false">IFERROR(IF(Productos!A265="","",Productos!A265),"")</f>
        <v/>
      </c>
      <c r="B265" s="0" t="str">
        <f aca="false">IFERROR(IF(Productos!A265="","",Productos!B265),"")</f>
        <v/>
      </c>
      <c r="C265" s="0" t="str">
        <f aca="false">IFERROR(IF(Productos!A265="","",Productos!C265),"")</f>
        <v/>
      </c>
      <c r="D265" s="0" t="str">
        <f aca="false">IFERROR(IF(Productos!A265="","",Productos!E265),"")</f>
        <v/>
      </c>
      <c r="E265" s="6" t="str">
        <f aca="false">IFERROR(IF(A265="","",SUMIFS(Movimientos!E:E, Movimientos!D:D, A265, Movimientos!C:C, "Ingreso", Movimientos!G:G, "TIN")+SUMIFS(Movimientos!E:E, Movimientos!D:D, A265, Movimientos!C:C, "Traslado", Movimientos!G:G, "TIN")-SUMIFS(Movimientos!E:E, Movimientos!D:D, A265, Movimientos!C:C, "Traslado", Movimientos!F:F, "TIN")-SUMIFS(Movimientos!E:E, Movimientos!D:D, A265, Movimientos!C:C, "Egreso", Movimientos!F:F, "TIN")+SUMIFS(Movimientos!E:E, Movimientos!D:D, A265, Movimientos!C:C, "Ajuste", Movimientos!F:F, "TIN")),"")</f>
        <v/>
      </c>
      <c r="F265" s="6" t="str">
        <f aca="false">IFERROR(IF(A265="","",SUMIFS(Movimientos!E:E, Movimientos!D:D, A265, Movimientos!C:C, "Ingreso", Movimientos!G:G, "G1000")+SUMIFS(Movimientos!E:E, Movimientos!D:D, A265, Movimientos!C:C, "Traslado", Movimientos!G:G, "G1000")-SUMIFS(Movimientos!E:E, Movimientos!D:D, A265, Movimientos!C:C, "Traslado", Movimientos!F:F, "G1000")-SUMIFS(Movimientos!E:E, Movimientos!D:D, A265, Movimientos!C:C, "Egreso", Movimientos!F:F, "G1000")+SUMIFS(Movimientos!E:E, Movimientos!D:D, A265, Movimientos!C:C, "Ajuste", Movimientos!F:F, "G1000")),"")</f>
        <v/>
      </c>
      <c r="G265" s="6" t="str">
        <f aca="false">IFERROR(IF(A265="","",SUMIFS(Movimientos!E:E, Movimientos!D:D, A265, Movimientos!C:C, "Ingreso", Movimientos!G:G, "G710")+SUMIFS(Movimientos!E:E, Movimientos!D:D, A265, Movimientos!C:C, "Traslado", Movimientos!G:G, "G710")-SUMIFS(Movimientos!E:E, Movimientos!D:D, A265, Movimientos!C:C, "Traslado", Movimientos!F:F, "G710")-SUMIFS(Movimientos!E:E, Movimientos!D:D, A265, Movimientos!C:C, "Egreso", Movimientos!F:F, "G710")+SUMIFS(Movimientos!E:E, Movimientos!D:D, A265, Movimientos!C:C, "Ajuste", Movimientos!F:F, "G710")),"")</f>
        <v/>
      </c>
      <c r="H265" s="6" t="str">
        <f aca="false">IFERROR(IF(A265="","",SUMIFS(Movimientos!E:E, Movimientos!D:D, A265, Movimientos!C:C, "Ingreso", Movimientos!G:G, "G5000")+SUMIFS(Movimientos!E:E, Movimientos!D:D, A265, Movimientos!C:C, "Traslado", Movimientos!G:G, "G5000")-SUMIFS(Movimientos!E:E, Movimientos!D:D, A265, Movimientos!C:C, "Traslado", Movimientos!F:F, "G5000")-SUMIFS(Movimientos!E:E, Movimientos!D:D, A265, Movimientos!C:C, "Egreso", Movimientos!F:F, "G5000")+SUMIFS(Movimientos!E:E, Movimientos!D:D, A265, Movimientos!C:C, "Ajuste", Movimientos!F:F, "G5000")),"")</f>
        <v/>
      </c>
      <c r="I265" s="6" t="str">
        <f aca="false">IFERROR(IF(A265="","",SUMIFS(Movimientos!E:E, Movimientos!D:D, A265, Movimientos!C:C, "Ingreso", Movimientos!G:G, "G3")+SUMIFS(Movimientos!E:E, Movimientos!D:D, A265, Movimientos!C:C, "Traslado", Movimientos!G:G, "G3")-SUMIFS(Movimientos!E:E, Movimientos!D:D, A265, Movimientos!C:C, "Traslado", Movimientos!F:F, "G3")-SUMIFS(Movimientos!E:E, Movimientos!D:D, A265, Movimientos!C:C, "Egreso", Movimientos!F:F, "G3")+SUMIFS(Movimientos!E:E, Movimientos!D:D, A265, Movimientos!C:C, "Ajuste", Movimientos!F:F, "G3")),"")</f>
        <v/>
      </c>
      <c r="J265" s="6" t="str">
        <f aca="false">IFERROR(IF(A265="","",SUM(E265:I265)),"")</f>
        <v/>
      </c>
      <c r="K265" s="6" t="str">
        <f aca="false">IFERROR(IF(A265="","",SUMIFS(Movimientos!E:E, Movimientos!D:D, A265, Movimientos!C:C, "Reserva")-SUMIFS(Movimientos!E:E, Movimientos!D:D, A265, Movimientos!C:C, "Libera_Reserva")),"")</f>
        <v/>
      </c>
      <c r="L265" s="6" t="str">
        <f aca="false">IFERROR(IF(A265="","",J265-K265),"")</f>
        <v/>
      </c>
      <c r="M265" s="6" t="str">
        <f aca="false">IFERROR(IF(Productos!A265="","",Productos!G265),"")</f>
        <v/>
      </c>
      <c r="N265" s="6" t="str">
        <f aca="false">IFERROR(IF(A265="","",IF(L265&lt;M265,"BAJO STOCK","OK")),"")</f>
        <v/>
      </c>
    </row>
    <row r="266" customFormat="false" ht="15" hidden="false" customHeight="false" outlineLevel="0" collapsed="false">
      <c r="A266" s="0" t="str">
        <f aca="false">IFERROR(IF(Productos!A266="","",Productos!A266),"")</f>
        <v/>
      </c>
      <c r="B266" s="0" t="str">
        <f aca="false">IFERROR(IF(Productos!A266="","",Productos!B266),"")</f>
        <v/>
      </c>
      <c r="C266" s="0" t="str">
        <f aca="false">IFERROR(IF(Productos!A266="","",Productos!C266),"")</f>
        <v/>
      </c>
      <c r="D266" s="0" t="str">
        <f aca="false">IFERROR(IF(Productos!A266="","",Productos!E266),"")</f>
        <v/>
      </c>
      <c r="E266" s="6" t="str">
        <f aca="false">IFERROR(IF(A266="","",SUMIFS(Movimientos!E:E, Movimientos!D:D, A266, Movimientos!C:C, "Ingreso", Movimientos!G:G, "TIN")+SUMIFS(Movimientos!E:E, Movimientos!D:D, A266, Movimientos!C:C, "Traslado", Movimientos!G:G, "TIN")-SUMIFS(Movimientos!E:E, Movimientos!D:D, A266, Movimientos!C:C, "Traslado", Movimientos!F:F, "TIN")-SUMIFS(Movimientos!E:E, Movimientos!D:D, A266, Movimientos!C:C, "Egreso", Movimientos!F:F, "TIN")+SUMIFS(Movimientos!E:E, Movimientos!D:D, A266, Movimientos!C:C, "Ajuste", Movimientos!F:F, "TIN")),"")</f>
        <v/>
      </c>
      <c r="F266" s="6" t="str">
        <f aca="false">IFERROR(IF(A266="","",SUMIFS(Movimientos!E:E, Movimientos!D:D, A266, Movimientos!C:C, "Ingreso", Movimientos!G:G, "G1000")+SUMIFS(Movimientos!E:E, Movimientos!D:D, A266, Movimientos!C:C, "Traslado", Movimientos!G:G, "G1000")-SUMIFS(Movimientos!E:E, Movimientos!D:D, A266, Movimientos!C:C, "Traslado", Movimientos!F:F, "G1000")-SUMIFS(Movimientos!E:E, Movimientos!D:D, A266, Movimientos!C:C, "Egreso", Movimientos!F:F, "G1000")+SUMIFS(Movimientos!E:E, Movimientos!D:D, A266, Movimientos!C:C, "Ajuste", Movimientos!F:F, "G1000")),"")</f>
        <v/>
      </c>
      <c r="G266" s="6" t="str">
        <f aca="false">IFERROR(IF(A266="","",SUMIFS(Movimientos!E:E, Movimientos!D:D, A266, Movimientos!C:C, "Ingreso", Movimientos!G:G, "G710")+SUMIFS(Movimientos!E:E, Movimientos!D:D, A266, Movimientos!C:C, "Traslado", Movimientos!G:G, "G710")-SUMIFS(Movimientos!E:E, Movimientos!D:D, A266, Movimientos!C:C, "Traslado", Movimientos!F:F, "G710")-SUMIFS(Movimientos!E:E, Movimientos!D:D, A266, Movimientos!C:C, "Egreso", Movimientos!F:F, "G710")+SUMIFS(Movimientos!E:E, Movimientos!D:D, A266, Movimientos!C:C, "Ajuste", Movimientos!F:F, "G710")),"")</f>
        <v/>
      </c>
      <c r="H266" s="6" t="str">
        <f aca="false">IFERROR(IF(A266="","",SUMIFS(Movimientos!E:E, Movimientos!D:D, A266, Movimientos!C:C, "Ingreso", Movimientos!G:G, "G5000")+SUMIFS(Movimientos!E:E, Movimientos!D:D, A266, Movimientos!C:C, "Traslado", Movimientos!G:G, "G5000")-SUMIFS(Movimientos!E:E, Movimientos!D:D, A266, Movimientos!C:C, "Traslado", Movimientos!F:F, "G5000")-SUMIFS(Movimientos!E:E, Movimientos!D:D, A266, Movimientos!C:C, "Egreso", Movimientos!F:F, "G5000")+SUMIFS(Movimientos!E:E, Movimientos!D:D, A266, Movimientos!C:C, "Ajuste", Movimientos!F:F, "G5000")),"")</f>
        <v/>
      </c>
      <c r="I266" s="6" t="str">
        <f aca="false">IFERROR(IF(A266="","",SUMIFS(Movimientos!E:E, Movimientos!D:D, A266, Movimientos!C:C, "Ingreso", Movimientos!G:G, "G3")+SUMIFS(Movimientos!E:E, Movimientos!D:D, A266, Movimientos!C:C, "Traslado", Movimientos!G:G, "G3")-SUMIFS(Movimientos!E:E, Movimientos!D:D, A266, Movimientos!C:C, "Traslado", Movimientos!F:F, "G3")-SUMIFS(Movimientos!E:E, Movimientos!D:D, A266, Movimientos!C:C, "Egreso", Movimientos!F:F, "G3")+SUMIFS(Movimientos!E:E, Movimientos!D:D, A266, Movimientos!C:C, "Ajuste", Movimientos!F:F, "G3")),"")</f>
        <v/>
      </c>
      <c r="J266" s="6" t="str">
        <f aca="false">IFERROR(IF(A266="","",SUM(E266:I266)),"")</f>
        <v/>
      </c>
      <c r="K266" s="6" t="str">
        <f aca="false">IFERROR(IF(A266="","",SUMIFS(Movimientos!E:E, Movimientos!D:D, A266, Movimientos!C:C, "Reserva")-SUMIFS(Movimientos!E:E, Movimientos!D:D, A266, Movimientos!C:C, "Libera_Reserva")),"")</f>
        <v/>
      </c>
      <c r="L266" s="6" t="str">
        <f aca="false">IFERROR(IF(A266="","",J266-K266),"")</f>
        <v/>
      </c>
      <c r="M266" s="6" t="str">
        <f aca="false">IFERROR(IF(Productos!A266="","",Productos!G266),"")</f>
        <v/>
      </c>
      <c r="N266" s="6" t="str">
        <f aca="false">IFERROR(IF(A266="","",IF(L266&lt;M266,"BAJO STOCK","OK")),"")</f>
        <v/>
      </c>
    </row>
    <row r="267" customFormat="false" ht="15" hidden="false" customHeight="false" outlineLevel="0" collapsed="false">
      <c r="A267" s="0" t="str">
        <f aca="false">IFERROR(IF(Productos!A267="","",Productos!A267),"")</f>
        <v/>
      </c>
      <c r="B267" s="0" t="str">
        <f aca="false">IFERROR(IF(Productos!A267="","",Productos!B267),"")</f>
        <v/>
      </c>
      <c r="C267" s="0" t="str">
        <f aca="false">IFERROR(IF(Productos!A267="","",Productos!C267),"")</f>
        <v/>
      </c>
      <c r="D267" s="0" t="str">
        <f aca="false">IFERROR(IF(Productos!A267="","",Productos!E267),"")</f>
        <v/>
      </c>
      <c r="E267" s="6" t="str">
        <f aca="false">IFERROR(IF(A267="","",SUMIFS(Movimientos!E:E, Movimientos!D:D, A267, Movimientos!C:C, "Ingreso", Movimientos!G:G, "TIN")+SUMIFS(Movimientos!E:E, Movimientos!D:D, A267, Movimientos!C:C, "Traslado", Movimientos!G:G, "TIN")-SUMIFS(Movimientos!E:E, Movimientos!D:D, A267, Movimientos!C:C, "Traslado", Movimientos!F:F, "TIN")-SUMIFS(Movimientos!E:E, Movimientos!D:D, A267, Movimientos!C:C, "Egreso", Movimientos!F:F, "TIN")+SUMIFS(Movimientos!E:E, Movimientos!D:D, A267, Movimientos!C:C, "Ajuste", Movimientos!F:F, "TIN")),"")</f>
        <v/>
      </c>
      <c r="F267" s="6" t="str">
        <f aca="false">IFERROR(IF(A267="","",SUMIFS(Movimientos!E:E, Movimientos!D:D, A267, Movimientos!C:C, "Ingreso", Movimientos!G:G, "G1000")+SUMIFS(Movimientos!E:E, Movimientos!D:D, A267, Movimientos!C:C, "Traslado", Movimientos!G:G, "G1000")-SUMIFS(Movimientos!E:E, Movimientos!D:D, A267, Movimientos!C:C, "Traslado", Movimientos!F:F, "G1000")-SUMIFS(Movimientos!E:E, Movimientos!D:D, A267, Movimientos!C:C, "Egreso", Movimientos!F:F, "G1000")+SUMIFS(Movimientos!E:E, Movimientos!D:D, A267, Movimientos!C:C, "Ajuste", Movimientos!F:F, "G1000")),"")</f>
        <v/>
      </c>
      <c r="G267" s="6" t="str">
        <f aca="false">IFERROR(IF(A267="","",SUMIFS(Movimientos!E:E, Movimientos!D:D, A267, Movimientos!C:C, "Ingreso", Movimientos!G:G, "G710")+SUMIFS(Movimientos!E:E, Movimientos!D:D, A267, Movimientos!C:C, "Traslado", Movimientos!G:G, "G710")-SUMIFS(Movimientos!E:E, Movimientos!D:D, A267, Movimientos!C:C, "Traslado", Movimientos!F:F, "G710")-SUMIFS(Movimientos!E:E, Movimientos!D:D, A267, Movimientos!C:C, "Egreso", Movimientos!F:F, "G710")+SUMIFS(Movimientos!E:E, Movimientos!D:D, A267, Movimientos!C:C, "Ajuste", Movimientos!F:F, "G710")),"")</f>
        <v/>
      </c>
      <c r="H267" s="6" t="str">
        <f aca="false">IFERROR(IF(A267="","",SUMIFS(Movimientos!E:E, Movimientos!D:D, A267, Movimientos!C:C, "Ingreso", Movimientos!G:G, "G5000")+SUMIFS(Movimientos!E:E, Movimientos!D:D, A267, Movimientos!C:C, "Traslado", Movimientos!G:G, "G5000")-SUMIFS(Movimientos!E:E, Movimientos!D:D, A267, Movimientos!C:C, "Traslado", Movimientos!F:F, "G5000")-SUMIFS(Movimientos!E:E, Movimientos!D:D, A267, Movimientos!C:C, "Egreso", Movimientos!F:F, "G5000")+SUMIFS(Movimientos!E:E, Movimientos!D:D, A267, Movimientos!C:C, "Ajuste", Movimientos!F:F, "G5000")),"")</f>
        <v/>
      </c>
      <c r="I267" s="6" t="str">
        <f aca="false">IFERROR(IF(A267="","",SUMIFS(Movimientos!E:E, Movimientos!D:D, A267, Movimientos!C:C, "Ingreso", Movimientos!G:G, "G3")+SUMIFS(Movimientos!E:E, Movimientos!D:D, A267, Movimientos!C:C, "Traslado", Movimientos!G:G, "G3")-SUMIFS(Movimientos!E:E, Movimientos!D:D, A267, Movimientos!C:C, "Traslado", Movimientos!F:F, "G3")-SUMIFS(Movimientos!E:E, Movimientos!D:D, A267, Movimientos!C:C, "Egreso", Movimientos!F:F, "G3")+SUMIFS(Movimientos!E:E, Movimientos!D:D, A267, Movimientos!C:C, "Ajuste", Movimientos!F:F, "G3")),"")</f>
        <v/>
      </c>
      <c r="J267" s="6" t="str">
        <f aca="false">IFERROR(IF(A267="","",SUM(E267:I267)),"")</f>
        <v/>
      </c>
      <c r="K267" s="6" t="str">
        <f aca="false">IFERROR(IF(A267="","",SUMIFS(Movimientos!E:E, Movimientos!D:D, A267, Movimientos!C:C, "Reserva")-SUMIFS(Movimientos!E:E, Movimientos!D:D, A267, Movimientos!C:C, "Libera_Reserva")),"")</f>
        <v/>
      </c>
      <c r="L267" s="6" t="str">
        <f aca="false">IFERROR(IF(A267="","",J267-K267),"")</f>
        <v/>
      </c>
      <c r="M267" s="6" t="str">
        <f aca="false">IFERROR(IF(Productos!A267="","",Productos!G267),"")</f>
        <v/>
      </c>
      <c r="N267" s="6" t="str">
        <f aca="false">IFERROR(IF(A267="","",IF(L267&lt;M267,"BAJO STOCK","OK")),"")</f>
        <v/>
      </c>
    </row>
    <row r="268" customFormat="false" ht="15" hidden="false" customHeight="false" outlineLevel="0" collapsed="false">
      <c r="A268" s="0" t="str">
        <f aca="false">IFERROR(IF(Productos!A268="","",Productos!A268),"")</f>
        <v/>
      </c>
      <c r="B268" s="0" t="str">
        <f aca="false">IFERROR(IF(Productos!A268="","",Productos!B268),"")</f>
        <v/>
      </c>
      <c r="C268" s="0" t="str">
        <f aca="false">IFERROR(IF(Productos!A268="","",Productos!C268),"")</f>
        <v/>
      </c>
      <c r="D268" s="0" t="str">
        <f aca="false">IFERROR(IF(Productos!A268="","",Productos!E268),"")</f>
        <v/>
      </c>
      <c r="E268" s="6" t="str">
        <f aca="false">IFERROR(IF(A268="","",SUMIFS(Movimientos!E:E, Movimientos!D:D, A268, Movimientos!C:C, "Ingreso", Movimientos!G:G, "TIN")+SUMIFS(Movimientos!E:E, Movimientos!D:D, A268, Movimientos!C:C, "Traslado", Movimientos!G:G, "TIN")-SUMIFS(Movimientos!E:E, Movimientos!D:D, A268, Movimientos!C:C, "Traslado", Movimientos!F:F, "TIN")-SUMIFS(Movimientos!E:E, Movimientos!D:D, A268, Movimientos!C:C, "Egreso", Movimientos!F:F, "TIN")+SUMIFS(Movimientos!E:E, Movimientos!D:D, A268, Movimientos!C:C, "Ajuste", Movimientos!F:F, "TIN")),"")</f>
        <v/>
      </c>
      <c r="F268" s="6" t="str">
        <f aca="false">IFERROR(IF(A268="","",SUMIFS(Movimientos!E:E, Movimientos!D:D, A268, Movimientos!C:C, "Ingreso", Movimientos!G:G, "G1000")+SUMIFS(Movimientos!E:E, Movimientos!D:D, A268, Movimientos!C:C, "Traslado", Movimientos!G:G, "G1000")-SUMIFS(Movimientos!E:E, Movimientos!D:D, A268, Movimientos!C:C, "Traslado", Movimientos!F:F, "G1000")-SUMIFS(Movimientos!E:E, Movimientos!D:D, A268, Movimientos!C:C, "Egreso", Movimientos!F:F, "G1000")+SUMIFS(Movimientos!E:E, Movimientos!D:D, A268, Movimientos!C:C, "Ajuste", Movimientos!F:F, "G1000")),"")</f>
        <v/>
      </c>
      <c r="G268" s="6" t="str">
        <f aca="false">IFERROR(IF(A268="","",SUMIFS(Movimientos!E:E, Movimientos!D:D, A268, Movimientos!C:C, "Ingreso", Movimientos!G:G, "G710")+SUMIFS(Movimientos!E:E, Movimientos!D:D, A268, Movimientos!C:C, "Traslado", Movimientos!G:G, "G710")-SUMIFS(Movimientos!E:E, Movimientos!D:D, A268, Movimientos!C:C, "Traslado", Movimientos!F:F, "G710")-SUMIFS(Movimientos!E:E, Movimientos!D:D, A268, Movimientos!C:C, "Egreso", Movimientos!F:F, "G710")+SUMIFS(Movimientos!E:E, Movimientos!D:D, A268, Movimientos!C:C, "Ajuste", Movimientos!F:F, "G710")),"")</f>
        <v/>
      </c>
      <c r="H268" s="6" t="str">
        <f aca="false">IFERROR(IF(A268="","",SUMIFS(Movimientos!E:E, Movimientos!D:D, A268, Movimientos!C:C, "Ingreso", Movimientos!G:G, "G5000")+SUMIFS(Movimientos!E:E, Movimientos!D:D, A268, Movimientos!C:C, "Traslado", Movimientos!G:G, "G5000")-SUMIFS(Movimientos!E:E, Movimientos!D:D, A268, Movimientos!C:C, "Traslado", Movimientos!F:F, "G5000")-SUMIFS(Movimientos!E:E, Movimientos!D:D, A268, Movimientos!C:C, "Egreso", Movimientos!F:F, "G5000")+SUMIFS(Movimientos!E:E, Movimientos!D:D, A268, Movimientos!C:C, "Ajuste", Movimientos!F:F, "G5000")),"")</f>
        <v/>
      </c>
      <c r="I268" s="6" t="str">
        <f aca="false">IFERROR(IF(A268="","",SUMIFS(Movimientos!E:E, Movimientos!D:D, A268, Movimientos!C:C, "Ingreso", Movimientos!G:G, "G3")+SUMIFS(Movimientos!E:E, Movimientos!D:D, A268, Movimientos!C:C, "Traslado", Movimientos!G:G, "G3")-SUMIFS(Movimientos!E:E, Movimientos!D:D, A268, Movimientos!C:C, "Traslado", Movimientos!F:F, "G3")-SUMIFS(Movimientos!E:E, Movimientos!D:D, A268, Movimientos!C:C, "Egreso", Movimientos!F:F, "G3")+SUMIFS(Movimientos!E:E, Movimientos!D:D, A268, Movimientos!C:C, "Ajuste", Movimientos!F:F, "G3")),"")</f>
        <v/>
      </c>
      <c r="J268" s="6" t="str">
        <f aca="false">IFERROR(IF(A268="","",SUM(E268:I268)),"")</f>
        <v/>
      </c>
      <c r="K268" s="6" t="str">
        <f aca="false">IFERROR(IF(A268="","",SUMIFS(Movimientos!E:E, Movimientos!D:D, A268, Movimientos!C:C, "Reserva")-SUMIFS(Movimientos!E:E, Movimientos!D:D, A268, Movimientos!C:C, "Libera_Reserva")),"")</f>
        <v/>
      </c>
      <c r="L268" s="6" t="str">
        <f aca="false">IFERROR(IF(A268="","",J268-K268),"")</f>
        <v/>
      </c>
      <c r="M268" s="6" t="str">
        <f aca="false">IFERROR(IF(Productos!A268="","",Productos!G268),"")</f>
        <v/>
      </c>
      <c r="N268" s="6" t="str">
        <f aca="false">IFERROR(IF(A268="","",IF(L268&lt;M268,"BAJO STOCK","OK")),"")</f>
        <v/>
      </c>
    </row>
    <row r="269" customFormat="false" ht="15" hidden="false" customHeight="false" outlineLevel="0" collapsed="false">
      <c r="A269" s="0" t="str">
        <f aca="false">IFERROR(IF(Productos!A269="","",Productos!A269),"")</f>
        <v/>
      </c>
      <c r="B269" s="0" t="str">
        <f aca="false">IFERROR(IF(Productos!A269="","",Productos!B269),"")</f>
        <v/>
      </c>
      <c r="C269" s="0" t="str">
        <f aca="false">IFERROR(IF(Productos!A269="","",Productos!C269),"")</f>
        <v/>
      </c>
      <c r="D269" s="0" t="str">
        <f aca="false">IFERROR(IF(Productos!A269="","",Productos!E269),"")</f>
        <v/>
      </c>
      <c r="E269" s="6" t="str">
        <f aca="false">IFERROR(IF(A269="","",SUMIFS(Movimientos!E:E, Movimientos!D:D, A269, Movimientos!C:C, "Ingreso", Movimientos!G:G, "TIN")+SUMIFS(Movimientos!E:E, Movimientos!D:D, A269, Movimientos!C:C, "Traslado", Movimientos!G:G, "TIN")-SUMIFS(Movimientos!E:E, Movimientos!D:D, A269, Movimientos!C:C, "Traslado", Movimientos!F:F, "TIN")-SUMIFS(Movimientos!E:E, Movimientos!D:D, A269, Movimientos!C:C, "Egreso", Movimientos!F:F, "TIN")+SUMIFS(Movimientos!E:E, Movimientos!D:D, A269, Movimientos!C:C, "Ajuste", Movimientos!F:F, "TIN")),"")</f>
        <v/>
      </c>
      <c r="F269" s="6" t="str">
        <f aca="false">IFERROR(IF(A269="","",SUMIFS(Movimientos!E:E, Movimientos!D:D, A269, Movimientos!C:C, "Ingreso", Movimientos!G:G, "G1000")+SUMIFS(Movimientos!E:E, Movimientos!D:D, A269, Movimientos!C:C, "Traslado", Movimientos!G:G, "G1000")-SUMIFS(Movimientos!E:E, Movimientos!D:D, A269, Movimientos!C:C, "Traslado", Movimientos!F:F, "G1000")-SUMIFS(Movimientos!E:E, Movimientos!D:D, A269, Movimientos!C:C, "Egreso", Movimientos!F:F, "G1000")+SUMIFS(Movimientos!E:E, Movimientos!D:D, A269, Movimientos!C:C, "Ajuste", Movimientos!F:F, "G1000")),"")</f>
        <v/>
      </c>
      <c r="G269" s="6" t="str">
        <f aca="false">IFERROR(IF(A269="","",SUMIFS(Movimientos!E:E, Movimientos!D:D, A269, Movimientos!C:C, "Ingreso", Movimientos!G:G, "G710")+SUMIFS(Movimientos!E:E, Movimientos!D:D, A269, Movimientos!C:C, "Traslado", Movimientos!G:G, "G710")-SUMIFS(Movimientos!E:E, Movimientos!D:D, A269, Movimientos!C:C, "Traslado", Movimientos!F:F, "G710")-SUMIFS(Movimientos!E:E, Movimientos!D:D, A269, Movimientos!C:C, "Egreso", Movimientos!F:F, "G710")+SUMIFS(Movimientos!E:E, Movimientos!D:D, A269, Movimientos!C:C, "Ajuste", Movimientos!F:F, "G710")),"")</f>
        <v/>
      </c>
      <c r="H269" s="6" t="str">
        <f aca="false">IFERROR(IF(A269="","",SUMIFS(Movimientos!E:E, Movimientos!D:D, A269, Movimientos!C:C, "Ingreso", Movimientos!G:G, "G5000")+SUMIFS(Movimientos!E:E, Movimientos!D:D, A269, Movimientos!C:C, "Traslado", Movimientos!G:G, "G5000")-SUMIFS(Movimientos!E:E, Movimientos!D:D, A269, Movimientos!C:C, "Traslado", Movimientos!F:F, "G5000")-SUMIFS(Movimientos!E:E, Movimientos!D:D, A269, Movimientos!C:C, "Egreso", Movimientos!F:F, "G5000")+SUMIFS(Movimientos!E:E, Movimientos!D:D, A269, Movimientos!C:C, "Ajuste", Movimientos!F:F, "G5000")),"")</f>
        <v/>
      </c>
      <c r="I269" s="6" t="str">
        <f aca="false">IFERROR(IF(A269="","",SUMIFS(Movimientos!E:E, Movimientos!D:D, A269, Movimientos!C:C, "Ingreso", Movimientos!G:G, "G3")+SUMIFS(Movimientos!E:E, Movimientos!D:D, A269, Movimientos!C:C, "Traslado", Movimientos!G:G, "G3")-SUMIFS(Movimientos!E:E, Movimientos!D:D, A269, Movimientos!C:C, "Traslado", Movimientos!F:F, "G3")-SUMIFS(Movimientos!E:E, Movimientos!D:D, A269, Movimientos!C:C, "Egreso", Movimientos!F:F, "G3")+SUMIFS(Movimientos!E:E, Movimientos!D:D, A269, Movimientos!C:C, "Ajuste", Movimientos!F:F, "G3")),"")</f>
        <v/>
      </c>
      <c r="J269" s="6" t="str">
        <f aca="false">IFERROR(IF(A269="","",SUM(E269:I269)),"")</f>
        <v/>
      </c>
      <c r="K269" s="6" t="str">
        <f aca="false">IFERROR(IF(A269="","",SUMIFS(Movimientos!E:E, Movimientos!D:D, A269, Movimientos!C:C, "Reserva")-SUMIFS(Movimientos!E:E, Movimientos!D:D, A269, Movimientos!C:C, "Libera_Reserva")),"")</f>
        <v/>
      </c>
      <c r="L269" s="6" t="str">
        <f aca="false">IFERROR(IF(A269="","",J269-K269),"")</f>
        <v/>
      </c>
      <c r="M269" s="6" t="str">
        <f aca="false">IFERROR(IF(Productos!A269="","",Productos!G269),"")</f>
        <v/>
      </c>
      <c r="N269" s="6" t="str">
        <f aca="false">IFERROR(IF(A269="","",IF(L269&lt;M269,"BAJO STOCK","OK")),"")</f>
        <v/>
      </c>
    </row>
    <row r="270" customFormat="false" ht="15" hidden="false" customHeight="false" outlineLevel="0" collapsed="false">
      <c r="A270" s="0" t="str">
        <f aca="false">IFERROR(IF(Productos!A270="","",Productos!A270),"")</f>
        <v/>
      </c>
      <c r="B270" s="0" t="str">
        <f aca="false">IFERROR(IF(Productos!A270="","",Productos!B270),"")</f>
        <v/>
      </c>
      <c r="C270" s="0" t="str">
        <f aca="false">IFERROR(IF(Productos!A270="","",Productos!C270),"")</f>
        <v/>
      </c>
      <c r="D270" s="0" t="str">
        <f aca="false">IFERROR(IF(Productos!A270="","",Productos!E270),"")</f>
        <v/>
      </c>
      <c r="E270" s="6" t="str">
        <f aca="false">IFERROR(IF(A270="","",SUMIFS(Movimientos!E:E, Movimientos!D:D, A270, Movimientos!C:C, "Ingreso", Movimientos!G:G, "TIN")+SUMIFS(Movimientos!E:E, Movimientos!D:D, A270, Movimientos!C:C, "Traslado", Movimientos!G:G, "TIN")-SUMIFS(Movimientos!E:E, Movimientos!D:D, A270, Movimientos!C:C, "Traslado", Movimientos!F:F, "TIN")-SUMIFS(Movimientos!E:E, Movimientos!D:D, A270, Movimientos!C:C, "Egreso", Movimientos!F:F, "TIN")+SUMIFS(Movimientos!E:E, Movimientos!D:D, A270, Movimientos!C:C, "Ajuste", Movimientos!F:F, "TIN")),"")</f>
        <v/>
      </c>
      <c r="F270" s="6" t="str">
        <f aca="false">IFERROR(IF(A270="","",SUMIFS(Movimientos!E:E, Movimientos!D:D, A270, Movimientos!C:C, "Ingreso", Movimientos!G:G, "G1000")+SUMIFS(Movimientos!E:E, Movimientos!D:D, A270, Movimientos!C:C, "Traslado", Movimientos!G:G, "G1000")-SUMIFS(Movimientos!E:E, Movimientos!D:D, A270, Movimientos!C:C, "Traslado", Movimientos!F:F, "G1000")-SUMIFS(Movimientos!E:E, Movimientos!D:D, A270, Movimientos!C:C, "Egreso", Movimientos!F:F, "G1000")+SUMIFS(Movimientos!E:E, Movimientos!D:D, A270, Movimientos!C:C, "Ajuste", Movimientos!F:F, "G1000")),"")</f>
        <v/>
      </c>
      <c r="G270" s="6" t="str">
        <f aca="false">IFERROR(IF(A270="","",SUMIFS(Movimientos!E:E, Movimientos!D:D, A270, Movimientos!C:C, "Ingreso", Movimientos!G:G, "G710")+SUMIFS(Movimientos!E:E, Movimientos!D:D, A270, Movimientos!C:C, "Traslado", Movimientos!G:G, "G710")-SUMIFS(Movimientos!E:E, Movimientos!D:D, A270, Movimientos!C:C, "Traslado", Movimientos!F:F, "G710")-SUMIFS(Movimientos!E:E, Movimientos!D:D, A270, Movimientos!C:C, "Egreso", Movimientos!F:F, "G710")+SUMIFS(Movimientos!E:E, Movimientos!D:D, A270, Movimientos!C:C, "Ajuste", Movimientos!F:F, "G710")),"")</f>
        <v/>
      </c>
      <c r="H270" s="6" t="str">
        <f aca="false">IFERROR(IF(A270="","",SUMIFS(Movimientos!E:E, Movimientos!D:D, A270, Movimientos!C:C, "Ingreso", Movimientos!G:G, "G5000")+SUMIFS(Movimientos!E:E, Movimientos!D:D, A270, Movimientos!C:C, "Traslado", Movimientos!G:G, "G5000")-SUMIFS(Movimientos!E:E, Movimientos!D:D, A270, Movimientos!C:C, "Traslado", Movimientos!F:F, "G5000")-SUMIFS(Movimientos!E:E, Movimientos!D:D, A270, Movimientos!C:C, "Egreso", Movimientos!F:F, "G5000")+SUMIFS(Movimientos!E:E, Movimientos!D:D, A270, Movimientos!C:C, "Ajuste", Movimientos!F:F, "G5000")),"")</f>
        <v/>
      </c>
      <c r="I270" s="6" t="str">
        <f aca="false">IFERROR(IF(A270="","",SUMIFS(Movimientos!E:E, Movimientos!D:D, A270, Movimientos!C:C, "Ingreso", Movimientos!G:G, "G3")+SUMIFS(Movimientos!E:E, Movimientos!D:D, A270, Movimientos!C:C, "Traslado", Movimientos!G:G, "G3")-SUMIFS(Movimientos!E:E, Movimientos!D:D, A270, Movimientos!C:C, "Traslado", Movimientos!F:F, "G3")-SUMIFS(Movimientos!E:E, Movimientos!D:D, A270, Movimientos!C:C, "Egreso", Movimientos!F:F, "G3")+SUMIFS(Movimientos!E:E, Movimientos!D:D, A270, Movimientos!C:C, "Ajuste", Movimientos!F:F, "G3")),"")</f>
        <v/>
      </c>
      <c r="J270" s="6" t="str">
        <f aca="false">IFERROR(IF(A270="","",SUM(E270:I270)),"")</f>
        <v/>
      </c>
      <c r="K270" s="6" t="str">
        <f aca="false">IFERROR(IF(A270="","",SUMIFS(Movimientos!E:E, Movimientos!D:D, A270, Movimientos!C:C, "Reserva")-SUMIFS(Movimientos!E:E, Movimientos!D:D, A270, Movimientos!C:C, "Libera_Reserva")),"")</f>
        <v/>
      </c>
      <c r="L270" s="6" t="str">
        <f aca="false">IFERROR(IF(A270="","",J270-K270),"")</f>
        <v/>
      </c>
      <c r="M270" s="6" t="str">
        <f aca="false">IFERROR(IF(Productos!A270="","",Productos!G270),"")</f>
        <v/>
      </c>
      <c r="N270" s="6" t="str">
        <f aca="false">IFERROR(IF(A270="","",IF(L270&lt;M270,"BAJO STOCK","OK")),"")</f>
        <v/>
      </c>
    </row>
    <row r="271" customFormat="false" ht="15" hidden="false" customHeight="false" outlineLevel="0" collapsed="false">
      <c r="A271" s="0" t="str">
        <f aca="false">IFERROR(IF(Productos!A271="","",Productos!A271),"")</f>
        <v/>
      </c>
      <c r="B271" s="0" t="str">
        <f aca="false">IFERROR(IF(Productos!A271="","",Productos!B271),"")</f>
        <v/>
      </c>
      <c r="C271" s="0" t="str">
        <f aca="false">IFERROR(IF(Productos!A271="","",Productos!C271),"")</f>
        <v/>
      </c>
      <c r="D271" s="0" t="str">
        <f aca="false">IFERROR(IF(Productos!A271="","",Productos!E271),"")</f>
        <v/>
      </c>
      <c r="E271" s="6" t="str">
        <f aca="false">IFERROR(IF(A271="","",SUMIFS(Movimientos!E:E, Movimientos!D:D, A271, Movimientos!C:C, "Ingreso", Movimientos!G:G, "TIN")+SUMIFS(Movimientos!E:E, Movimientos!D:D, A271, Movimientos!C:C, "Traslado", Movimientos!G:G, "TIN")-SUMIFS(Movimientos!E:E, Movimientos!D:D, A271, Movimientos!C:C, "Traslado", Movimientos!F:F, "TIN")-SUMIFS(Movimientos!E:E, Movimientos!D:D, A271, Movimientos!C:C, "Egreso", Movimientos!F:F, "TIN")+SUMIFS(Movimientos!E:E, Movimientos!D:D, A271, Movimientos!C:C, "Ajuste", Movimientos!F:F, "TIN")),"")</f>
        <v/>
      </c>
      <c r="F271" s="6" t="str">
        <f aca="false">IFERROR(IF(A271="","",SUMIFS(Movimientos!E:E, Movimientos!D:D, A271, Movimientos!C:C, "Ingreso", Movimientos!G:G, "G1000")+SUMIFS(Movimientos!E:E, Movimientos!D:D, A271, Movimientos!C:C, "Traslado", Movimientos!G:G, "G1000")-SUMIFS(Movimientos!E:E, Movimientos!D:D, A271, Movimientos!C:C, "Traslado", Movimientos!F:F, "G1000")-SUMIFS(Movimientos!E:E, Movimientos!D:D, A271, Movimientos!C:C, "Egreso", Movimientos!F:F, "G1000")+SUMIFS(Movimientos!E:E, Movimientos!D:D, A271, Movimientos!C:C, "Ajuste", Movimientos!F:F, "G1000")),"")</f>
        <v/>
      </c>
      <c r="G271" s="6" t="str">
        <f aca="false">IFERROR(IF(A271="","",SUMIFS(Movimientos!E:E, Movimientos!D:D, A271, Movimientos!C:C, "Ingreso", Movimientos!G:G, "G710")+SUMIFS(Movimientos!E:E, Movimientos!D:D, A271, Movimientos!C:C, "Traslado", Movimientos!G:G, "G710")-SUMIFS(Movimientos!E:E, Movimientos!D:D, A271, Movimientos!C:C, "Traslado", Movimientos!F:F, "G710")-SUMIFS(Movimientos!E:E, Movimientos!D:D, A271, Movimientos!C:C, "Egreso", Movimientos!F:F, "G710")+SUMIFS(Movimientos!E:E, Movimientos!D:D, A271, Movimientos!C:C, "Ajuste", Movimientos!F:F, "G710")),"")</f>
        <v/>
      </c>
      <c r="H271" s="6" t="str">
        <f aca="false">IFERROR(IF(A271="","",SUMIFS(Movimientos!E:E, Movimientos!D:D, A271, Movimientos!C:C, "Ingreso", Movimientos!G:G, "G5000")+SUMIFS(Movimientos!E:E, Movimientos!D:D, A271, Movimientos!C:C, "Traslado", Movimientos!G:G, "G5000")-SUMIFS(Movimientos!E:E, Movimientos!D:D, A271, Movimientos!C:C, "Traslado", Movimientos!F:F, "G5000")-SUMIFS(Movimientos!E:E, Movimientos!D:D, A271, Movimientos!C:C, "Egreso", Movimientos!F:F, "G5000")+SUMIFS(Movimientos!E:E, Movimientos!D:D, A271, Movimientos!C:C, "Ajuste", Movimientos!F:F, "G5000")),"")</f>
        <v/>
      </c>
      <c r="I271" s="6" t="str">
        <f aca="false">IFERROR(IF(A271="","",SUMIFS(Movimientos!E:E, Movimientos!D:D, A271, Movimientos!C:C, "Ingreso", Movimientos!G:G, "G3")+SUMIFS(Movimientos!E:E, Movimientos!D:D, A271, Movimientos!C:C, "Traslado", Movimientos!G:G, "G3")-SUMIFS(Movimientos!E:E, Movimientos!D:D, A271, Movimientos!C:C, "Traslado", Movimientos!F:F, "G3")-SUMIFS(Movimientos!E:E, Movimientos!D:D, A271, Movimientos!C:C, "Egreso", Movimientos!F:F, "G3")+SUMIFS(Movimientos!E:E, Movimientos!D:D, A271, Movimientos!C:C, "Ajuste", Movimientos!F:F, "G3")),"")</f>
        <v/>
      </c>
      <c r="J271" s="6" t="str">
        <f aca="false">IFERROR(IF(A271="","",SUM(E271:I271)),"")</f>
        <v/>
      </c>
      <c r="K271" s="6" t="str">
        <f aca="false">IFERROR(IF(A271="","",SUMIFS(Movimientos!E:E, Movimientos!D:D, A271, Movimientos!C:C, "Reserva")-SUMIFS(Movimientos!E:E, Movimientos!D:D, A271, Movimientos!C:C, "Libera_Reserva")),"")</f>
        <v/>
      </c>
      <c r="L271" s="6" t="str">
        <f aca="false">IFERROR(IF(A271="","",J271-K271),"")</f>
        <v/>
      </c>
      <c r="M271" s="6" t="str">
        <f aca="false">IFERROR(IF(Productos!A271="","",Productos!G271),"")</f>
        <v/>
      </c>
      <c r="N271" s="6" t="str">
        <f aca="false">IFERROR(IF(A271="","",IF(L271&lt;M271,"BAJO STOCK","OK")),"")</f>
        <v/>
      </c>
    </row>
    <row r="272" customFormat="false" ht="15" hidden="false" customHeight="false" outlineLevel="0" collapsed="false">
      <c r="A272" s="0" t="str">
        <f aca="false">IFERROR(IF(Productos!A272="","",Productos!A272),"")</f>
        <v/>
      </c>
      <c r="B272" s="0" t="str">
        <f aca="false">IFERROR(IF(Productos!A272="","",Productos!B272),"")</f>
        <v/>
      </c>
      <c r="C272" s="0" t="str">
        <f aca="false">IFERROR(IF(Productos!A272="","",Productos!C272),"")</f>
        <v/>
      </c>
      <c r="D272" s="0" t="str">
        <f aca="false">IFERROR(IF(Productos!A272="","",Productos!E272),"")</f>
        <v/>
      </c>
      <c r="E272" s="6" t="str">
        <f aca="false">IFERROR(IF(A272="","",SUMIFS(Movimientos!E:E, Movimientos!D:D, A272, Movimientos!C:C, "Ingreso", Movimientos!G:G, "TIN")+SUMIFS(Movimientos!E:E, Movimientos!D:D, A272, Movimientos!C:C, "Traslado", Movimientos!G:G, "TIN")-SUMIFS(Movimientos!E:E, Movimientos!D:D, A272, Movimientos!C:C, "Traslado", Movimientos!F:F, "TIN")-SUMIFS(Movimientos!E:E, Movimientos!D:D, A272, Movimientos!C:C, "Egreso", Movimientos!F:F, "TIN")+SUMIFS(Movimientos!E:E, Movimientos!D:D, A272, Movimientos!C:C, "Ajuste", Movimientos!F:F, "TIN")),"")</f>
        <v/>
      </c>
      <c r="F272" s="6" t="str">
        <f aca="false">IFERROR(IF(A272="","",SUMIFS(Movimientos!E:E, Movimientos!D:D, A272, Movimientos!C:C, "Ingreso", Movimientos!G:G, "G1000")+SUMIFS(Movimientos!E:E, Movimientos!D:D, A272, Movimientos!C:C, "Traslado", Movimientos!G:G, "G1000")-SUMIFS(Movimientos!E:E, Movimientos!D:D, A272, Movimientos!C:C, "Traslado", Movimientos!F:F, "G1000")-SUMIFS(Movimientos!E:E, Movimientos!D:D, A272, Movimientos!C:C, "Egreso", Movimientos!F:F, "G1000")+SUMIFS(Movimientos!E:E, Movimientos!D:D, A272, Movimientos!C:C, "Ajuste", Movimientos!F:F, "G1000")),"")</f>
        <v/>
      </c>
      <c r="G272" s="6" t="str">
        <f aca="false">IFERROR(IF(A272="","",SUMIFS(Movimientos!E:E, Movimientos!D:D, A272, Movimientos!C:C, "Ingreso", Movimientos!G:G, "G710")+SUMIFS(Movimientos!E:E, Movimientos!D:D, A272, Movimientos!C:C, "Traslado", Movimientos!G:G, "G710")-SUMIFS(Movimientos!E:E, Movimientos!D:D, A272, Movimientos!C:C, "Traslado", Movimientos!F:F, "G710")-SUMIFS(Movimientos!E:E, Movimientos!D:D, A272, Movimientos!C:C, "Egreso", Movimientos!F:F, "G710")+SUMIFS(Movimientos!E:E, Movimientos!D:D, A272, Movimientos!C:C, "Ajuste", Movimientos!F:F, "G710")),"")</f>
        <v/>
      </c>
      <c r="H272" s="6" t="str">
        <f aca="false">IFERROR(IF(A272="","",SUMIFS(Movimientos!E:E, Movimientos!D:D, A272, Movimientos!C:C, "Ingreso", Movimientos!G:G, "G5000")+SUMIFS(Movimientos!E:E, Movimientos!D:D, A272, Movimientos!C:C, "Traslado", Movimientos!G:G, "G5000")-SUMIFS(Movimientos!E:E, Movimientos!D:D, A272, Movimientos!C:C, "Traslado", Movimientos!F:F, "G5000")-SUMIFS(Movimientos!E:E, Movimientos!D:D, A272, Movimientos!C:C, "Egreso", Movimientos!F:F, "G5000")+SUMIFS(Movimientos!E:E, Movimientos!D:D, A272, Movimientos!C:C, "Ajuste", Movimientos!F:F, "G5000")),"")</f>
        <v/>
      </c>
      <c r="I272" s="6" t="str">
        <f aca="false">IFERROR(IF(A272="","",SUMIFS(Movimientos!E:E, Movimientos!D:D, A272, Movimientos!C:C, "Ingreso", Movimientos!G:G, "G3")+SUMIFS(Movimientos!E:E, Movimientos!D:D, A272, Movimientos!C:C, "Traslado", Movimientos!G:G, "G3")-SUMIFS(Movimientos!E:E, Movimientos!D:D, A272, Movimientos!C:C, "Traslado", Movimientos!F:F, "G3")-SUMIFS(Movimientos!E:E, Movimientos!D:D, A272, Movimientos!C:C, "Egreso", Movimientos!F:F, "G3")+SUMIFS(Movimientos!E:E, Movimientos!D:D, A272, Movimientos!C:C, "Ajuste", Movimientos!F:F, "G3")),"")</f>
        <v/>
      </c>
      <c r="J272" s="6" t="str">
        <f aca="false">IFERROR(IF(A272="","",SUM(E272:I272)),"")</f>
        <v/>
      </c>
      <c r="K272" s="6" t="str">
        <f aca="false">IFERROR(IF(A272="","",SUMIFS(Movimientos!E:E, Movimientos!D:D, A272, Movimientos!C:C, "Reserva")-SUMIFS(Movimientos!E:E, Movimientos!D:D, A272, Movimientos!C:C, "Libera_Reserva")),"")</f>
        <v/>
      </c>
      <c r="L272" s="6" t="str">
        <f aca="false">IFERROR(IF(A272="","",J272-K272),"")</f>
        <v/>
      </c>
      <c r="M272" s="6" t="str">
        <f aca="false">IFERROR(IF(Productos!A272="","",Productos!G272),"")</f>
        <v/>
      </c>
      <c r="N272" s="6" t="str">
        <f aca="false">IFERROR(IF(A272="","",IF(L272&lt;M272,"BAJO STOCK","OK")),"")</f>
        <v/>
      </c>
    </row>
    <row r="273" customFormat="false" ht="15" hidden="false" customHeight="false" outlineLevel="0" collapsed="false">
      <c r="A273" s="0" t="str">
        <f aca="false">IFERROR(IF(Productos!A273="","",Productos!A273),"")</f>
        <v/>
      </c>
      <c r="B273" s="0" t="str">
        <f aca="false">IFERROR(IF(Productos!A273="","",Productos!B273),"")</f>
        <v/>
      </c>
      <c r="C273" s="0" t="str">
        <f aca="false">IFERROR(IF(Productos!A273="","",Productos!C273),"")</f>
        <v/>
      </c>
      <c r="D273" s="0" t="str">
        <f aca="false">IFERROR(IF(Productos!A273="","",Productos!E273),"")</f>
        <v/>
      </c>
      <c r="E273" s="6" t="str">
        <f aca="false">IFERROR(IF(A273="","",SUMIFS(Movimientos!E:E, Movimientos!D:D, A273, Movimientos!C:C, "Ingreso", Movimientos!G:G, "TIN")+SUMIFS(Movimientos!E:E, Movimientos!D:D, A273, Movimientos!C:C, "Traslado", Movimientos!G:G, "TIN")-SUMIFS(Movimientos!E:E, Movimientos!D:D, A273, Movimientos!C:C, "Traslado", Movimientos!F:F, "TIN")-SUMIFS(Movimientos!E:E, Movimientos!D:D, A273, Movimientos!C:C, "Egreso", Movimientos!F:F, "TIN")+SUMIFS(Movimientos!E:E, Movimientos!D:D, A273, Movimientos!C:C, "Ajuste", Movimientos!F:F, "TIN")),"")</f>
        <v/>
      </c>
      <c r="F273" s="6" t="str">
        <f aca="false">IFERROR(IF(A273="","",SUMIFS(Movimientos!E:E, Movimientos!D:D, A273, Movimientos!C:C, "Ingreso", Movimientos!G:G, "G1000")+SUMIFS(Movimientos!E:E, Movimientos!D:D, A273, Movimientos!C:C, "Traslado", Movimientos!G:G, "G1000")-SUMIFS(Movimientos!E:E, Movimientos!D:D, A273, Movimientos!C:C, "Traslado", Movimientos!F:F, "G1000")-SUMIFS(Movimientos!E:E, Movimientos!D:D, A273, Movimientos!C:C, "Egreso", Movimientos!F:F, "G1000")+SUMIFS(Movimientos!E:E, Movimientos!D:D, A273, Movimientos!C:C, "Ajuste", Movimientos!F:F, "G1000")),"")</f>
        <v/>
      </c>
      <c r="G273" s="6" t="str">
        <f aca="false">IFERROR(IF(A273="","",SUMIFS(Movimientos!E:E, Movimientos!D:D, A273, Movimientos!C:C, "Ingreso", Movimientos!G:G, "G710")+SUMIFS(Movimientos!E:E, Movimientos!D:D, A273, Movimientos!C:C, "Traslado", Movimientos!G:G, "G710")-SUMIFS(Movimientos!E:E, Movimientos!D:D, A273, Movimientos!C:C, "Traslado", Movimientos!F:F, "G710")-SUMIFS(Movimientos!E:E, Movimientos!D:D, A273, Movimientos!C:C, "Egreso", Movimientos!F:F, "G710")+SUMIFS(Movimientos!E:E, Movimientos!D:D, A273, Movimientos!C:C, "Ajuste", Movimientos!F:F, "G710")),"")</f>
        <v/>
      </c>
      <c r="H273" s="6" t="str">
        <f aca="false">IFERROR(IF(A273="","",SUMIFS(Movimientos!E:E, Movimientos!D:D, A273, Movimientos!C:C, "Ingreso", Movimientos!G:G, "G5000")+SUMIFS(Movimientos!E:E, Movimientos!D:D, A273, Movimientos!C:C, "Traslado", Movimientos!G:G, "G5000")-SUMIFS(Movimientos!E:E, Movimientos!D:D, A273, Movimientos!C:C, "Traslado", Movimientos!F:F, "G5000")-SUMIFS(Movimientos!E:E, Movimientos!D:D, A273, Movimientos!C:C, "Egreso", Movimientos!F:F, "G5000")+SUMIFS(Movimientos!E:E, Movimientos!D:D, A273, Movimientos!C:C, "Ajuste", Movimientos!F:F, "G5000")),"")</f>
        <v/>
      </c>
      <c r="I273" s="6" t="str">
        <f aca="false">IFERROR(IF(A273="","",SUMIFS(Movimientos!E:E, Movimientos!D:D, A273, Movimientos!C:C, "Ingreso", Movimientos!G:G, "G3")+SUMIFS(Movimientos!E:E, Movimientos!D:D, A273, Movimientos!C:C, "Traslado", Movimientos!G:G, "G3")-SUMIFS(Movimientos!E:E, Movimientos!D:D, A273, Movimientos!C:C, "Traslado", Movimientos!F:F, "G3")-SUMIFS(Movimientos!E:E, Movimientos!D:D, A273, Movimientos!C:C, "Egreso", Movimientos!F:F, "G3")+SUMIFS(Movimientos!E:E, Movimientos!D:D, A273, Movimientos!C:C, "Ajuste", Movimientos!F:F, "G3")),"")</f>
        <v/>
      </c>
      <c r="J273" s="6" t="str">
        <f aca="false">IFERROR(IF(A273="","",SUM(E273:I273)),"")</f>
        <v/>
      </c>
      <c r="K273" s="6" t="str">
        <f aca="false">IFERROR(IF(A273="","",SUMIFS(Movimientos!E:E, Movimientos!D:D, A273, Movimientos!C:C, "Reserva")-SUMIFS(Movimientos!E:E, Movimientos!D:D, A273, Movimientos!C:C, "Libera_Reserva")),"")</f>
        <v/>
      </c>
      <c r="L273" s="6" t="str">
        <f aca="false">IFERROR(IF(A273="","",J273-K273),"")</f>
        <v/>
      </c>
      <c r="M273" s="6" t="str">
        <f aca="false">IFERROR(IF(Productos!A273="","",Productos!G273),"")</f>
        <v/>
      </c>
      <c r="N273" s="6" t="str">
        <f aca="false">IFERROR(IF(A273="","",IF(L273&lt;M273,"BAJO STOCK","OK")),"")</f>
        <v/>
      </c>
    </row>
    <row r="274" customFormat="false" ht="15" hidden="false" customHeight="false" outlineLevel="0" collapsed="false">
      <c r="A274" s="0" t="str">
        <f aca="false">IFERROR(IF(Productos!A274="","",Productos!A274),"")</f>
        <v/>
      </c>
      <c r="B274" s="0" t="str">
        <f aca="false">IFERROR(IF(Productos!A274="","",Productos!B274),"")</f>
        <v/>
      </c>
      <c r="C274" s="0" t="str">
        <f aca="false">IFERROR(IF(Productos!A274="","",Productos!C274),"")</f>
        <v/>
      </c>
      <c r="D274" s="0" t="str">
        <f aca="false">IFERROR(IF(Productos!A274="","",Productos!E274),"")</f>
        <v/>
      </c>
      <c r="E274" s="6" t="str">
        <f aca="false">IFERROR(IF(A274="","",SUMIFS(Movimientos!E:E, Movimientos!D:D, A274, Movimientos!C:C, "Ingreso", Movimientos!G:G, "TIN")+SUMIFS(Movimientos!E:E, Movimientos!D:D, A274, Movimientos!C:C, "Traslado", Movimientos!G:G, "TIN")-SUMIFS(Movimientos!E:E, Movimientos!D:D, A274, Movimientos!C:C, "Traslado", Movimientos!F:F, "TIN")-SUMIFS(Movimientos!E:E, Movimientos!D:D, A274, Movimientos!C:C, "Egreso", Movimientos!F:F, "TIN")+SUMIFS(Movimientos!E:E, Movimientos!D:D, A274, Movimientos!C:C, "Ajuste", Movimientos!F:F, "TIN")),"")</f>
        <v/>
      </c>
      <c r="F274" s="6" t="str">
        <f aca="false">IFERROR(IF(A274="","",SUMIFS(Movimientos!E:E, Movimientos!D:D, A274, Movimientos!C:C, "Ingreso", Movimientos!G:G, "G1000")+SUMIFS(Movimientos!E:E, Movimientos!D:D, A274, Movimientos!C:C, "Traslado", Movimientos!G:G, "G1000")-SUMIFS(Movimientos!E:E, Movimientos!D:D, A274, Movimientos!C:C, "Traslado", Movimientos!F:F, "G1000")-SUMIFS(Movimientos!E:E, Movimientos!D:D, A274, Movimientos!C:C, "Egreso", Movimientos!F:F, "G1000")+SUMIFS(Movimientos!E:E, Movimientos!D:D, A274, Movimientos!C:C, "Ajuste", Movimientos!F:F, "G1000")),"")</f>
        <v/>
      </c>
      <c r="G274" s="6" t="str">
        <f aca="false">IFERROR(IF(A274="","",SUMIFS(Movimientos!E:E, Movimientos!D:D, A274, Movimientos!C:C, "Ingreso", Movimientos!G:G, "G710")+SUMIFS(Movimientos!E:E, Movimientos!D:D, A274, Movimientos!C:C, "Traslado", Movimientos!G:G, "G710")-SUMIFS(Movimientos!E:E, Movimientos!D:D, A274, Movimientos!C:C, "Traslado", Movimientos!F:F, "G710")-SUMIFS(Movimientos!E:E, Movimientos!D:D, A274, Movimientos!C:C, "Egreso", Movimientos!F:F, "G710")+SUMIFS(Movimientos!E:E, Movimientos!D:D, A274, Movimientos!C:C, "Ajuste", Movimientos!F:F, "G710")),"")</f>
        <v/>
      </c>
      <c r="H274" s="6" t="str">
        <f aca="false">IFERROR(IF(A274="","",SUMIFS(Movimientos!E:E, Movimientos!D:D, A274, Movimientos!C:C, "Ingreso", Movimientos!G:G, "G5000")+SUMIFS(Movimientos!E:E, Movimientos!D:D, A274, Movimientos!C:C, "Traslado", Movimientos!G:G, "G5000")-SUMIFS(Movimientos!E:E, Movimientos!D:D, A274, Movimientos!C:C, "Traslado", Movimientos!F:F, "G5000")-SUMIFS(Movimientos!E:E, Movimientos!D:D, A274, Movimientos!C:C, "Egreso", Movimientos!F:F, "G5000")+SUMIFS(Movimientos!E:E, Movimientos!D:D, A274, Movimientos!C:C, "Ajuste", Movimientos!F:F, "G5000")),"")</f>
        <v/>
      </c>
      <c r="I274" s="6" t="str">
        <f aca="false">IFERROR(IF(A274="","",SUMIFS(Movimientos!E:E, Movimientos!D:D, A274, Movimientos!C:C, "Ingreso", Movimientos!G:G, "G3")+SUMIFS(Movimientos!E:E, Movimientos!D:D, A274, Movimientos!C:C, "Traslado", Movimientos!G:G, "G3")-SUMIFS(Movimientos!E:E, Movimientos!D:D, A274, Movimientos!C:C, "Traslado", Movimientos!F:F, "G3")-SUMIFS(Movimientos!E:E, Movimientos!D:D, A274, Movimientos!C:C, "Egreso", Movimientos!F:F, "G3")+SUMIFS(Movimientos!E:E, Movimientos!D:D, A274, Movimientos!C:C, "Ajuste", Movimientos!F:F, "G3")),"")</f>
        <v/>
      </c>
      <c r="J274" s="6" t="str">
        <f aca="false">IFERROR(IF(A274="","",SUM(E274:I274)),"")</f>
        <v/>
      </c>
      <c r="K274" s="6" t="str">
        <f aca="false">IFERROR(IF(A274="","",SUMIFS(Movimientos!E:E, Movimientos!D:D, A274, Movimientos!C:C, "Reserva")-SUMIFS(Movimientos!E:E, Movimientos!D:D, A274, Movimientos!C:C, "Libera_Reserva")),"")</f>
        <v/>
      </c>
      <c r="L274" s="6" t="str">
        <f aca="false">IFERROR(IF(A274="","",J274-K274),"")</f>
        <v/>
      </c>
      <c r="M274" s="6" t="str">
        <f aca="false">IFERROR(IF(Productos!A274="","",Productos!G274),"")</f>
        <v/>
      </c>
      <c r="N274" s="6" t="str">
        <f aca="false">IFERROR(IF(A274="","",IF(L274&lt;M274,"BAJO STOCK","OK")),"")</f>
        <v/>
      </c>
    </row>
    <row r="275" customFormat="false" ht="15" hidden="false" customHeight="false" outlineLevel="0" collapsed="false">
      <c r="A275" s="0" t="str">
        <f aca="false">IFERROR(IF(Productos!A275="","",Productos!A275),"")</f>
        <v/>
      </c>
      <c r="B275" s="0" t="str">
        <f aca="false">IFERROR(IF(Productos!A275="","",Productos!B275),"")</f>
        <v/>
      </c>
      <c r="C275" s="0" t="str">
        <f aca="false">IFERROR(IF(Productos!A275="","",Productos!C275),"")</f>
        <v/>
      </c>
      <c r="D275" s="0" t="str">
        <f aca="false">IFERROR(IF(Productos!A275="","",Productos!E275),"")</f>
        <v/>
      </c>
      <c r="E275" s="6" t="str">
        <f aca="false">IFERROR(IF(A275="","",SUMIFS(Movimientos!E:E, Movimientos!D:D, A275, Movimientos!C:C, "Ingreso", Movimientos!G:G, "TIN")+SUMIFS(Movimientos!E:E, Movimientos!D:D, A275, Movimientos!C:C, "Traslado", Movimientos!G:G, "TIN")-SUMIFS(Movimientos!E:E, Movimientos!D:D, A275, Movimientos!C:C, "Traslado", Movimientos!F:F, "TIN")-SUMIFS(Movimientos!E:E, Movimientos!D:D, A275, Movimientos!C:C, "Egreso", Movimientos!F:F, "TIN")+SUMIFS(Movimientos!E:E, Movimientos!D:D, A275, Movimientos!C:C, "Ajuste", Movimientos!F:F, "TIN")),"")</f>
        <v/>
      </c>
      <c r="F275" s="6" t="str">
        <f aca="false">IFERROR(IF(A275="","",SUMIFS(Movimientos!E:E, Movimientos!D:D, A275, Movimientos!C:C, "Ingreso", Movimientos!G:G, "G1000")+SUMIFS(Movimientos!E:E, Movimientos!D:D, A275, Movimientos!C:C, "Traslado", Movimientos!G:G, "G1000")-SUMIFS(Movimientos!E:E, Movimientos!D:D, A275, Movimientos!C:C, "Traslado", Movimientos!F:F, "G1000")-SUMIFS(Movimientos!E:E, Movimientos!D:D, A275, Movimientos!C:C, "Egreso", Movimientos!F:F, "G1000")+SUMIFS(Movimientos!E:E, Movimientos!D:D, A275, Movimientos!C:C, "Ajuste", Movimientos!F:F, "G1000")),"")</f>
        <v/>
      </c>
      <c r="G275" s="6" t="str">
        <f aca="false">IFERROR(IF(A275="","",SUMIFS(Movimientos!E:E, Movimientos!D:D, A275, Movimientos!C:C, "Ingreso", Movimientos!G:G, "G710")+SUMIFS(Movimientos!E:E, Movimientos!D:D, A275, Movimientos!C:C, "Traslado", Movimientos!G:G, "G710")-SUMIFS(Movimientos!E:E, Movimientos!D:D, A275, Movimientos!C:C, "Traslado", Movimientos!F:F, "G710")-SUMIFS(Movimientos!E:E, Movimientos!D:D, A275, Movimientos!C:C, "Egreso", Movimientos!F:F, "G710")+SUMIFS(Movimientos!E:E, Movimientos!D:D, A275, Movimientos!C:C, "Ajuste", Movimientos!F:F, "G710")),"")</f>
        <v/>
      </c>
      <c r="H275" s="6" t="str">
        <f aca="false">IFERROR(IF(A275="","",SUMIFS(Movimientos!E:E, Movimientos!D:D, A275, Movimientos!C:C, "Ingreso", Movimientos!G:G, "G5000")+SUMIFS(Movimientos!E:E, Movimientos!D:D, A275, Movimientos!C:C, "Traslado", Movimientos!G:G, "G5000")-SUMIFS(Movimientos!E:E, Movimientos!D:D, A275, Movimientos!C:C, "Traslado", Movimientos!F:F, "G5000")-SUMIFS(Movimientos!E:E, Movimientos!D:D, A275, Movimientos!C:C, "Egreso", Movimientos!F:F, "G5000")+SUMIFS(Movimientos!E:E, Movimientos!D:D, A275, Movimientos!C:C, "Ajuste", Movimientos!F:F, "G5000")),"")</f>
        <v/>
      </c>
      <c r="I275" s="6" t="str">
        <f aca="false">IFERROR(IF(A275="","",SUMIFS(Movimientos!E:E, Movimientos!D:D, A275, Movimientos!C:C, "Ingreso", Movimientos!G:G, "G3")+SUMIFS(Movimientos!E:E, Movimientos!D:D, A275, Movimientos!C:C, "Traslado", Movimientos!G:G, "G3")-SUMIFS(Movimientos!E:E, Movimientos!D:D, A275, Movimientos!C:C, "Traslado", Movimientos!F:F, "G3")-SUMIFS(Movimientos!E:E, Movimientos!D:D, A275, Movimientos!C:C, "Egreso", Movimientos!F:F, "G3")+SUMIFS(Movimientos!E:E, Movimientos!D:D, A275, Movimientos!C:C, "Ajuste", Movimientos!F:F, "G3")),"")</f>
        <v/>
      </c>
      <c r="J275" s="6" t="str">
        <f aca="false">IFERROR(IF(A275="","",SUM(E275:I275)),"")</f>
        <v/>
      </c>
      <c r="K275" s="6" t="str">
        <f aca="false">IFERROR(IF(A275="","",SUMIFS(Movimientos!E:E, Movimientos!D:D, A275, Movimientos!C:C, "Reserva")-SUMIFS(Movimientos!E:E, Movimientos!D:D, A275, Movimientos!C:C, "Libera_Reserva")),"")</f>
        <v/>
      </c>
      <c r="L275" s="6" t="str">
        <f aca="false">IFERROR(IF(A275="","",J275-K275),"")</f>
        <v/>
      </c>
      <c r="M275" s="6" t="str">
        <f aca="false">IFERROR(IF(Productos!A275="","",Productos!G275),"")</f>
        <v/>
      </c>
      <c r="N275" s="6" t="str">
        <f aca="false">IFERROR(IF(A275="","",IF(L275&lt;M275,"BAJO STOCK","OK")),"")</f>
        <v/>
      </c>
    </row>
    <row r="276" customFormat="false" ht="15" hidden="false" customHeight="false" outlineLevel="0" collapsed="false">
      <c r="A276" s="0" t="str">
        <f aca="false">IFERROR(IF(Productos!A276="","",Productos!A276),"")</f>
        <v/>
      </c>
      <c r="B276" s="0" t="str">
        <f aca="false">IFERROR(IF(Productos!A276="","",Productos!B276),"")</f>
        <v/>
      </c>
      <c r="C276" s="0" t="str">
        <f aca="false">IFERROR(IF(Productos!A276="","",Productos!C276),"")</f>
        <v/>
      </c>
      <c r="D276" s="0" t="str">
        <f aca="false">IFERROR(IF(Productos!A276="","",Productos!E276),"")</f>
        <v/>
      </c>
      <c r="E276" s="6" t="str">
        <f aca="false">IFERROR(IF(A276="","",SUMIFS(Movimientos!E:E, Movimientos!D:D, A276, Movimientos!C:C, "Ingreso", Movimientos!G:G, "TIN")+SUMIFS(Movimientos!E:E, Movimientos!D:D, A276, Movimientos!C:C, "Traslado", Movimientos!G:G, "TIN")-SUMIFS(Movimientos!E:E, Movimientos!D:D, A276, Movimientos!C:C, "Traslado", Movimientos!F:F, "TIN")-SUMIFS(Movimientos!E:E, Movimientos!D:D, A276, Movimientos!C:C, "Egreso", Movimientos!F:F, "TIN")+SUMIFS(Movimientos!E:E, Movimientos!D:D, A276, Movimientos!C:C, "Ajuste", Movimientos!F:F, "TIN")),"")</f>
        <v/>
      </c>
      <c r="F276" s="6" t="str">
        <f aca="false">IFERROR(IF(A276="","",SUMIFS(Movimientos!E:E, Movimientos!D:D, A276, Movimientos!C:C, "Ingreso", Movimientos!G:G, "G1000")+SUMIFS(Movimientos!E:E, Movimientos!D:D, A276, Movimientos!C:C, "Traslado", Movimientos!G:G, "G1000")-SUMIFS(Movimientos!E:E, Movimientos!D:D, A276, Movimientos!C:C, "Traslado", Movimientos!F:F, "G1000")-SUMIFS(Movimientos!E:E, Movimientos!D:D, A276, Movimientos!C:C, "Egreso", Movimientos!F:F, "G1000")+SUMIFS(Movimientos!E:E, Movimientos!D:D, A276, Movimientos!C:C, "Ajuste", Movimientos!F:F, "G1000")),"")</f>
        <v/>
      </c>
      <c r="G276" s="6" t="str">
        <f aca="false">IFERROR(IF(A276="","",SUMIFS(Movimientos!E:E, Movimientos!D:D, A276, Movimientos!C:C, "Ingreso", Movimientos!G:G, "G710")+SUMIFS(Movimientos!E:E, Movimientos!D:D, A276, Movimientos!C:C, "Traslado", Movimientos!G:G, "G710")-SUMIFS(Movimientos!E:E, Movimientos!D:D, A276, Movimientos!C:C, "Traslado", Movimientos!F:F, "G710")-SUMIFS(Movimientos!E:E, Movimientos!D:D, A276, Movimientos!C:C, "Egreso", Movimientos!F:F, "G710")+SUMIFS(Movimientos!E:E, Movimientos!D:D, A276, Movimientos!C:C, "Ajuste", Movimientos!F:F, "G710")),"")</f>
        <v/>
      </c>
      <c r="H276" s="6" t="str">
        <f aca="false">IFERROR(IF(A276="","",SUMIFS(Movimientos!E:E, Movimientos!D:D, A276, Movimientos!C:C, "Ingreso", Movimientos!G:G, "G5000")+SUMIFS(Movimientos!E:E, Movimientos!D:D, A276, Movimientos!C:C, "Traslado", Movimientos!G:G, "G5000")-SUMIFS(Movimientos!E:E, Movimientos!D:D, A276, Movimientos!C:C, "Traslado", Movimientos!F:F, "G5000")-SUMIFS(Movimientos!E:E, Movimientos!D:D, A276, Movimientos!C:C, "Egreso", Movimientos!F:F, "G5000")+SUMIFS(Movimientos!E:E, Movimientos!D:D, A276, Movimientos!C:C, "Ajuste", Movimientos!F:F, "G5000")),"")</f>
        <v/>
      </c>
      <c r="I276" s="6" t="str">
        <f aca="false">IFERROR(IF(A276="","",SUMIFS(Movimientos!E:E, Movimientos!D:D, A276, Movimientos!C:C, "Ingreso", Movimientos!G:G, "G3")+SUMIFS(Movimientos!E:E, Movimientos!D:D, A276, Movimientos!C:C, "Traslado", Movimientos!G:G, "G3")-SUMIFS(Movimientos!E:E, Movimientos!D:D, A276, Movimientos!C:C, "Traslado", Movimientos!F:F, "G3")-SUMIFS(Movimientos!E:E, Movimientos!D:D, A276, Movimientos!C:C, "Egreso", Movimientos!F:F, "G3")+SUMIFS(Movimientos!E:E, Movimientos!D:D, A276, Movimientos!C:C, "Ajuste", Movimientos!F:F, "G3")),"")</f>
        <v/>
      </c>
      <c r="J276" s="6" t="str">
        <f aca="false">IFERROR(IF(A276="","",SUM(E276:I276)),"")</f>
        <v/>
      </c>
      <c r="K276" s="6" t="str">
        <f aca="false">IFERROR(IF(A276="","",SUMIFS(Movimientos!E:E, Movimientos!D:D, A276, Movimientos!C:C, "Reserva")-SUMIFS(Movimientos!E:E, Movimientos!D:D, A276, Movimientos!C:C, "Libera_Reserva")),"")</f>
        <v/>
      </c>
      <c r="L276" s="6" t="str">
        <f aca="false">IFERROR(IF(A276="","",J276-K276),"")</f>
        <v/>
      </c>
      <c r="M276" s="6" t="str">
        <f aca="false">IFERROR(IF(Productos!A276="","",Productos!G276),"")</f>
        <v/>
      </c>
      <c r="N276" s="6" t="str">
        <f aca="false">IFERROR(IF(A276="","",IF(L276&lt;M276,"BAJO STOCK","OK")),"")</f>
        <v/>
      </c>
    </row>
    <row r="277" customFormat="false" ht="15" hidden="false" customHeight="false" outlineLevel="0" collapsed="false">
      <c r="A277" s="0" t="str">
        <f aca="false">IFERROR(IF(Productos!A277="","",Productos!A277),"")</f>
        <v/>
      </c>
      <c r="B277" s="0" t="str">
        <f aca="false">IFERROR(IF(Productos!A277="","",Productos!B277),"")</f>
        <v/>
      </c>
      <c r="C277" s="0" t="str">
        <f aca="false">IFERROR(IF(Productos!A277="","",Productos!C277),"")</f>
        <v/>
      </c>
      <c r="D277" s="0" t="str">
        <f aca="false">IFERROR(IF(Productos!A277="","",Productos!E277),"")</f>
        <v/>
      </c>
      <c r="E277" s="6" t="str">
        <f aca="false">IFERROR(IF(A277="","",SUMIFS(Movimientos!E:E, Movimientos!D:D, A277, Movimientos!C:C, "Ingreso", Movimientos!G:G, "TIN")+SUMIFS(Movimientos!E:E, Movimientos!D:D, A277, Movimientos!C:C, "Traslado", Movimientos!G:G, "TIN")-SUMIFS(Movimientos!E:E, Movimientos!D:D, A277, Movimientos!C:C, "Traslado", Movimientos!F:F, "TIN")-SUMIFS(Movimientos!E:E, Movimientos!D:D, A277, Movimientos!C:C, "Egreso", Movimientos!F:F, "TIN")+SUMIFS(Movimientos!E:E, Movimientos!D:D, A277, Movimientos!C:C, "Ajuste", Movimientos!F:F, "TIN")),"")</f>
        <v/>
      </c>
      <c r="F277" s="6" t="str">
        <f aca="false">IFERROR(IF(A277="","",SUMIFS(Movimientos!E:E, Movimientos!D:D, A277, Movimientos!C:C, "Ingreso", Movimientos!G:G, "G1000")+SUMIFS(Movimientos!E:E, Movimientos!D:D, A277, Movimientos!C:C, "Traslado", Movimientos!G:G, "G1000")-SUMIFS(Movimientos!E:E, Movimientos!D:D, A277, Movimientos!C:C, "Traslado", Movimientos!F:F, "G1000")-SUMIFS(Movimientos!E:E, Movimientos!D:D, A277, Movimientos!C:C, "Egreso", Movimientos!F:F, "G1000")+SUMIFS(Movimientos!E:E, Movimientos!D:D, A277, Movimientos!C:C, "Ajuste", Movimientos!F:F, "G1000")),"")</f>
        <v/>
      </c>
      <c r="G277" s="6" t="str">
        <f aca="false">IFERROR(IF(A277="","",SUMIFS(Movimientos!E:E, Movimientos!D:D, A277, Movimientos!C:C, "Ingreso", Movimientos!G:G, "G710")+SUMIFS(Movimientos!E:E, Movimientos!D:D, A277, Movimientos!C:C, "Traslado", Movimientos!G:G, "G710")-SUMIFS(Movimientos!E:E, Movimientos!D:D, A277, Movimientos!C:C, "Traslado", Movimientos!F:F, "G710")-SUMIFS(Movimientos!E:E, Movimientos!D:D, A277, Movimientos!C:C, "Egreso", Movimientos!F:F, "G710")+SUMIFS(Movimientos!E:E, Movimientos!D:D, A277, Movimientos!C:C, "Ajuste", Movimientos!F:F, "G710")),"")</f>
        <v/>
      </c>
      <c r="H277" s="6" t="str">
        <f aca="false">IFERROR(IF(A277="","",SUMIFS(Movimientos!E:E, Movimientos!D:D, A277, Movimientos!C:C, "Ingreso", Movimientos!G:G, "G5000")+SUMIFS(Movimientos!E:E, Movimientos!D:D, A277, Movimientos!C:C, "Traslado", Movimientos!G:G, "G5000")-SUMIFS(Movimientos!E:E, Movimientos!D:D, A277, Movimientos!C:C, "Traslado", Movimientos!F:F, "G5000")-SUMIFS(Movimientos!E:E, Movimientos!D:D, A277, Movimientos!C:C, "Egreso", Movimientos!F:F, "G5000")+SUMIFS(Movimientos!E:E, Movimientos!D:D, A277, Movimientos!C:C, "Ajuste", Movimientos!F:F, "G5000")),"")</f>
        <v/>
      </c>
      <c r="I277" s="6" t="str">
        <f aca="false">IFERROR(IF(A277="","",SUMIFS(Movimientos!E:E, Movimientos!D:D, A277, Movimientos!C:C, "Ingreso", Movimientos!G:G, "G3")+SUMIFS(Movimientos!E:E, Movimientos!D:D, A277, Movimientos!C:C, "Traslado", Movimientos!G:G, "G3")-SUMIFS(Movimientos!E:E, Movimientos!D:D, A277, Movimientos!C:C, "Traslado", Movimientos!F:F, "G3")-SUMIFS(Movimientos!E:E, Movimientos!D:D, A277, Movimientos!C:C, "Egreso", Movimientos!F:F, "G3")+SUMIFS(Movimientos!E:E, Movimientos!D:D, A277, Movimientos!C:C, "Ajuste", Movimientos!F:F, "G3")),"")</f>
        <v/>
      </c>
      <c r="J277" s="6" t="str">
        <f aca="false">IFERROR(IF(A277="","",SUM(E277:I277)),"")</f>
        <v/>
      </c>
      <c r="K277" s="6" t="str">
        <f aca="false">IFERROR(IF(A277="","",SUMIFS(Movimientos!E:E, Movimientos!D:D, A277, Movimientos!C:C, "Reserva")-SUMIFS(Movimientos!E:E, Movimientos!D:D, A277, Movimientos!C:C, "Libera_Reserva")),"")</f>
        <v/>
      </c>
      <c r="L277" s="6" t="str">
        <f aca="false">IFERROR(IF(A277="","",J277-K277),"")</f>
        <v/>
      </c>
      <c r="M277" s="6" t="str">
        <f aca="false">IFERROR(IF(Productos!A277="","",Productos!G277),"")</f>
        <v/>
      </c>
      <c r="N277" s="6" t="str">
        <f aca="false">IFERROR(IF(A277="","",IF(L277&lt;M277,"BAJO STOCK","OK")),"")</f>
        <v/>
      </c>
    </row>
    <row r="278" customFormat="false" ht="15" hidden="false" customHeight="false" outlineLevel="0" collapsed="false">
      <c r="A278" s="0" t="str">
        <f aca="false">IFERROR(IF(Productos!A278="","",Productos!A278),"")</f>
        <v/>
      </c>
      <c r="B278" s="0" t="str">
        <f aca="false">IFERROR(IF(Productos!A278="","",Productos!B278),"")</f>
        <v/>
      </c>
      <c r="C278" s="0" t="str">
        <f aca="false">IFERROR(IF(Productos!A278="","",Productos!C278),"")</f>
        <v/>
      </c>
      <c r="D278" s="0" t="str">
        <f aca="false">IFERROR(IF(Productos!A278="","",Productos!E278),"")</f>
        <v/>
      </c>
      <c r="E278" s="6" t="str">
        <f aca="false">IFERROR(IF(A278="","",SUMIFS(Movimientos!E:E, Movimientos!D:D, A278, Movimientos!C:C, "Ingreso", Movimientos!G:G, "TIN")+SUMIFS(Movimientos!E:E, Movimientos!D:D, A278, Movimientos!C:C, "Traslado", Movimientos!G:G, "TIN")-SUMIFS(Movimientos!E:E, Movimientos!D:D, A278, Movimientos!C:C, "Traslado", Movimientos!F:F, "TIN")-SUMIFS(Movimientos!E:E, Movimientos!D:D, A278, Movimientos!C:C, "Egreso", Movimientos!F:F, "TIN")+SUMIFS(Movimientos!E:E, Movimientos!D:D, A278, Movimientos!C:C, "Ajuste", Movimientos!F:F, "TIN")),"")</f>
        <v/>
      </c>
      <c r="F278" s="6" t="str">
        <f aca="false">IFERROR(IF(A278="","",SUMIFS(Movimientos!E:E, Movimientos!D:D, A278, Movimientos!C:C, "Ingreso", Movimientos!G:G, "G1000")+SUMIFS(Movimientos!E:E, Movimientos!D:D, A278, Movimientos!C:C, "Traslado", Movimientos!G:G, "G1000")-SUMIFS(Movimientos!E:E, Movimientos!D:D, A278, Movimientos!C:C, "Traslado", Movimientos!F:F, "G1000")-SUMIFS(Movimientos!E:E, Movimientos!D:D, A278, Movimientos!C:C, "Egreso", Movimientos!F:F, "G1000")+SUMIFS(Movimientos!E:E, Movimientos!D:D, A278, Movimientos!C:C, "Ajuste", Movimientos!F:F, "G1000")),"")</f>
        <v/>
      </c>
      <c r="G278" s="6" t="str">
        <f aca="false">IFERROR(IF(A278="","",SUMIFS(Movimientos!E:E, Movimientos!D:D, A278, Movimientos!C:C, "Ingreso", Movimientos!G:G, "G710")+SUMIFS(Movimientos!E:E, Movimientos!D:D, A278, Movimientos!C:C, "Traslado", Movimientos!G:G, "G710")-SUMIFS(Movimientos!E:E, Movimientos!D:D, A278, Movimientos!C:C, "Traslado", Movimientos!F:F, "G710")-SUMIFS(Movimientos!E:E, Movimientos!D:D, A278, Movimientos!C:C, "Egreso", Movimientos!F:F, "G710")+SUMIFS(Movimientos!E:E, Movimientos!D:D, A278, Movimientos!C:C, "Ajuste", Movimientos!F:F, "G710")),"")</f>
        <v/>
      </c>
      <c r="H278" s="6" t="str">
        <f aca="false">IFERROR(IF(A278="","",SUMIFS(Movimientos!E:E, Movimientos!D:D, A278, Movimientos!C:C, "Ingreso", Movimientos!G:G, "G5000")+SUMIFS(Movimientos!E:E, Movimientos!D:D, A278, Movimientos!C:C, "Traslado", Movimientos!G:G, "G5000")-SUMIFS(Movimientos!E:E, Movimientos!D:D, A278, Movimientos!C:C, "Traslado", Movimientos!F:F, "G5000")-SUMIFS(Movimientos!E:E, Movimientos!D:D, A278, Movimientos!C:C, "Egreso", Movimientos!F:F, "G5000")+SUMIFS(Movimientos!E:E, Movimientos!D:D, A278, Movimientos!C:C, "Ajuste", Movimientos!F:F, "G5000")),"")</f>
        <v/>
      </c>
      <c r="I278" s="6" t="str">
        <f aca="false">IFERROR(IF(A278="","",SUMIFS(Movimientos!E:E, Movimientos!D:D, A278, Movimientos!C:C, "Ingreso", Movimientos!G:G, "G3")+SUMIFS(Movimientos!E:E, Movimientos!D:D, A278, Movimientos!C:C, "Traslado", Movimientos!G:G, "G3")-SUMIFS(Movimientos!E:E, Movimientos!D:D, A278, Movimientos!C:C, "Traslado", Movimientos!F:F, "G3")-SUMIFS(Movimientos!E:E, Movimientos!D:D, A278, Movimientos!C:C, "Egreso", Movimientos!F:F, "G3")+SUMIFS(Movimientos!E:E, Movimientos!D:D, A278, Movimientos!C:C, "Ajuste", Movimientos!F:F, "G3")),"")</f>
        <v/>
      </c>
      <c r="J278" s="6" t="str">
        <f aca="false">IFERROR(IF(A278="","",SUM(E278:I278)),"")</f>
        <v/>
      </c>
      <c r="K278" s="6" t="str">
        <f aca="false">IFERROR(IF(A278="","",SUMIFS(Movimientos!E:E, Movimientos!D:D, A278, Movimientos!C:C, "Reserva")-SUMIFS(Movimientos!E:E, Movimientos!D:D, A278, Movimientos!C:C, "Libera_Reserva")),"")</f>
        <v/>
      </c>
      <c r="L278" s="6" t="str">
        <f aca="false">IFERROR(IF(A278="","",J278-K278),"")</f>
        <v/>
      </c>
      <c r="M278" s="6" t="str">
        <f aca="false">IFERROR(IF(Productos!A278="","",Productos!G278),"")</f>
        <v/>
      </c>
      <c r="N278" s="6" t="str">
        <f aca="false">IFERROR(IF(A278="","",IF(L278&lt;M278,"BAJO STOCK","OK")),"")</f>
        <v/>
      </c>
    </row>
    <row r="279" customFormat="false" ht="15" hidden="false" customHeight="false" outlineLevel="0" collapsed="false">
      <c r="A279" s="0" t="str">
        <f aca="false">IFERROR(IF(Productos!A279="","",Productos!A279),"")</f>
        <v/>
      </c>
      <c r="B279" s="0" t="str">
        <f aca="false">IFERROR(IF(Productos!A279="","",Productos!B279),"")</f>
        <v/>
      </c>
      <c r="C279" s="0" t="str">
        <f aca="false">IFERROR(IF(Productos!A279="","",Productos!C279),"")</f>
        <v/>
      </c>
      <c r="D279" s="0" t="str">
        <f aca="false">IFERROR(IF(Productos!A279="","",Productos!E279),"")</f>
        <v/>
      </c>
      <c r="E279" s="6" t="str">
        <f aca="false">IFERROR(IF(A279="","",SUMIFS(Movimientos!E:E, Movimientos!D:D, A279, Movimientos!C:C, "Ingreso", Movimientos!G:G, "TIN")+SUMIFS(Movimientos!E:E, Movimientos!D:D, A279, Movimientos!C:C, "Traslado", Movimientos!G:G, "TIN")-SUMIFS(Movimientos!E:E, Movimientos!D:D, A279, Movimientos!C:C, "Traslado", Movimientos!F:F, "TIN")-SUMIFS(Movimientos!E:E, Movimientos!D:D, A279, Movimientos!C:C, "Egreso", Movimientos!F:F, "TIN")+SUMIFS(Movimientos!E:E, Movimientos!D:D, A279, Movimientos!C:C, "Ajuste", Movimientos!F:F, "TIN")),"")</f>
        <v/>
      </c>
      <c r="F279" s="6" t="str">
        <f aca="false">IFERROR(IF(A279="","",SUMIFS(Movimientos!E:E, Movimientos!D:D, A279, Movimientos!C:C, "Ingreso", Movimientos!G:G, "G1000")+SUMIFS(Movimientos!E:E, Movimientos!D:D, A279, Movimientos!C:C, "Traslado", Movimientos!G:G, "G1000")-SUMIFS(Movimientos!E:E, Movimientos!D:D, A279, Movimientos!C:C, "Traslado", Movimientos!F:F, "G1000")-SUMIFS(Movimientos!E:E, Movimientos!D:D, A279, Movimientos!C:C, "Egreso", Movimientos!F:F, "G1000")+SUMIFS(Movimientos!E:E, Movimientos!D:D, A279, Movimientos!C:C, "Ajuste", Movimientos!F:F, "G1000")),"")</f>
        <v/>
      </c>
      <c r="G279" s="6" t="str">
        <f aca="false">IFERROR(IF(A279="","",SUMIFS(Movimientos!E:E, Movimientos!D:D, A279, Movimientos!C:C, "Ingreso", Movimientos!G:G, "G710")+SUMIFS(Movimientos!E:E, Movimientos!D:D, A279, Movimientos!C:C, "Traslado", Movimientos!G:G, "G710")-SUMIFS(Movimientos!E:E, Movimientos!D:D, A279, Movimientos!C:C, "Traslado", Movimientos!F:F, "G710")-SUMIFS(Movimientos!E:E, Movimientos!D:D, A279, Movimientos!C:C, "Egreso", Movimientos!F:F, "G710")+SUMIFS(Movimientos!E:E, Movimientos!D:D, A279, Movimientos!C:C, "Ajuste", Movimientos!F:F, "G710")),"")</f>
        <v/>
      </c>
      <c r="H279" s="6" t="str">
        <f aca="false">IFERROR(IF(A279="","",SUMIFS(Movimientos!E:E, Movimientos!D:D, A279, Movimientos!C:C, "Ingreso", Movimientos!G:G, "G5000")+SUMIFS(Movimientos!E:E, Movimientos!D:D, A279, Movimientos!C:C, "Traslado", Movimientos!G:G, "G5000")-SUMIFS(Movimientos!E:E, Movimientos!D:D, A279, Movimientos!C:C, "Traslado", Movimientos!F:F, "G5000")-SUMIFS(Movimientos!E:E, Movimientos!D:D, A279, Movimientos!C:C, "Egreso", Movimientos!F:F, "G5000")+SUMIFS(Movimientos!E:E, Movimientos!D:D, A279, Movimientos!C:C, "Ajuste", Movimientos!F:F, "G5000")),"")</f>
        <v/>
      </c>
      <c r="I279" s="6" t="str">
        <f aca="false">IFERROR(IF(A279="","",SUMIFS(Movimientos!E:E, Movimientos!D:D, A279, Movimientos!C:C, "Ingreso", Movimientos!G:G, "G3")+SUMIFS(Movimientos!E:E, Movimientos!D:D, A279, Movimientos!C:C, "Traslado", Movimientos!G:G, "G3")-SUMIFS(Movimientos!E:E, Movimientos!D:D, A279, Movimientos!C:C, "Traslado", Movimientos!F:F, "G3")-SUMIFS(Movimientos!E:E, Movimientos!D:D, A279, Movimientos!C:C, "Egreso", Movimientos!F:F, "G3")+SUMIFS(Movimientos!E:E, Movimientos!D:D, A279, Movimientos!C:C, "Ajuste", Movimientos!F:F, "G3")),"")</f>
        <v/>
      </c>
      <c r="J279" s="6" t="str">
        <f aca="false">IFERROR(IF(A279="","",SUM(E279:I279)),"")</f>
        <v/>
      </c>
      <c r="K279" s="6" t="str">
        <f aca="false">IFERROR(IF(A279="","",SUMIFS(Movimientos!E:E, Movimientos!D:D, A279, Movimientos!C:C, "Reserva")-SUMIFS(Movimientos!E:E, Movimientos!D:D, A279, Movimientos!C:C, "Libera_Reserva")),"")</f>
        <v/>
      </c>
      <c r="L279" s="6" t="str">
        <f aca="false">IFERROR(IF(A279="","",J279-K279),"")</f>
        <v/>
      </c>
      <c r="M279" s="6" t="str">
        <f aca="false">IFERROR(IF(Productos!A279="","",Productos!G279),"")</f>
        <v/>
      </c>
      <c r="N279" s="6" t="str">
        <f aca="false">IFERROR(IF(A279="","",IF(L279&lt;M279,"BAJO STOCK","OK")),"")</f>
        <v/>
      </c>
    </row>
    <row r="280" customFormat="false" ht="15" hidden="false" customHeight="false" outlineLevel="0" collapsed="false">
      <c r="A280" s="0" t="str">
        <f aca="false">IFERROR(IF(Productos!A280="","",Productos!A280),"")</f>
        <v/>
      </c>
      <c r="B280" s="0" t="str">
        <f aca="false">IFERROR(IF(Productos!A280="","",Productos!B280),"")</f>
        <v/>
      </c>
      <c r="C280" s="0" t="str">
        <f aca="false">IFERROR(IF(Productos!A280="","",Productos!C280),"")</f>
        <v/>
      </c>
      <c r="D280" s="0" t="str">
        <f aca="false">IFERROR(IF(Productos!A280="","",Productos!E280),"")</f>
        <v/>
      </c>
      <c r="E280" s="6" t="str">
        <f aca="false">IFERROR(IF(A280="","",SUMIFS(Movimientos!E:E, Movimientos!D:D, A280, Movimientos!C:C, "Ingreso", Movimientos!G:G, "TIN")+SUMIFS(Movimientos!E:E, Movimientos!D:D, A280, Movimientos!C:C, "Traslado", Movimientos!G:G, "TIN")-SUMIFS(Movimientos!E:E, Movimientos!D:D, A280, Movimientos!C:C, "Traslado", Movimientos!F:F, "TIN")-SUMIFS(Movimientos!E:E, Movimientos!D:D, A280, Movimientos!C:C, "Egreso", Movimientos!F:F, "TIN")+SUMIFS(Movimientos!E:E, Movimientos!D:D, A280, Movimientos!C:C, "Ajuste", Movimientos!F:F, "TIN")),"")</f>
        <v/>
      </c>
      <c r="F280" s="6" t="str">
        <f aca="false">IFERROR(IF(A280="","",SUMIFS(Movimientos!E:E, Movimientos!D:D, A280, Movimientos!C:C, "Ingreso", Movimientos!G:G, "G1000")+SUMIFS(Movimientos!E:E, Movimientos!D:D, A280, Movimientos!C:C, "Traslado", Movimientos!G:G, "G1000")-SUMIFS(Movimientos!E:E, Movimientos!D:D, A280, Movimientos!C:C, "Traslado", Movimientos!F:F, "G1000")-SUMIFS(Movimientos!E:E, Movimientos!D:D, A280, Movimientos!C:C, "Egreso", Movimientos!F:F, "G1000")+SUMIFS(Movimientos!E:E, Movimientos!D:D, A280, Movimientos!C:C, "Ajuste", Movimientos!F:F, "G1000")),"")</f>
        <v/>
      </c>
      <c r="G280" s="6" t="str">
        <f aca="false">IFERROR(IF(A280="","",SUMIFS(Movimientos!E:E, Movimientos!D:D, A280, Movimientos!C:C, "Ingreso", Movimientos!G:G, "G710")+SUMIFS(Movimientos!E:E, Movimientos!D:D, A280, Movimientos!C:C, "Traslado", Movimientos!G:G, "G710")-SUMIFS(Movimientos!E:E, Movimientos!D:D, A280, Movimientos!C:C, "Traslado", Movimientos!F:F, "G710")-SUMIFS(Movimientos!E:E, Movimientos!D:D, A280, Movimientos!C:C, "Egreso", Movimientos!F:F, "G710")+SUMIFS(Movimientos!E:E, Movimientos!D:D, A280, Movimientos!C:C, "Ajuste", Movimientos!F:F, "G710")),"")</f>
        <v/>
      </c>
      <c r="H280" s="6" t="str">
        <f aca="false">IFERROR(IF(A280="","",SUMIFS(Movimientos!E:E, Movimientos!D:D, A280, Movimientos!C:C, "Ingreso", Movimientos!G:G, "G5000")+SUMIFS(Movimientos!E:E, Movimientos!D:D, A280, Movimientos!C:C, "Traslado", Movimientos!G:G, "G5000")-SUMIFS(Movimientos!E:E, Movimientos!D:D, A280, Movimientos!C:C, "Traslado", Movimientos!F:F, "G5000")-SUMIFS(Movimientos!E:E, Movimientos!D:D, A280, Movimientos!C:C, "Egreso", Movimientos!F:F, "G5000")+SUMIFS(Movimientos!E:E, Movimientos!D:D, A280, Movimientos!C:C, "Ajuste", Movimientos!F:F, "G5000")),"")</f>
        <v/>
      </c>
      <c r="I280" s="6" t="str">
        <f aca="false">IFERROR(IF(A280="","",SUMIFS(Movimientos!E:E, Movimientos!D:D, A280, Movimientos!C:C, "Ingreso", Movimientos!G:G, "G3")+SUMIFS(Movimientos!E:E, Movimientos!D:D, A280, Movimientos!C:C, "Traslado", Movimientos!G:G, "G3")-SUMIFS(Movimientos!E:E, Movimientos!D:D, A280, Movimientos!C:C, "Traslado", Movimientos!F:F, "G3")-SUMIFS(Movimientos!E:E, Movimientos!D:D, A280, Movimientos!C:C, "Egreso", Movimientos!F:F, "G3")+SUMIFS(Movimientos!E:E, Movimientos!D:D, A280, Movimientos!C:C, "Ajuste", Movimientos!F:F, "G3")),"")</f>
        <v/>
      </c>
      <c r="J280" s="6" t="str">
        <f aca="false">IFERROR(IF(A280="","",SUM(E280:I280)),"")</f>
        <v/>
      </c>
      <c r="K280" s="6" t="str">
        <f aca="false">IFERROR(IF(A280="","",SUMIFS(Movimientos!E:E, Movimientos!D:D, A280, Movimientos!C:C, "Reserva")-SUMIFS(Movimientos!E:E, Movimientos!D:D, A280, Movimientos!C:C, "Libera_Reserva")),"")</f>
        <v/>
      </c>
      <c r="L280" s="6" t="str">
        <f aca="false">IFERROR(IF(A280="","",J280-K280),"")</f>
        <v/>
      </c>
      <c r="M280" s="6" t="str">
        <f aca="false">IFERROR(IF(Productos!A280="","",Productos!G280),"")</f>
        <v/>
      </c>
      <c r="N280" s="6" t="str">
        <f aca="false">IFERROR(IF(A280="","",IF(L280&lt;M280,"BAJO STOCK","OK")),"")</f>
        <v/>
      </c>
    </row>
    <row r="281" customFormat="false" ht="15" hidden="false" customHeight="false" outlineLevel="0" collapsed="false">
      <c r="A281" s="0" t="str">
        <f aca="false">IFERROR(IF(Productos!A281="","",Productos!A281),"")</f>
        <v/>
      </c>
      <c r="B281" s="0" t="str">
        <f aca="false">IFERROR(IF(Productos!A281="","",Productos!B281),"")</f>
        <v/>
      </c>
      <c r="C281" s="0" t="str">
        <f aca="false">IFERROR(IF(Productos!A281="","",Productos!C281),"")</f>
        <v/>
      </c>
      <c r="D281" s="0" t="str">
        <f aca="false">IFERROR(IF(Productos!A281="","",Productos!E281),"")</f>
        <v/>
      </c>
      <c r="E281" s="6" t="str">
        <f aca="false">IFERROR(IF(A281="","",SUMIFS(Movimientos!E:E, Movimientos!D:D, A281, Movimientos!C:C, "Ingreso", Movimientos!G:G, "TIN")+SUMIFS(Movimientos!E:E, Movimientos!D:D, A281, Movimientos!C:C, "Traslado", Movimientos!G:G, "TIN")-SUMIFS(Movimientos!E:E, Movimientos!D:D, A281, Movimientos!C:C, "Traslado", Movimientos!F:F, "TIN")-SUMIFS(Movimientos!E:E, Movimientos!D:D, A281, Movimientos!C:C, "Egreso", Movimientos!F:F, "TIN")+SUMIFS(Movimientos!E:E, Movimientos!D:D, A281, Movimientos!C:C, "Ajuste", Movimientos!F:F, "TIN")),"")</f>
        <v/>
      </c>
      <c r="F281" s="6" t="str">
        <f aca="false">IFERROR(IF(A281="","",SUMIFS(Movimientos!E:E, Movimientos!D:D, A281, Movimientos!C:C, "Ingreso", Movimientos!G:G, "G1000")+SUMIFS(Movimientos!E:E, Movimientos!D:D, A281, Movimientos!C:C, "Traslado", Movimientos!G:G, "G1000")-SUMIFS(Movimientos!E:E, Movimientos!D:D, A281, Movimientos!C:C, "Traslado", Movimientos!F:F, "G1000")-SUMIFS(Movimientos!E:E, Movimientos!D:D, A281, Movimientos!C:C, "Egreso", Movimientos!F:F, "G1000")+SUMIFS(Movimientos!E:E, Movimientos!D:D, A281, Movimientos!C:C, "Ajuste", Movimientos!F:F, "G1000")),"")</f>
        <v/>
      </c>
      <c r="G281" s="6" t="str">
        <f aca="false">IFERROR(IF(A281="","",SUMIFS(Movimientos!E:E, Movimientos!D:D, A281, Movimientos!C:C, "Ingreso", Movimientos!G:G, "G710")+SUMIFS(Movimientos!E:E, Movimientos!D:D, A281, Movimientos!C:C, "Traslado", Movimientos!G:G, "G710")-SUMIFS(Movimientos!E:E, Movimientos!D:D, A281, Movimientos!C:C, "Traslado", Movimientos!F:F, "G710")-SUMIFS(Movimientos!E:E, Movimientos!D:D, A281, Movimientos!C:C, "Egreso", Movimientos!F:F, "G710")+SUMIFS(Movimientos!E:E, Movimientos!D:D, A281, Movimientos!C:C, "Ajuste", Movimientos!F:F, "G710")),"")</f>
        <v/>
      </c>
      <c r="H281" s="6" t="str">
        <f aca="false">IFERROR(IF(A281="","",SUMIFS(Movimientos!E:E, Movimientos!D:D, A281, Movimientos!C:C, "Ingreso", Movimientos!G:G, "G5000")+SUMIFS(Movimientos!E:E, Movimientos!D:D, A281, Movimientos!C:C, "Traslado", Movimientos!G:G, "G5000")-SUMIFS(Movimientos!E:E, Movimientos!D:D, A281, Movimientos!C:C, "Traslado", Movimientos!F:F, "G5000")-SUMIFS(Movimientos!E:E, Movimientos!D:D, A281, Movimientos!C:C, "Egreso", Movimientos!F:F, "G5000")+SUMIFS(Movimientos!E:E, Movimientos!D:D, A281, Movimientos!C:C, "Ajuste", Movimientos!F:F, "G5000")),"")</f>
        <v/>
      </c>
      <c r="I281" s="6" t="str">
        <f aca="false">IFERROR(IF(A281="","",SUMIFS(Movimientos!E:E, Movimientos!D:D, A281, Movimientos!C:C, "Ingreso", Movimientos!G:G, "G3")+SUMIFS(Movimientos!E:E, Movimientos!D:D, A281, Movimientos!C:C, "Traslado", Movimientos!G:G, "G3")-SUMIFS(Movimientos!E:E, Movimientos!D:D, A281, Movimientos!C:C, "Traslado", Movimientos!F:F, "G3")-SUMIFS(Movimientos!E:E, Movimientos!D:D, A281, Movimientos!C:C, "Egreso", Movimientos!F:F, "G3")+SUMIFS(Movimientos!E:E, Movimientos!D:D, A281, Movimientos!C:C, "Ajuste", Movimientos!F:F, "G3")),"")</f>
        <v/>
      </c>
      <c r="J281" s="6" t="str">
        <f aca="false">IFERROR(IF(A281="","",SUM(E281:I281)),"")</f>
        <v/>
      </c>
      <c r="K281" s="6" t="str">
        <f aca="false">IFERROR(IF(A281="","",SUMIFS(Movimientos!E:E, Movimientos!D:D, A281, Movimientos!C:C, "Reserva")-SUMIFS(Movimientos!E:E, Movimientos!D:D, A281, Movimientos!C:C, "Libera_Reserva")),"")</f>
        <v/>
      </c>
      <c r="L281" s="6" t="str">
        <f aca="false">IFERROR(IF(A281="","",J281-K281),"")</f>
        <v/>
      </c>
      <c r="M281" s="6" t="str">
        <f aca="false">IFERROR(IF(Productos!A281="","",Productos!G281),"")</f>
        <v/>
      </c>
      <c r="N281" s="6" t="str">
        <f aca="false">IFERROR(IF(A281="","",IF(L281&lt;M281,"BAJO STOCK","OK")),"")</f>
        <v/>
      </c>
    </row>
    <row r="282" customFormat="false" ht="15" hidden="false" customHeight="false" outlineLevel="0" collapsed="false">
      <c r="A282" s="0" t="str">
        <f aca="false">IFERROR(IF(Productos!A282="","",Productos!A282),"")</f>
        <v/>
      </c>
      <c r="B282" s="0" t="str">
        <f aca="false">IFERROR(IF(Productos!A282="","",Productos!B282),"")</f>
        <v/>
      </c>
      <c r="C282" s="0" t="str">
        <f aca="false">IFERROR(IF(Productos!A282="","",Productos!C282),"")</f>
        <v/>
      </c>
      <c r="D282" s="0" t="str">
        <f aca="false">IFERROR(IF(Productos!A282="","",Productos!E282),"")</f>
        <v/>
      </c>
      <c r="E282" s="6" t="str">
        <f aca="false">IFERROR(IF(A282="","",SUMIFS(Movimientos!E:E, Movimientos!D:D, A282, Movimientos!C:C, "Ingreso", Movimientos!G:G, "TIN")+SUMIFS(Movimientos!E:E, Movimientos!D:D, A282, Movimientos!C:C, "Traslado", Movimientos!G:G, "TIN")-SUMIFS(Movimientos!E:E, Movimientos!D:D, A282, Movimientos!C:C, "Traslado", Movimientos!F:F, "TIN")-SUMIFS(Movimientos!E:E, Movimientos!D:D, A282, Movimientos!C:C, "Egreso", Movimientos!F:F, "TIN")+SUMIFS(Movimientos!E:E, Movimientos!D:D, A282, Movimientos!C:C, "Ajuste", Movimientos!F:F, "TIN")),"")</f>
        <v/>
      </c>
      <c r="F282" s="6" t="str">
        <f aca="false">IFERROR(IF(A282="","",SUMIFS(Movimientos!E:E, Movimientos!D:D, A282, Movimientos!C:C, "Ingreso", Movimientos!G:G, "G1000")+SUMIFS(Movimientos!E:E, Movimientos!D:D, A282, Movimientos!C:C, "Traslado", Movimientos!G:G, "G1000")-SUMIFS(Movimientos!E:E, Movimientos!D:D, A282, Movimientos!C:C, "Traslado", Movimientos!F:F, "G1000")-SUMIFS(Movimientos!E:E, Movimientos!D:D, A282, Movimientos!C:C, "Egreso", Movimientos!F:F, "G1000")+SUMIFS(Movimientos!E:E, Movimientos!D:D, A282, Movimientos!C:C, "Ajuste", Movimientos!F:F, "G1000")),"")</f>
        <v/>
      </c>
      <c r="G282" s="6" t="str">
        <f aca="false">IFERROR(IF(A282="","",SUMIFS(Movimientos!E:E, Movimientos!D:D, A282, Movimientos!C:C, "Ingreso", Movimientos!G:G, "G710")+SUMIFS(Movimientos!E:E, Movimientos!D:D, A282, Movimientos!C:C, "Traslado", Movimientos!G:G, "G710")-SUMIFS(Movimientos!E:E, Movimientos!D:D, A282, Movimientos!C:C, "Traslado", Movimientos!F:F, "G710")-SUMIFS(Movimientos!E:E, Movimientos!D:D, A282, Movimientos!C:C, "Egreso", Movimientos!F:F, "G710")+SUMIFS(Movimientos!E:E, Movimientos!D:D, A282, Movimientos!C:C, "Ajuste", Movimientos!F:F, "G710")),"")</f>
        <v/>
      </c>
      <c r="H282" s="6" t="str">
        <f aca="false">IFERROR(IF(A282="","",SUMIFS(Movimientos!E:E, Movimientos!D:D, A282, Movimientos!C:C, "Ingreso", Movimientos!G:G, "G5000")+SUMIFS(Movimientos!E:E, Movimientos!D:D, A282, Movimientos!C:C, "Traslado", Movimientos!G:G, "G5000")-SUMIFS(Movimientos!E:E, Movimientos!D:D, A282, Movimientos!C:C, "Traslado", Movimientos!F:F, "G5000")-SUMIFS(Movimientos!E:E, Movimientos!D:D, A282, Movimientos!C:C, "Egreso", Movimientos!F:F, "G5000")+SUMIFS(Movimientos!E:E, Movimientos!D:D, A282, Movimientos!C:C, "Ajuste", Movimientos!F:F, "G5000")),"")</f>
        <v/>
      </c>
      <c r="I282" s="6" t="str">
        <f aca="false">IFERROR(IF(A282="","",SUMIFS(Movimientos!E:E, Movimientos!D:D, A282, Movimientos!C:C, "Ingreso", Movimientos!G:G, "G3")+SUMIFS(Movimientos!E:E, Movimientos!D:D, A282, Movimientos!C:C, "Traslado", Movimientos!G:G, "G3")-SUMIFS(Movimientos!E:E, Movimientos!D:D, A282, Movimientos!C:C, "Traslado", Movimientos!F:F, "G3")-SUMIFS(Movimientos!E:E, Movimientos!D:D, A282, Movimientos!C:C, "Egreso", Movimientos!F:F, "G3")+SUMIFS(Movimientos!E:E, Movimientos!D:D, A282, Movimientos!C:C, "Ajuste", Movimientos!F:F, "G3")),"")</f>
        <v/>
      </c>
      <c r="J282" s="6" t="str">
        <f aca="false">IFERROR(IF(A282="","",SUM(E282:I282)),"")</f>
        <v/>
      </c>
      <c r="K282" s="6" t="str">
        <f aca="false">IFERROR(IF(A282="","",SUMIFS(Movimientos!E:E, Movimientos!D:D, A282, Movimientos!C:C, "Reserva")-SUMIFS(Movimientos!E:E, Movimientos!D:D, A282, Movimientos!C:C, "Libera_Reserva")),"")</f>
        <v/>
      </c>
      <c r="L282" s="6" t="str">
        <f aca="false">IFERROR(IF(A282="","",J282-K282),"")</f>
        <v/>
      </c>
      <c r="M282" s="6" t="str">
        <f aca="false">IFERROR(IF(Productos!A282="","",Productos!G282),"")</f>
        <v/>
      </c>
      <c r="N282" s="6" t="str">
        <f aca="false">IFERROR(IF(A282="","",IF(L282&lt;M282,"BAJO STOCK","OK")),"")</f>
        <v/>
      </c>
    </row>
    <row r="283" customFormat="false" ht="15" hidden="false" customHeight="false" outlineLevel="0" collapsed="false">
      <c r="A283" s="0" t="str">
        <f aca="false">IFERROR(IF(Productos!A283="","",Productos!A283),"")</f>
        <v/>
      </c>
      <c r="B283" s="0" t="str">
        <f aca="false">IFERROR(IF(Productos!A283="","",Productos!B283),"")</f>
        <v/>
      </c>
      <c r="C283" s="0" t="str">
        <f aca="false">IFERROR(IF(Productos!A283="","",Productos!C283),"")</f>
        <v/>
      </c>
      <c r="D283" s="0" t="str">
        <f aca="false">IFERROR(IF(Productos!A283="","",Productos!E283),"")</f>
        <v/>
      </c>
      <c r="E283" s="6" t="str">
        <f aca="false">IFERROR(IF(A283="","",SUMIFS(Movimientos!E:E, Movimientos!D:D, A283, Movimientos!C:C, "Ingreso", Movimientos!G:G, "TIN")+SUMIFS(Movimientos!E:E, Movimientos!D:D, A283, Movimientos!C:C, "Traslado", Movimientos!G:G, "TIN")-SUMIFS(Movimientos!E:E, Movimientos!D:D, A283, Movimientos!C:C, "Traslado", Movimientos!F:F, "TIN")-SUMIFS(Movimientos!E:E, Movimientos!D:D, A283, Movimientos!C:C, "Egreso", Movimientos!F:F, "TIN")+SUMIFS(Movimientos!E:E, Movimientos!D:D, A283, Movimientos!C:C, "Ajuste", Movimientos!F:F, "TIN")),"")</f>
        <v/>
      </c>
      <c r="F283" s="6" t="str">
        <f aca="false">IFERROR(IF(A283="","",SUMIFS(Movimientos!E:E, Movimientos!D:D, A283, Movimientos!C:C, "Ingreso", Movimientos!G:G, "G1000")+SUMIFS(Movimientos!E:E, Movimientos!D:D, A283, Movimientos!C:C, "Traslado", Movimientos!G:G, "G1000")-SUMIFS(Movimientos!E:E, Movimientos!D:D, A283, Movimientos!C:C, "Traslado", Movimientos!F:F, "G1000")-SUMIFS(Movimientos!E:E, Movimientos!D:D, A283, Movimientos!C:C, "Egreso", Movimientos!F:F, "G1000")+SUMIFS(Movimientos!E:E, Movimientos!D:D, A283, Movimientos!C:C, "Ajuste", Movimientos!F:F, "G1000")),"")</f>
        <v/>
      </c>
      <c r="G283" s="6" t="str">
        <f aca="false">IFERROR(IF(A283="","",SUMIFS(Movimientos!E:E, Movimientos!D:D, A283, Movimientos!C:C, "Ingreso", Movimientos!G:G, "G710")+SUMIFS(Movimientos!E:E, Movimientos!D:D, A283, Movimientos!C:C, "Traslado", Movimientos!G:G, "G710")-SUMIFS(Movimientos!E:E, Movimientos!D:D, A283, Movimientos!C:C, "Traslado", Movimientos!F:F, "G710")-SUMIFS(Movimientos!E:E, Movimientos!D:D, A283, Movimientos!C:C, "Egreso", Movimientos!F:F, "G710")+SUMIFS(Movimientos!E:E, Movimientos!D:D, A283, Movimientos!C:C, "Ajuste", Movimientos!F:F, "G710")),"")</f>
        <v/>
      </c>
      <c r="H283" s="6" t="str">
        <f aca="false">IFERROR(IF(A283="","",SUMIFS(Movimientos!E:E, Movimientos!D:D, A283, Movimientos!C:C, "Ingreso", Movimientos!G:G, "G5000")+SUMIFS(Movimientos!E:E, Movimientos!D:D, A283, Movimientos!C:C, "Traslado", Movimientos!G:G, "G5000")-SUMIFS(Movimientos!E:E, Movimientos!D:D, A283, Movimientos!C:C, "Traslado", Movimientos!F:F, "G5000")-SUMIFS(Movimientos!E:E, Movimientos!D:D, A283, Movimientos!C:C, "Egreso", Movimientos!F:F, "G5000")+SUMIFS(Movimientos!E:E, Movimientos!D:D, A283, Movimientos!C:C, "Ajuste", Movimientos!F:F, "G5000")),"")</f>
        <v/>
      </c>
      <c r="I283" s="6" t="str">
        <f aca="false">IFERROR(IF(A283="","",SUMIFS(Movimientos!E:E, Movimientos!D:D, A283, Movimientos!C:C, "Ingreso", Movimientos!G:G, "G3")+SUMIFS(Movimientos!E:E, Movimientos!D:D, A283, Movimientos!C:C, "Traslado", Movimientos!G:G, "G3")-SUMIFS(Movimientos!E:E, Movimientos!D:D, A283, Movimientos!C:C, "Traslado", Movimientos!F:F, "G3")-SUMIFS(Movimientos!E:E, Movimientos!D:D, A283, Movimientos!C:C, "Egreso", Movimientos!F:F, "G3")+SUMIFS(Movimientos!E:E, Movimientos!D:D, A283, Movimientos!C:C, "Ajuste", Movimientos!F:F, "G3")),"")</f>
        <v/>
      </c>
      <c r="J283" s="6" t="str">
        <f aca="false">IFERROR(IF(A283="","",SUM(E283:I283)),"")</f>
        <v/>
      </c>
      <c r="K283" s="6" t="str">
        <f aca="false">IFERROR(IF(A283="","",SUMIFS(Movimientos!E:E, Movimientos!D:D, A283, Movimientos!C:C, "Reserva")-SUMIFS(Movimientos!E:E, Movimientos!D:D, A283, Movimientos!C:C, "Libera_Reserva")),"")</f>
        <v/>
      </c>
      <c r="L283" s="6" t="str">
        <f aca="false">IFERROR(IF(A283="","",J283-K283),"")</f>
        <v/>
      </c>
      <c r="M283" s="6" t="str">
        <f aca="false">IFERROR(IF(Productos!A283="","",Productos!G283),"")</f>
        <v/>
      </c>
      <c r="N283" s="6" t="str">
        <f aca="false">IFERROR(IF(A283="","",IF(L283&lt;M283,"BAJO STOCK","OK")),"")</f>
        <v/>
      </c>
    </row>
    <row r="284" customFormat="false" ht="15" hidden="false" customHeight="false" outlineLevel="0" collapsed="false">
      <c r="A284" s="0" t="str">
        <f aca="false">IFERROR(IF(Productos!A284="","",Productos!A284),"")</f>
        <v/>
      </c>
      <c r="B284" s="0" t="str">
        <f aca="false">IFERROR(IF(Productos!A284="","",Productos!B284),"")</f>
        <v/>
      </c>
      <c r="C284" s="0" t="str">
        <f aca="false">IFERROR(IF(Productos!A284="","",Productos!C284),"")</f>
        <v/>
      </c>
      <c r="D284" s="0" t="str">
        <f aca="false">IFERROR(IF(Productos!A284="","",Productos!E284),"")</f>
        <v/>
      </c>
      <c r="E284" s="6" t="str">
        <f aca="false">IFERROR(IF(A284="","",SUMIFS(Movimientos!E:E, Movimientos!D:D, A284, Movimientos!C:C, "Ingreso", Movimientos!G:G, "TIN")+SUMIFS(Movimientos!E:E, Movimientos!D:D, A284, Movimientos!C:C, "Traslado", Movimientos!G:G, "TIN")-SUMIFS(Movimientos!E:E, Movimientos!D:D, A284, Movimientos!C:C, "Traslado", Movimientos!F:F, "TIN")-SUMIFS(Movimientos!E:E, Movimientos!D:D, A284, Movimientos!C:C, "Egreso", Movimientos!F:F, "TIN")+SUMIFS(Movimientos!E:E, Movimientos!D:D, A284, Movimientos!C:C, "Ajuste", Movimientos!F:F, "TIN")),"")</f>
        <v/>
      </c>
      <c r="F284" s="6" t="str">
        <f aca="false">IFERROR(IF(A284="","",SUMIFS(Movimientos!E:E, Movimientos!D:D, A284, Movimientos!C:C, "Ingreso", Movimientos!G:G, "G1000")+SUMIFS(Movimientos!E:E, Movimientos!D:D, A284, Movimientos!C:C, "Traslado", Movimientos!G:G, "G1000")-SUMIFS(Movimientos!E:E, Movimientos!D:D, A284, Movimientos!C:C, "Traslado", Movimientos!F:F, "G1000")-SUMIFS(Movimientos!E:E, Movimientos!D:D, A284, Movimientos!C:C, "Egreso", Movimientos!F:F, "G1000")+SUMIFS(Movimientos!E:E, Movimientos!D:D, A284, Movimientos!C:C, "Ajuste", Movimientos!F:F, "G1000")),"")</f>
        <v/>
      </c>
      <c r="G284" s="6" t="str">
        <f aca="false">IFERROR(IF(A284="","",SUMIFS(Movimientos!E:E, Movimientos!D:D, A284, Movimientos!C:C, "Ingreso", Movimientos!G:G, "G710")+SUMIFS(Movimientos!E:E, Movimientos!D:D, A284, Movimientos!C:C, "Traslado", Movimientos!G:G, "G710")-SUMIFS(Movimientos!E:E, Movimientos!D:D, A284, Movimientos!C:C, "Traslado", Movimientos!F:F, "G710")-SUMIFS(Movimientos!E:E, Movimientos!D:D, A284, Movimientos!C:C, "Egreso", Movimientos!F:F, "G710")+SUMIFS(Movimientos!E:E, Movimientos!D:D, A284, Movimientos!C:C, "Ajuste", Movimientos!F:F, "G710")),"")</f>
        <v/>
      </c>
      <c r="H284" s="6" t="str">
        <f aca="false">IFERROR(IF(A284="","",SUMIFS(Movimientos!E:E, Movimientos!D:D, A284, Movimientos!C:C, "Ingreso", Movimientos!G:G, "G5000")+SUMIFS(Movimientos!E:E, Movimientos!D:D, A284, Movimientos!C:C, "Traslado", Movimientos!G:G, "G5000")-SUMIFS(Movimientos!E:E, Movimientos!D:D, A284, Movimientos!C:C, "Traslado", Movimientos!F:F, "G5000")-SUMIFS(Movimientos!E:E, Movimientos!D:D, A284, Movimientos!C:C, "Egreso", Movimientos!F:F, "G5000")+SUMIFS(Movimientos!E:E, Movimientos!D:D, A284, Movimientos!C:C, "Ajuste", Movimientos!F:F, "G5000")),"")</f>
        <v/>
      </c>
      <c r="I284" s="6" t="str">
        <f aca="false">IFERROR(IF(A284="","",SUMIFS(Movimientos!E:E, Movimientos!D:D, A284, Movimientos!C:C, "Ingreso", Movimientos!G:G, "G3")+SUMIFS(Movimientos!E:E, Movimientos!D:D, A284, Movimientos!C:C, "Traslado", Movimientos!G:G, "G3")-SUMIFS(Movimientos!E:E, Movimientos!D:D, A284, Movimientos!C:C, "Traslado", Movimientos!F:F, "G3")-SUMIFS(Movimientos!E:E, Movimientos!D:D, A284, Movimientos!C:C, "Egreso", Movimientos!F:F, "G3")+SUMIFS(Movimientos!E:E, Movimientos!D:D, A284, Movimientos!C:C, "Ajuste", Movimientos!F:F, "G3")),"")</f>
        <v/>
      </c>
      <c r="J284" s="6" t="str">
        <f aca="false">IFERROR(IF(A284="","",SUM(E284:I284)),"")</f>
        <v/>
      </c>
      <c r="K284" s="6" t="str">
        <f aca="false">IFERROR(IF(A284="","",SUMIFS(Movimientos!E:E, Movimientos!D:D, A284, Movimientos!C:C, "Reserva")-SUMIFS(Movimientos!E:E, Movimientos!D:D, A284, Movimientos!C:C, "Libera_Reserva")),"")</f>
        <v/>
      </c>
      <c r="L284" s="6" t="str">
        <f aca="false">IFERROR(IF(A284="","",J284-K284),"")</f>
        <v/>
      </c>
      <c r="M284" s="6" t="str">
        <f aca="false">IFERROR(IF(Productos!A284="","",Productos!G284),"")</f>
        <v/>
      </c>
      <c r="N284" s="6" t="str">
        <f aca="false">IFERROR(IF(A284="","",IF(L284&lt;M284,"BAJO STOCK","OK")),"")</f>
        <v/>
      </c>
    </row>
    <row r="285" customFormat="false" ht="15" hidden="false" customHeight="false" outlineLevel="0" collapsed="false">
      <c r="A285" s="0" t="str">
        <f aca="false">IFERROR(IF(Productos!A285="","",Productos!A285),"")</f>
        <v/>
      </c>
      <c r="B285" s="0" t="str">
        <f aca="false">IFERROR(IF(Productos!A285="","",Productos!B285),"")</f>
        <v/>
      </c>
      <c r="C285" s="0" t="str">
        <f aca="false">IFERROR(IF(Productos!A285="","",Productos!C285),"")</f>
        <v/>
      </c>
      <c r="D285" s="0" t="str">
        <f aca="false">IFERROR(IF(Productos!A285="","",Productos!E285),"")</f>
        <v/>
      </c>
      <c r="E285" s="6" t="str">
        <f aca="false">IFERROR(IF(A285="","",SUMIFS(Movimientos!E:E, Movimientos!D:D, A285, Movimientos!C:C, "Ingreso", Movimientos!G:G, "TIN")+SUMIFS(Movimientos!E:E, Movimientos!D:D, A285, Movimientos!C:C, "Traslado", Movimientos!G:G, "TIN")-SUMIFS(Movimientos!E:E, Movimientos!D:D, A285, Movimientos!C:C, "Traslado", Movimientos!F:F, "TIN")-SUMIFS(Movimientos!E:E, Movimientos!D:D, A285, Movimientos!C:C, "Egreso", Movimientos!F:F, "TIN")+SUMIFS(Movimientos!E:E, Movimientos!D:D, A285, Movimientos!C:C, "Ajuste", Movimientos!F:F, "TIN")),"")</f>
        <v/>
      </c>
      <c r="F285" s="6" t="str">
        <f aca="false">IFERROR(IF(A285="","",SUMIFS(Movimientos!E:E, Movimientos!D:D, A285, Movimientos!C:C, "Ingreso", Movimientos!G:G, "G1000")+SUMIFS(Movimientos!E:E, Movimientos!D:D, A285, Movimientos!C:C, "Traslado", Movimientos!G:G, "G1000")-SUMIFS(Movimientos!E:E, Movimientos!D:D, A285, Movimientos!C:C, "Traslado", Movimientos!F:F, "G1000")-SUMIFS(Movimientos!E:E, Movimientos!D:D, A285, Movimientos!C:C, "Egreso", Movimientos!F:F, "G1000")+SUMIFS(Movimientos!E:E, Movimientos!D:D, A285, Movimientos!C:C, "Ajuste", Movimientos!F:F, "G1000")),"")</f>
        <v/>
      </c>
      <c r="G285" s="6" t="str">
        <f aca="false">IFERROR(IF(A285="","",SUMIFS(Movimientos!E:E, Movimientos!D:D, A285, Movimientos!C:C, "Ingreso", Movimientos!G:G, "G710")+SUMIFS(Movimientos!E:E, Movimientos!D:D, A285, Movimientos!C:C, "Traslado", Movimientos!G:G, "G710")-SUMIFS(Movimientos!E:E, Movimientos!D:D, A285, Movimientos!C:C, "Traslado", Movimientos!F:F, "G710")-SUMIFS(Movimientos!E:E, Movimientos!D:D, A285, Movimientos!C:C, "Egreso", Movimientos!F:F, "G710")+SUMIFS(Movimientos!E:E, Movimientos!D:D, A285, Movimientos!C:C, "Ajuste", Movimientos!F:F, "G710")),"")</f>
        <v/>
      </c>
      <c r="H285" s="6" t="str">
        <f aca="false">IFERROR(IF(A285="","",SUMIFS(Movimientos!E:E, Movimientos!D:D, A285, Movimientos!C:C, "Ingreso", Movimientos!G:G, "G5000")+SUMIFS(Movimientos!E:E, Movimientos!D:D, A285, Movimientos!C:C, "Traslado", Movimientos!G:G, "G5000")-SUMIFS(Movimientos!E:E, Movimientos!D:D, A285, Movimientos!C:C, "Traslado", Movimientos!F:F, "G5000")-SUMIFS(Movimientos!E:E, Movimientos!D:D, A285, Movimientos!C:C, "Egreso", Movimientos!F:F, "G5000")+SUMIFS(Movimientos!E:E, Movimientos!D:D, A285, Movimientos!C:C, "Ajuste", Movimientos!F:F, "G5000")),"")</f>
        <v/>
      </c>
      <c r="I285" s="6" t="str">
        <f aca="false">IFERROR(IF(A285="","",SUMIFS(Movimientos!E:E, Movimientos!D:D, A285, Movimientos!C:C, "Ingreso", Movimientos!G:G, "G3")+SUMIFS(Movimientos!E:E, Movimientos!D:D, A285, Movimientos!C:C, "Traslado", Movimientos!G:G, "G3")-SUMIFS(Movimientos!E:E, Movimientos!D:D, A285, Movimientos!C:C, "Traslado", Movimientos!F:F, "G3")-SUMIFS(Movimientos!E:E, Movimientos!D:D, A285, Movimientos!C:C, "Egreso", Movimientos!F:F, "G3")+SUMIFS(Movimientos!E:E, Movimientos!D:D, A285, Movimientos!C:C, "Ajuste", Movimientos!F:F, "G3")),"")</f>
        <v/>
      </c>
      <c r="J285" s="6" t="str">
        <f aca="false">IFERROR(IF(A285="","",SUM(E285:I285)),"")</f>
        <v/>
      </c>
      <c r="K285" s="6" t="str">
        <f aca="false">IFERROR(IF(A285="","",SUMIFS(Movimientos!E:E, Movimientos!D:D, A285, Movimientos!C:C, "Reserva")-SUMIFS(Movimientos!E:E, Movimientos!D:D, A285, Movimientos!C:C, "Libera_Reserva")),"")</f>
        <v/>
      </c>
      <c r="L285" s="6" t="str">
        <f aca="false">IFERROR(IF(A285="","",J285-K285),"")</f>
        <v/>
      </c>
      <c r="M285" s="6" t="str">
        <f aca="false">IFERROR(IF(Productos!A285="","",Productos!G285),"")</f>
        <v/>
      </c>
      <c r="N285" s="6" t="str">
        <f aca="false">IFERROR(IF(A285="","",IF(L285&lt;M285,"BAJO STOCK","OK")),"")</f>
        <v/>
      </c>
    </row>
    <row r="286" customFormat="false" ht="15" hidden="false" customHeight="false" outlineLevel="0" collapsed="false">
      <c r="A286" s="0" t="str">
        <f aca="false">IFERROR(IF(Productos!A286="","",Productos!A286),"")</f>
        <v/>
      </c>
      <c r="B286" s="0" t="str">
        <f aca="false">IFERROR(IF(Productos!A286="","",Productos!B286),"")</f>
        <v/>
      </c>
      <c r="C286" s="0" t="str">
        <f aca="false">IFERROR(IF(Productos!A286="","",Productos!C286),"")</f>
        <v/>
      </c>
      <c r="D286" s="0" t="str">
        <f aca="false">IFERROR(IF(Productos!A286="","",Productos!E286),"")</f>
        <v/>
      </c>
      <c r="E286" s="6" t="str">
        <f aca="false">IFERROR(IF(A286="","",SUMIFS(Movimientos!E:E, Movimientos!D:D, A286, Movimientos!C:C, "Ingreso", Movimientos!G:G, "TIN")+SUMIFS(Movimientos!E:E, Movimientos!D:D, A286, Movimientos!C:C, "Traslado", Movimientos!G:G, "TIN")-SUMIFS(Movimientos!E:E, Movimientos!D:D, A286, Movimientos!C:C, "Traslado", Movimientos!F:F, "TIN")-SUMIFS(Movimientos!E:E, Movimientos!D:D, A286, Movimientos!C:C, "Egreso", Movimientos!F:F, "TIN")+SUMIFS(Movimientos!E:E, Movimientos!D:D, A286, Movimientos!C:C, "Ajuste", Movimientos!F:F, "TIN")),"")</f>
        <v/>
      </c>
      <c r="F286" s="6" t="str">
        <f aca="false">IFERROR(IF(A286="","",SUMIFS(Movimientos!E:E, Movimientos!D:D, A286, Movimientos!C:C, "Ingreso", Movimientos!G:G, "G1000")+SUMIFS(Movimientos!E:E, Movimientos!D:D, A286, Movimientos!C:C, "Traslado", Movimientos!G:G, "G1000")-SUMIFS(Movimientos!E:E, Movimientos!D:D, A286, Movimientos!C:C, "Traslado", Movimientos!F:F, "G1000")-SUMIFS(Movimientos!E:E, Movimientos!D:D, A286, Movimientos!C:C, "Egreso", Movimientos!F:F, "G1000")+SUMIFS(Movimientos!E:E, Movimientos!D:D, A286, Movimientos!C:C, "Ajuste", Movimientos!F:F, "G1000")),"")</f>
        <v/>
      </c>
      <c r="G286" s="6" t="str">
        <f aca="false">IFERROR(IF(A286="","",SUMIFS(Movimientos!E:E, Movimientos!D:D, A286, Movimientos!C:C, "Ingreso", Movimientos!G:G, "G710")+SUMIFS(Movimientos!E:E, Movimientos!D:D, A286, Movimientos!C:C, "Traslado", Movimientos!G:G, "G710")-SUMIFS(Movimientos!E:E, Movimientos!D:D, A286, Movimientos!C:C, "Traslado", Movimientos!F:F, "G710")-SUMIFS(Movimientos!E:E, Movimientos!D:D, A286, Movimientos!C:C, "Egreso", Movimientos!F:F, "G710")+SUMIFS(Movimientos!E:E, Movimientos!D:D, A286, Movimientos!C:C, "Ajuste", Movimientos!F:F, "G710")),"")</f>
        <v/>
      </c>
      <c r="H286" s="6" t="str">
        <f aca="false">IFERROR(IF(A286="","",SUMIFS(Movimientos!E:E, Movimientos!D:D, A286, Movimientos!C:C, "Ingreso", Movimientos!G:G, "G5000")+SUMIFS(Movimientos!E:E, Movimientos!D:D, A286, Movimientos!C:C, "Traslado", Movimientos!G:G, "G5000")-SUMIFS(Movimientos!E:E, Movimientos!D:D, A286, Movimientos!C:C, "Traslado", Movimientos!F:F, "G5000")-SUMIFS(Movimientos!E:E, Movimientos!D:D, A286, Movimientos!C:C, "Egreso", Movimientos!F:F, "G5000")+SUMIFS(Movimientos!E:E, Movimientos!D:D, A286, Movimientos!C:C, "Ajuste", Movimientos!F:F, "G5000")),"")</f>
        <v/>
      </c>
      <c r="I286" s="6" t="str">
        <f aca="false">IFERROR(IF(A286="","",SUMIFS(Movimientos!E:E, Movimientos!D:D, A286, Movimientos!C:C, "Ingreso", Movimientos!G:G, "G3")+SUMIFS(Movimientos!E:E, Movimientos!D:D, A286, Movimientos!C:C, "Traslado", Movimientos!G:G, "G3")-SUMIFS(Movimientos!E:E, Movimientos!D:D, A286, Movimientos!C:C, "Traslado", Movimientos!F:F, "G3")-SUMIFS(Movimientos!E:E, Movimientos!D:D, A286, Movimientos!C:C, "Egreso", Movimientos!F:F, "G3")+SUMIFS(Movimientos!E:E, Movimientos!D:D, A286, Movimientos!C:C, "Ajuste", Movimientos!F:F, "G3")),"")</f>
        <v/>
      </c>
      <c r="J286" s="6" t="str">
        <f aca="false">IFERROR(IF(A286="","",SUM(E286:I286)),"")</f>
        <v/>
      </c>
      <c r="K286" s="6" t="str">
        <f aca="false">IFERROR(IF(A286="","",SUMIFS(Movimientos!E:E, Movimientos!D:D, A286, Movimientos!C:C, "Reserva")-SUMIFS(Movimientos!E:E, Movimientos!D:D, A286, Movimientos!C:C, "Libera_Reserva")),"")</f>
        <v/>
      </c>
      <c r="L286" s="6" t="str">
        <f aca="false">IFERROR(IF(A286="","",J286-K286),"")</f>
        <v/>
      </c>
      <c r="M286" s="6" t="str">
        <f aca="false">IFERROR(IF(Productos!A286="","",Productos!G286),"")</f>
        <v/>
      </c>
      <c r="N286" s="6" t="str">
        <f aca="false">IFERROR(IF(A286="","",IF(L286&lt;M286,"BAJO STOCK","OK")),"")</f>
        <v/>
      </c>
    </row>
    <row r="287" customFormat="false" ht="15" hidden="false" customHeight="false" outlineLevel="0" collapsed="false">
      <c r="A287" s="0" t="str">
        <f aca="false">IFERROR(IF(Productos!A287="","",Productos!A287),"")</f>
        <v/>
      </c>
      <c r="B287" s="0" t="str">
        <f aca="false">IFERROR(IF(Productos!A287="","",Productos!B287),"")</f>
        <v/>
      </c>
      <c r="C287" s="0" t="str">
        <f aca="false">IFERROR(IF(Productos!A287="","",Productos!C287),"")</f>
        <v/>
      </c>
      <c r="D287" s="0" t="str">
        <f aca="false">IFERROR(IF(Productos!A287="","",Productos!E287),"")</f>
        <v/>
      </c>
      <c r="E287" s="6" t="str">
        <f aca="false">IFERROR(IF(A287="","",SUMIFS(Movimientos!E:E, Movimientos!D:D, A287, Movimientos!C:C, "Ingreso", Movimientos!G:G, "TIN")+SUMIFS(Movimientos!E:E, Movimientos!D:D, A287, Movimientos!C:C, "Traslado", Movimientos!G:G, "TIN")-SUMIFS(Movimientos!E:E, Movimientos!D:D, A287, Movimientos!C:C, "Traslado", Movimientos!F:F, "TIN")-SUMIFS(Movimientos!E:E, Movimientos!D:D, A287, Movimientos!C:C, "Egreso", Movimientos!F:F, "TIN")+SUMIFS(Movimientos!E:E, Movimientos!D:D, A287, Movimientos!C:C, "Ajuste", Movimientos!F:F, "TIN")),"")</f>
        <v/>
      </c>
      <c r="F287" s="6" t="str">
        <f aca="false">IFERROR(IF(A287="","",SUMIFS(Movimientos!E:E, Movimientos!D:D, A287, Movimientos!C:C, "Ingreso", Movimientos!G:G, "G1000")+SUMIFS(Movimientos!E:E, Movimientos!D:D, A287, Movimientos!C:C, "Traslado", Movimientos!G:G, "G1000")-SUMIFS(Movimientos!E:E, Movimientos!D:D, A287, Movimientos!C:C, "Traslado", Movimientos!F:F, "G1000")-SUMIFS(Movimientos!E:E, Movimientos!D:D, A287, Movimientos!C:C, "Egreso", Movimientos!F:F, "G1000")+SUMIFS(Movimientos!E:E, Movimientos!D:D, A287, Movimientos!C:C, "Ajuste", Movimientos!F:F, "G1000")),"")</f>
        <v/>
      </c>
      <c r="G287" s="6" t="str">
        <f aca="false">IFERROR(IF(A287="","",SUMIFS(Movimientos!E:E, Movimientos!D:D, A287, Movimientos!C:C, "Ingreso", Movimientos!G:G, "G710")+SUMIFS(Movimientos!E:E, Movimientos!D:D, A287, Movimientos!C:C, "Traslado", Movimientos!G:G, "G710")-SUMIFS(Movimientos!E:E, Movimientos!D:D, A287, Movimientos!C:C, "Traslado", Movimientos!F:F, "G710")-SUMIFS(Movimientos!E:E, Movimientos!D:D, A287, Movimientos!C:C, "Egreso", Movimientos!F:F, "G710")+SUMIFS(Movimientos!E:E, Movimientos!D:D, A287, Movimientos!C:C, "Ajuste", Movimientos!F:F, "G710")),"")</f>
        <v/>
      </c>
      <c r="H287" s="6" t="str">
        <f aca="false">IFERROR(IF(A287="","",SUMIFS(Movimientos!E:E, Movimientos!D:D, A287, Movimientos!C:C, "Ingreso", Movimientos!G:G, "G5000")+SUMIFS(Movimientos!E:E, Movimientos!D:D, A287, Movimientos!C:C, "Traslado", Movimientos!G:G, "G5000")-SUMIFS(Movimientos!E:E, Movimientos!D:D, A287, Movimientos!C:C, "Traslado", Movimientos!F:F, "G5000")-SUMIFS(Movimientos!E:E, Movimientos!D:D, A287, Movimientos!C:C, "Egreso", Movimientos!F:F, "G5000")+SUMIFS(Movimientos!E:E, Movimientos!D:D, A287, Movimientos!C:C, "Ajuste", Movimientos!F:F, "G5000")),"")</f>
        <v/>
      </c>
      <c r="I287" s="6" t="str">
        <f aca="false">IFERROR(IF(A287="","",SUMIFS(Movimientos!E:E, Movimientos!D:D, A287, Movimientos!C:C, "Ingreso", Movimientos!G:G, "G3")+SUMIFS(Movimientos!E:E, Movimientos!D:D, A287, Movimientos!C:C, "Traslado", Movimientos!G:G, "G3")-SUMIFS(Movimientos!E:E, Movimientos!D:D, A287, Movimientos!C:C, "Traslado", Movimientos!F:F, "G3")-SUMIFS(Movimientos!E:E, Movimientos!D:D, A287, Movimientos!C:C, "Egreso", Movimientos!F:F, "G3")+SUMIFS(Movimientos!E:E, Movimientos!D:D, A287, Movimientos!C:C, "Ajuste", Movimientos!F:F, "G3")),"")</f>
        <v/>
      </c>
      <c r="J287" s="6" t="str">
        <f aca="false">IFERROR(IF(A287="","",SUM(E287:I287)),"")</f>
        <v/>
      </c>
      <c r="K287" s="6" t="str">
        <f aca="false">IFERROR(IF(A287="","",SUMIFS(Movimientos!E:E, Movimientos!D:D, A287, Movimientos!C:C, "Reserva")-SUMIFS(Movimientos!E:E, Movimientos!D:D, A287, Movimientos!C:C, "Libera_Reserva")),"")</f>
        <v/>
      </c>
      <c r="L287" s="6" t="str">
        <f aca="false">IFERROR(IF(A287="","",J287-K287),"")</f>
        <v/>
      </c>
      <c r="M287" s="6" t="str">
        <f aca="false">IFERROR(IF(Productos!A287="","",Productos!G287),"")</f>
        <v/>
      </c>
      <c r="N287" s="6" t="str">
        <f aca="false">IFERROR(IF(A287="","",IF(L287&lt;M287,"BAJO STOCK","OK")),"")</f>
        <v/>
      </c>
    </row>
    <row r="288" customFormat="false" ht="15" hidden="false" customHeight="false" outlineLevel="0" collapsed="false">
      <c r="A288" s="0" t="str">
        <f aca="false">IFERROR(IF(Productos!A288="","",Productos!A288),"")</f>
        <v/>
      </c>
      <c r="B288" s="0" t="str">
        <f aca="false">IFERROR(IF(Productos!A288="","",Productos!B288),"")</f>
        <v/>
      </c>
      <c r="C288" s="0" t="str">
        <f aca="false">IFERROR(IF(Productos!A288="","",Productos!C288),"")</f>
        <v/>
      </c>
      <c r="D288" s="0" t="str">
        <f aca="false">IFERROR(IF(Productos!A288="","",Productos!E288),"")</f>
        <v/>
      </c>
      <c r="E288" s="6" t="str">
        <f aca="false">IFERROR(IF(A288="","",SUMIFS(Movimientos!E:E, Movimientos!D:D, A288, Movimientos!C:C, "Ingreso", Movimientos!G:G, "TIN")+SUMIFS(Movimientos!E:E, Movimientos!D:D, A288, Movimientos!C:C, "Traslado", Movimientos!G:G, "TIN")-SUMIFS(Movimientos!E:E, Movimientos!D:D, A288, Movimientos!C:C, "Traslado", Movimientos!F:F, "TIN")-SUMIFS(Movimientos!E:E, Movimientos!D:D, A288, Movimientos!C:C, "Egreso", Movimientos!F:F, "TIN")+SUMIFS(Movimientos!E:E, Movimientos!D:D, A288, Movimientos!C:C, "Ajuste", Movimientos!F:F, "TIN")),"")</f>
        <v/>
      </c>
      <c r="F288" s="6" t="str">
        <f aca="false">IFERROR(IF(A288="","",SUMIFS(Movimientos!E:E, Movimientos!D:D, A288, Movimientos!C:C, "Ingreso", Movimientos!G:G, "G1000")+SUMIFS(Movimientos!E:E, Movimientos!D:D, A288, Movimientos!C:C, "Traslado", Movimientos!G:G, "G1000")-SUMIFS(Movimientos!E:E, Movimientos!D:D, A288, Movimientos!C:C, "Traslado", Movimientos!F:F, "G1000")-SUMIFS(Movimientos!E:E, Movimientos!D:D, A288, Movimientos!C:C, "Egreso", Movimientos!F:F, "G1000")+SUMIFS(Movimientos!E:E, Movimientos!D:D, A288, Movimientos!C:C, "Ajuste", Movimientos!F:F, "G1000")),"")</f>
        <v/>
      </c>
      <c r="G288" s="6" t="str">
        <f aca="false">IFERROR(IF(A288="","",SUMIFS(Movimientos!E:E, Movimientos!D:D, A288, Movimientos!C:C, "Ingreso", Movimientos!G:G, "G710")+SUMIFS(Movimientos!E:E, Movimientos!D:D, A288, Movimientos!C:C, "Traslado", Movimientos!G:G, "G710")-SUMIFS(Movimientos!E:E, Movimientos!D:D, A288, Movimientos!C:C, "Traslado", Movimientos!F:F, "G710")-SUMIFS(Movimientos!E:E, Movimientos!D:D, A288, Movimientos!C:C, "Egreso", Movimientos!F:F, "G710")+SUMIFS(Movimientos!E:E, Movimientos!D:D, A288, Movimientos!C:C, "Ajuste", Movimientos!F:F, "G710")),"")</f>
        <v/>
      </c>
      <c r="H288" s="6" t="str">
        <f aca="false">IFERROR(IF(A288="","",SUMIFS(Movimientos!E:E, Movimientos!D:D, A288, Movimientos!C:C, "Ingreso", Movimientos!G:G, "G5000")+SUMIFS(Movimientos!E:E, Movimientos!D:D, A288, Movimientos!C:C, "Traslado", Movimientos!G:G, "G5000")-SUMIFS(Movimientos!E:E, Movimientos!D:D, A288, Movimientos!C:C, "Traslado", Movimientos!F:F, "G5000")-SUMIFS(Movimientos!E:E, Movimientos!D:D, A288, Movimientos!C:C, "Egreso", Movimientos!F:F, "G5000")+SUMIFS(Movimientos!E:E, Movimientos!D:D, A288, Movimientos!C:C, "Ajuste", Movimientos!F:F, "G5000")),"")</f>
        <v/>
      </c>
      <c r="I288" s="6" t="str">
        <f aca="false">IFERROR(IF(A288="","",SUMIFS(Movimientos!E:E, Movimientos!D:D, A288, Movimientos!C:C, "Ingreso", Movimientos!G:G, "G3")+SUMIFS(Movimientos!E:E, Movimientos!D:D, A288, Movimientos!C:C, "Traslado", Movimientos!G:G, "G3")-SUMIFS(Movimientos!E:E, Movimientos!D:D, A288, Movimientos!C:C, "Traslado", Movimientos!F:F, "G3")-SUMIFS(Movimientos!E:E, Movimientos!D:D, A288, Movimientos!C:C, "Egreso", Movimientos!F:F, "G3")+SUMIFS(Movimientos!E:E, Movimientos!D:D, A288, Movimientos!C:C, "Ajuste", Movimientos!F:F, "G3")),"")</f>
        <v/>
      </c>
      <c r="J288" s="6" t="str">
        <f aca="false">IFERROR(IF(A288="","",SUM(E288:I288)),"")</f>
        <v/>
      </c>
      <c r="K288" s="6" t="str">
        <f aca="false">IFERROR(IF(A288="","",SUMIFS(Movimientos!E:E, Movimientos!D:D, A288, Movimientos!C:C, "Reserva")-SUMIFS(Movimientos!E:E, Movimientos!D:D, A288, Movimientos!C:C, "Libera_Reserva")),"")</f>
        <v/>
      </c>
      <c r="L288" s="6" t="str">
        <f aca="false">IFERROR(IF(A288="","",J288-K288),"")</f>
        <v/>
      </c>
      <c r="M288" s="6" t="str">
        <f aca="false">IFERROR(IF(Productos!A288="","",Productos!G288),"")</f>
        <v/>
      </c>
      <c r="N288" s="6" t="str">
        <f aca="false">IFERROR(IF(A288="","",IF(L288&lt;M288,"BAJO STOCK","OK")),"")</f>
        <v/>
      </c>
    </row>
    <row r="289" customFormat="false" ht="15" hidden="false" customHeight="false" outlineLevel="0" collapsed="false">
      <c r="A289" s="0" t="str">
        <f aca="false">IFERROR(IF(Productos!A289="","",Productos!A289),"")</f>
        <v/>
      </c>
      <c r="B289" s="0" t="str">
        <f aca="false">IFERROR(IF(Productos!A289="","",Productos!B289),"")</f>
        <v/>
      </c>
      <c r="C289" s="0" t="str">
        <f aca="false">IFERROR(IF(Productos!A289="","",Productos!C289),"")</f>
        <v/>
      </c>
      <c r="D289" s="0" t="str">
        <f aca="false">IFERROR(IF(Productos!A289="","",Productos!E289),"")</f>
        <v/>
      </c>
      <c r="E289" s="6" t="str">
        <f aca="false">IFERROR(IF(A289="","",SUMIFS(Movimientos!E:E, Movimientos!D:D, A289, Movimientos!C:C, "Ingreso", Movimientos!G:G, "TIN")+SUMIFS(Movimientos!E:E, Movimientos!D:D, A289, Movimientos!C:C, "Traslado", Movimientos!G:G, "TIN")-SUMIFS(Movimientos!E:E, Movimientos!D:D, A289, Movimientos!C:C, "Traslado", Movimientos!F:F, "TIN")-SUMIFS(Movimientos!E:E, Movimientos!D:D, A289, Movimientos!C:C, "Egreso", Movimientos!F:F, "TIN")+SUMIFS(Movimientos!E:E, Movimientos!D:D, A289, Movimientos!C:C, "Ajuste", Movimientos!F:F, "TIN")),"")</f>
        <v/>
      </c>
      <c r="F289" s="6" t="str">
        <f aca="false">IFERROR(IF(A289="","",SUMIFS(Movimientos!E:E, Movimientos!D:D, A289, Movimientos!C:C, "Ingreso", Movimientos!G:G, "G1000")+SUMIFS(Movimientos!E:E, Movimientos!D:D, A289, Movimientos!C:C, "Traslado", Movimientos!G:G, "G1000")-SUMIFS(Movimientos!E:E, Movimientos!D:D, A289, Movimientos!C:C, "Traslado", Movimientos!F:F, "G1000")-SUMIFS(Movimientos!E:E, Movimientos!D:D, A289, Movimientos!C:C, "Egreso", Movimientos!F:F, "G1000")+SUMIFS(Movimientos!E:E, Movimientos!D:D, A289, Movimientos!C:C, "Ajuste", Movimientos!F:F, "G1000")),"")</f>
        <v/>
      </c>
      <c r="G289" s="6" t="str">
        <f aca="false">IFERROR(IF(A289="","",SUMIFS(Movimientos!E:E, Movimientos!D:D, A289, Movimientos!C:C, "Ingreso", Movimientos!G:G, "G710")+SUMIFS(Movimientos!E:E, Movimientos!D:D, A289, Movimientos!C:C, "Traslado", Movimientos!G:G, "G710")-SUMIFS(Movimientos!E:E, Movimientos!D:D, A289, Movimientos!C:C, "Traslado", Movimientos!F:F, "G710")-SUMIFS(Movimientos!E:E, Movimientos!D:D, A289, Movimientos!C:C, "Egreso", Movimientos!F:F, "G710")+SUMIFS(Movimientos!E:E, Movimientos!D:D, A289, Movimientos!C:C, "Ajuste", Movimientos!F:F, "G710")),"")</f>
        <v/>
      </c>
      <c r="H289" s="6" t="str">
        <f aca="false">IFERROR(IF(A289="","",SUMIFS(Movimientos!E:E, Movimientos!D:D, A289, Movimientos!C:C, "Ingreso", Movimientos!G:G, "G5000")+SUMIFS(Movimientos!E:E, Movimientos!D:D, A289, Movimientos!C:C, "Traslado", Movimientos!G:G, "G5000")-SUMIFS(Movimientos!E:E, Movimientos!D:D, A289, Movimientos!C:C, "Traslado", Movimientos!F:F, "G5000")-SUMIFS(Movimientos!E:E, Movimientos!D:D, A289, Movimientos!C:C, "Egreso", Movimientos!F:F, "G5000")+SUMIFS(Movimientos!E:E, Movimientos!D:D, A289, Movimientos!C:C, "Ajuste", Movimientos!F:F, "G5000")),"")</f>
        <v/>
      </c>
      <c r="I289" s="6" t="str">
        <f aca="false">IFERROR(IF(A289="","",SUMIFS(Movimientos!E:E, Movimientos!D:D, A289, Movimientos!C:C, "Ingreso", Movimientos!G:G, "G3")+SUMIFS(Movimientos!E:E, Movimientos!D:D, A289, Movimientos!C:C, "Traslado", Movimientos!G:G, "G3")-SUMIFS(Movimientos!E:E, Movimientos!D:D, A289, Movimientos!C:C, "Traslado", Movimientos!F:F, "G3")-SUMIFS(Movimientos!E:E, Movimientos!D:D, A289, Movimientos!C:C, "Egreso", Movimientos!F:F, "G3")+SUMIFS(Movimientos!E:E, Movimientos!D:D, A289, Movimientos!C:C, "Ajuste", Movimientos!F:F, "G3")),"")</f>
        <v/>
      </c>
      <c r="J289" s="6" t="str">
        <f aca="false">IFERROR(IF(A289="","",SUM(E289:I289)),"")</f>
        <v/>
      </c>
      <c r="K289" s="6" t="str">
        <f aca="false">IFERROR(IF(A289="","",SUMIFS(Movimientos!E:E, Movimientos!D:D, A289, Movimientos!C:C, "Reserva")-SUMIFS(Movimientos!E:E, Movimientos!D:D, A289, Movimientos!C:C, "Libera_Reserva")),"")</f>
        <v/>
      </c>
      <c r="L289" s="6" t="str">
        <f aca="false">IFERROR(IF(A289="","",J289-K289),"")</f>
        <v/>
      </c>
      <c r="M289" s="6" t="str">
        <f aca="false">IFERROR(IF(Productos!A289="","",Productos!G289),"")</f>
        <v/>
      </c>
      <c r="N289" s="6" t="str">
        <f aca="false">IFERROR(IF(A289="","",IF(L289&lt;M289,"BAJO STOCK","OK")),"")</f>
        <v/>
      </c>
    </row>
    <row r="290" customFormat="false" ht="15" hidden="false" customHeight="false" outlineLevel="0" collapsed="false">
      <c r="A290" s="0" t="str">
        <f aca="false">IFERROR(IF(Productos!A290="","",Productos!A290),"")</f>
        <v/>
      </c>
      <c r="B290" s="0" t="str">
        <f aca="false">IFERROR(IF(Productos!A290="","",Productos!B290),"")</f>
        <v/>
      </c>
      <c r="C290" s="0" t="str">
        <f aca="false">IFERROR(IF(Productos!A290="","",Productos!C290),"")</f>
        <v/>
      </c>
      <c r="D290" s="0" t="str">
        <f aca="false">IFERROR(IF(Productos!A290="","",Productos!E290),"")</f>
        <v/>
      </c>
      <c r="E290" s="6" t="str">
        <f aca="false">IFERROR(IF(A290="","",SUMIFS(Movimientos!E:E, Movimientos!D:D, A290, Movimientos!C:C, "Ingreso", Movimientos!G:G, "TIN")+SUMIFS(Movimientos!E:E, Movimientos!D:D, A290, Movimientos!C:C, "Traslado", Movimientos!G:G, "TIN")-SUMIFS(Movimientos!E:E, Movimientos!D:D, A290, Movimientos!C:C, "Traslado", Movimientos!F:F, "TIN")-SUMIFS(Movimientos!E:E, Movimientos!D:D, A290, Movimientos!C:C, "Egreso", Movimientos!F:F, "TIN")+SUMIFS(Movimientos!E:E, Movimientos!D:D, A290, Movimientos!C:C, "Ajuste", Movimientos!F:F, "TIN")),"")</f>
        <v/>
      </c>
      <c r="F290" s="6" t="str">
        <f aca="false">IFERROR(IF(A290="","",SUMIFS(Movimientos!E:E, Movimientos!D:D, A290, Movimientos!C:C, "Ingreso", Movimientos!G:G, "G1000")+SUMIFS(Movimientos!E:E, Movimientos!D:D, A290, Movimientos!C:C, "Traslado", Movimientos!G:G, "G1000")-SUMIFS(Movimientos!E:E, Movimientos!D:D, A290, Movimientos!C:C, "Traslado", Movimientos!F:F, "G1000")-SUMIFS(Movimientos!E:E, Movimientos!D:D, A290, Movimientos!C:C, "Egreso", Movimientos!F:F, "G1000")+SUMIFS(Movimientos!E:E, Movimientos!D:D, A290, Movimientos!C:C, "Ajuste", Movimientos!F:F, "G1000")),"")</f>
        <v/>
      </c>
      <c r="G290" s="6" t="str">
        <f aca="false">IFERROR(IF(A290="","",SUMIFS(Movimientos!E:E, Movimientos!D:D, A290, Movimientos!C:C, "Ingreso", Movimientos!G:G, "G710")+SUMIFS(Movimientos!E:E, Movimientos!D:D, A290, Movimientos!C:C, "Traslado", Movimientos!G:G, "G710")-SUMIFS(Movimientos!E:E, Movimientos!D:D, A290, Movimientos!C:C, "Traslado", Movimientos!F:F, "G710")-SUMIFS(Movimientos!E:E, Movimientos!D:D, A290, Movimientos!C:C, "Egreso", Movimientos!F:F, "G710")+SUMIFS(Movimientos!E:E, Movimientos!D:D, A290, Movimientos!C:C, "Ajuste", Movimientos!F:F, "G710")),"")</f>
        <v/>
      </c>
      <c r="H290" s="6" t="str">
        <f aca="false">IFERROR(IF(A290="","",SUMIFS(Movimientos!E:E, Movimientos!D:D, A290, Movimientos!C:C, "Ingreso", Movimientos!G:G, "G5000")+SUMIFS(Movimientos!E:E, Movimientos!D:D, A290, Movimientos!C:C, "Traslado", Movimientos!G:G, "G5000")-SUMIFS(Movimientos!E:E, Movimientos!D:D, A290, Movimientos!C:C, "Traslado", Movimientos!F:F, "G5000")-SUMIFS(Movimientos!E:E, Movimientos!D:D, A290, Movimientos!C:C, "Egreso", Movimientos!F:F, "G5000")+SUMIFS(Movimientos!E:E, Movimientos!D:D, A290, Movimientos!C:C, "Ajuste", Movimientos!F:F, "G5000")),"")</f>
        <v/>
      </c>
      <c r="I290" s="6" t="str">
        <f aca="false">IFERROR(IF(A290="","",SUMIFS(Movimientos!E:E, Movimientos!D:D, A290, Movimientos!C:C, "Ingreso", Movimientos!G:G, "G3")+SUMIFS(Movimientos!E:E, Movimientos!D:D, A290, Movimientos!C:C, "Traslado", Movimientos!G:G, "G3")-SUMIFS(Movimientos!E:E, Movimientos!D:D, A290, Movimientos!C:C, "Traslado", Movimientos!F:F, "G3")-SUMIFS(Movimientos!E:E, Movimientos!D:D, A290, Movimientos!C:C, "Egreso", Movimientos!F:F, "G3")+SUMIFS(Movimientos!E:E, Movimientos!D:D, A290, Movimientos!C:C, "Ajuste", Movimientos!F:F, "G3")),"")</f>
        <v/>
      </c>
      <c r="J290" s="6" t="str">
        <f aca="false">IFERROR(IF(A290="","",SUM(E290:I290)),"")</f>
        <v/>
      </c>
      <c r="K290" s="6" t="str">
        <f aca="false">IFERROR(IF(A290="","",SUMIFS(Movimientos!E:E, Movimientos!D:D, A290, Movimientos!C:C, "Reserva")-SUMIFS(Movimientos!E:E, Movimientos!D:D, A290, Movimientos!C:C, "Libera_Reserva")),"")</f>
        <v/>
      </c>
      <c r="L290" s="6" t="str">
        <f aca="false">IFERROR(IF(A290="","",J290-K290),"")</f>
        <v/>
      </c>
      <c r="M290" s="6" t="str">
        <f aca="false">IFERROR(IF(Productos!A290="","",Productos!G290),"")</f>
        <v/>
      </c>
      <c r="N290" s="6" t="str">
        <f aca="false">IFERROR(IF(A290="","",IF(L290&lt;M290,"BAJO STOCK","OK")),"")</f>
        <v/>
      </c>
    </row>
    <row r="291" customFormat="false" ht="15" hidden="false" customHeight="false" outlineLevel="0" collapsed="false">
      <c r="A291" s="0" t="str">
        <f aca="false">IFERROR(IF(Productos!A291="","",Productos!A291),"")</f>
        <v/>
      </c>
      <c r="B291" s="0" t="str">
        <f aca="false">IFERROR(IF(Productos!A291="","",Productos!B291),"")</f>
        <v/>
      </c>
      <c r="C291" s="0" t="str">
        <f aca="false">IFERROR(IF(Productos!A291="","",Productos!C291),"")</f>
        <v/>
      </c>
      <c r="D291" s="0" t="str">
        <f aca="false">IFERROR(IF(Productos!A291="","",Productos!E291),"")</f>
        <v/>
      </c>
      <c r="E291" s="6" t="str">
        <f aca="false">IFERROR(IF(A291="","",SUMIFS(Movimientos!E:E, Movimientos!D:D, A291, Movimientos!C:C, "Ingreso", Movimientos!G:G, "TIN")+SUMIFS(Movimientos!E:E, Movimientos!D:D, A291, Movimientos!C:C, "Traslado", Movimientos!G:G, "TIN")-SUMIFS(Movimientos!E:E, Movimientos!D:D, A291, Movimientos!C:C, "Traslado", Movimientos!F:F, "TIN")-SUMIFS(Movimientos!E:E, Movimientos!D:D, A291, Movimientos!C:C, "Egreso", Movimientos!F:F, "TIN")+SUMIFS(Movimientos!E:E, Movimientos!D:D, A291, Movimientos!C:C, "Ajuste", Movimientos!F:F, "TIN")),"")</f>
        <v/>
      </c>
      <c r="F291" s="6" t="str">
        <f aca="false">IFERROR(IF(A291="","",SUMIFS(Movimientos!E:E, Movimientos!D:D, A291, Movimientos!C:C, "Ingreso", Movimientos!G:G, "G1000")+SUMIFS(Movimientos!E:E, Movimientos!D:D, A291, Movimientos!C:C, "Traslado", Movimientos!G:G, "G1000")-SUMIFS(Movimientos!E:E, Movimientos!D:D, A291, Movimientos!C:C, "Traslado", Movimientos!F:F, "G1000")-SUMIFS(Movimientos!E:E, Movimientos!D:D, A291, Movimientos!C:C, "Egreso", Movimientos!F:F, "G1000")+SUMIFS(Movimientos!E:E, Movimientos!D:D, A291, Movimientos!C:C, "Ajuste", Movimientos!F:F, "G1000")),"")</f>
        <v/>
      </c>
      <c r="G291" s="6" t="str">
        <f aca="false">IFERROR(IF(A291="","",SUMIFS(Movimientos!E:E, Movimientos!D:D, A291, Movimientos!C:C, "Ingreso", Movimientos!G:G, "G710")+SUMIFS(Movimientos!E:E, Movimientos!D:D, A291, Movimientos!C:C, "Traslado", Movimientos!G:G, "G710")-SUMIFS(Movimientos!E:E, Movimientos!D:D, A291, Movimientos!C:C, "Traslado", Movimientos!F:F, "G710")-SUMIFS(Movimientos!E:E, Movimientos!D:D, A291, Movimientos!C:C, "Egreso", Movimientos!F:F, "G710")+SUMIFS(Movimientos!E:E, Movimientos!D:D, A291, Movimientos!C:C, "Ajuste", Movimientos!F:F, "G710")),"")</f>
        <v/>
      </c>
      <c r="H291" s="6" t="str">
        <f aca="false">IFERROR(IF(A291="","",SUMIFS(Movimientos!E:E, Movimientos!D:D, A291, Movimientos!C:C, "Ingreso", Movimientos!G:G, "G5000")+SUMIFS(Movimientos!E:E, Movimientos!D:D, A291, Movimientos!C:C, "Traslado", Movimientos!G:G, "G5000")-SUMIFS(Movimientos!E:E, Movimientos!D:D, A291, Movimientos!C:C, "Traslado", Movimientos!F:F, "G5000")-SUMIFS(Movimientos!E:E, Movimientos!D:D, A291, Movimientos!C:C, "Egreso", Movimientos!F:F, "G5000")+SUMIFS(Movimientos!E:E, Movimientos!D:D, A291, Movimientos!C:C, "Ajuste", Movimientos!F:F, "G5000")),"")</f>
        <v/>
      </c>
      <c r="I291" s="6" t="str">
        <f aca="false">IFERROR(IF(A291="","",SUMIFS(Movimientos!E:E, Movimientos!D:D, A291, Movimientos!C:C, "Ingreso", Movimientos!G:G, "G3")+SUMIFS(Movimientos!E:E, Movimientos!D:D, A291, Movimientos!C:C, "Traslado", Movimientos!G:G, "G3")-SUMIFS(Movimientos!E:E, Movimientos!D:D, A291, Movimientos!C:C, "Traslado", Movimientos!F:F, "G3")-SUMIFS(Movimientos!E:E, Movimientos!D:D, A291, Movimientos!C:C, "Egreso", Movimientos!F:F, "G3")+SUMIFS(Movimientos!E:E, Movimientos!D:D, A291, Movimientos!C:C, "Ajuste", Movimientos!F:F, "G3")),"")</f>
        <v/>
      </c>
      <c r="J291" s="6" t="str">
        <f aca="false">IFERROR(IF(A291="","",SUM(E291:I291)),"")</f>
        <v/>
      </c>
      <c r="K291" s="6" t="str">
        <f aca="false">IFERROR(IF(A291="","",SUMIFS(Movimientos!E:E, Movimientos!D:D, A291, Movimientos!C:C, "Reserva")-SUMIFS(Movimientos!E:E, Movimientos!D:D, A291, Movimientos!C:C, "Libera_Reserva")),"")</f>
        <v/>
      </c>
      <c r="L291" s="6" t="str">
        <f aca="false">IFERROR(IF(A291="","",J291-K291),"")</f>
        <v/>
      </c>
      <c r="M291" s="6" t="str">
        <f aca="false">IFERROR(IF(Productos!A291="","",Productos!G291),"")</f>
        <v/>
      </c>
      <c r="N291" s="6" t="str">
        <f aca="false">IFERROR(IF(A291="","",IF(L291&lt;M291,"BAJO STOCK","OK")),"")</f>
        <v/>
      </c>
    </row>
    <row r="292" customFormat="false" ht="15" hidden="false" customHeight="false" outlineLevel="0" collapsed="false">
      <c r="A292" s="0" t="str">
        <f aca="false">IFERROR(IF(Productos!A292="","",Productos!A292),"")</f>
        <v/>
      </c>
      <c r="B292" s="0" t="str">
        <f aca="false">IFERROR(IF(Productos!A292="","",Productos!B292),"")</f>
        <v/>
      </c>
      <c r="C292" s="0" t="str">
        <f aca="false">IFERROR(IF(Productos!A292="","",Productos!C292),"")</f>
        <v/>
      </c>
      <c r="D292" s="0" t="str">
        <f aca="false">IFERROR(IF(Productos!A292="","",Productos!E292),"")</f>
        <v/>
      </c>
      <c r="E292" s="6" t="str">
        <f aca="false">IFERROR(IF(A292="","",SUMIFS(Movimientos!E:E, Movimientos!D:D, A292, Movimientos!C:C, "Ingreso", Movimientos!G:G, "TIN")+SUMIFS(Movimientos!E:E, Movimientos!D:D, A292, Movimientos!C:C, "Traslado", Movimientos!G:G, "TIN")-SUMIFS(Movimientos!E:E, Movimientos!D:D, A292, Movimientos!C:C, "Traslado", Movimientos!F:F, "TIN")-SUMIFS(Movimientos!E:E, Movimientos!D:D, A292, Movimientos!C:C, "Egreso", Movimientos!F:F, "TIN")+SUMIFS(Movimientos!E:E, Movimientos!D:D, A292, Movimientos!C:C, "Ajuste", Movimientos!F:F, "TIN")),"")</f>
        <v/>
      </c>
      <c r="F292" s="6" t="str">
        <f aca="false">IFERROR(IF(A292="","",SUMIFS(Movimientos!E:E, Movimientos!D:D, A292, Movimientos!C:C, "Ingreso", Movimientos!G:G, "G1000")+SUMIFS(Movimientos!E:E, Movimientos!D:D, A292, Movimientos!C:C, "Traslado", Movimientos!G:G, "G1000")-SUMIFS(Movimientos!E:E, Movimientos!D:D, A292, Movimientos!C:C, "Traslado", Movimientos!F:F, "G1000")-SUMIFS(Movimientos!E:E, Movimientos!D:D, A292, Movimientos!C:C, "Egreso", Movimientos!F:F, "G1000")+SUMIFS(Movimientos!E:E, Movimientos!D:D, A292, Movimientos!C:C, "Ajuste", Movimientos!F:F, "G1000")),"")</f>
        <v/>
      </c>
      <c r="G292" s="6" t="str">
        <f aca="false">IFERROR(IF(A292="","",SUMIFS(Movimientos!E:E, Movimientos!D:D, A292, Movimientos!C:C, "Ingreso", Movimientos!G:G, "G710")+SUMIFS(Movimientos!E:E, Movimientos!D:D, A292, Movimientos!C:C, "Traslado", Movimientos!G:G, "G710")-SUMIFS(Movimientos!E:E, Movimientos!D:D, A292, Movimientos!C:C, "Traslado", Movimientos!F:F, "G710")-SUMIFS(Movimientos!E:E, Movimientos!D:D, A292, Movimientos!C:C, "Egreso", Movimientos!F:F, "G710")+SUMIFS(Movimientos!E:E, Movimientos!D:D, A292, Movimientos!C:C, "Ajuste", Movimientos!F:F, "G710")),"")</f>
        <v/>
      </c>
      <c r="H292" s="6" t="str">
        <f aca="false">IFERROR(IF(A292="","",SUMIFS(Movimientos!E:E, Movimientos!D:D, A292, Movimientos!C:C, "Ingreso", Movimientos!G:G, "G5000")+SUMIFS(Movimientos!E:E, Movimientos!D:D, A292, Movimientos!C:C, "Traslado", Movimientos!G:G, "G5000")-SUMIFS(Movimientos!E:E, Movimientos!D:D, A292, Movimientos!C:C, "Traslado", Movimientos!F:F, "G5000")-SUMIFS(Movimientos!E:E, Movimientos!D:D, A292, Movimientos!C:C, "Egreso", Movimientos!F:F, "G5000")+SUMIFS(Movimientos!E:E, Movimientos!D:D, A292, Movimientos!C:C, "Ajuste", Movimientos!F:F, "G5000")),"")</f>
        <v/>
      </c>
      <c r="I292" s="6" t="str">
        <f aca="false">IFERROR(IF(A292="","",SUMIFS(Movimientos!E:E, Movimientos!D:D, A292, Movimientos!C:C, "Ingreso", Movimientos!G:G, "G3")+SUMIFS(Movimientos!E:E, Movimientos!D:D, A292, Movimientos!C:C, "Traslado", Movimientos!G:G, "G3")-SUMIFS(Movimientos!E:E, Movimientos!D:D, A292, Movimientos!C:C, "Traslado", Movimientos!F:F, "G3")-SUMIFS(Movimientos!E:E, Movimientos!D:D, A292, Movimientos!C:C, "Egreso", Movimientos!F:F, "G3")+SUMIFS(Movimientos!E:E, Movimientos!D:D, A292, Movimientos!C:C, "Ajuste", Movimientos!F:F, "G3")),"")</f>
        <v/>
      </c>
      <c r="J292" s="6" t="str">
        <f aca="false">IFERROR(IF(A292="","",SUM(E292:I292)),"")</f>
        <v/>
      </c>
      <c r="K292" s="6" t="str">
        <f aca="false">IFERROR(IF(A292="","",SUMIFS(Movimientos!E:E, Movimientos!D:D, A292, Movimientos!C:C, "Reserva")-SUMIFS(Movimientos!E:E, Movimientos!D:D, A292, Movimientos!C:C, "Libera_Reserva")),"")</f>
        <v/>
      </c>
      <c r="L292" s="6" t="str">
        <f aca="false">IFERROR(IF(A292="","",J292-K292),"")</f>
        <v/>
      </c>
      <c r="M292" s="6" t="str">
        <f aca="false">IFERROR(IF(Productos!A292="","",Productos!G292),"")</f>
        <v/>
      </c>
      <c r="N292" s="6" t="str">
        <f aca="false">IFERROR(IF(A292="","",IF(L292&lt;M292,"BAJO STOCK","OK")),"")</f>
        <v/>
      </c>
    </row>
    <row r="293" customFormat="false" ht="15" hidden="false" customHeight="false" outlineLevel="0" collapsed="false">
      <c r="A293" s="0" t="str">
        <f aca="false">IFERROR(IF(Productos!A293="","",Productos!A293),"")</f>
        <v/>
      </c>
      <c r="B293" s="0" t="str">
        <f aca="false">IFERROR(IF(Productos!A293="","",Productos!B293),"")</f>
        <v/>
      </c>
      <c r="C293" s="0" t="str">
        <f aca="false">IFERROR(IF(Productos!A293="","",Productos!C293),"")</f>
        <v/>
      </c>
      <c r="D293" s="0" t="str">
        <f aca="false">IFERROR(IF(Productos!A293="","",Productos!E293),"")</f>
        <v/>
      </c>
      <c r="E293" s="6" t="str">
        <f aca="false">IFERROR(IF(A293="","",SUMIFS(Movimientos!E:E, Movimientos!D:D, A293, Movimientos!C:C, "Ingreso", Movimientos!G:G, "TIN")+SUMIFS(Movimientos!E:E, Movimientos!D:D, A293, Movimientos!C:C, "Traslado", Movimientos!G:G, "TIN")-SUMIFS(Movimientos!E:E, Movimientos!D:D, A293, Movimientos!C:C, "Traslado", Movimientos!F:F, "TIN")-SUMIFS(Movimientos!E:E, Movimientos!D:D, A293, Movimientos!C:C, "Egreso", Movimientos!F:F, "TIN")+SUMIFS(Movimientos!E:E, Movimientos!D:D, A293, Movimientos!C:C, "Ajuste", Movimientos!F:F, "TIN")),"")</f>
        <v/>
      </c>
      <c r="F293" s="6" t="str">
        <f aca="false">IFERROR(IF(A293="","",SUMIFS(Movimientos!E:E, Movimientos!D:D, A293, Movimientos!C:C, "Ingreso", Movimientos!G:G, "G1000")+SUMIFS(Movimientos!E:E, Movimientos!D:D, A293, Movimientos!C:C, "Traslado", Movimientos!G:G, "G1000")-SUMIFS(Movimientos!E:E, Movimientos!D:D, A293, Movimientos!C:C, "Traslado", Movimientos!F:F, "G1000")-SUMIFS(Movimientos!E:E, Movimientos!D:D, A293, Movimientos!C:C, "Egreso", Movimientos!F:F, "G1000")+SUMIFS(Movimientos!E:E, Movimientos!D:D, A293, Movimientos!C:C, "Ajuste", Movimientos!F:F, "G1000")),"")</f>
        <v/>
      </c>
      <c r="G293" s="6" t="str">
        <f aca="false">IFERROR(IF(A293="","",SUMIFS(Movimientos!E:E, Movimientos!D:D, A293, Movimientos!C:C, "Ingreso", Movimientos!G:G, "G710")+SUMIFS(Movimientos!E:E, Movimientos!D:D, A293, Movimientos!C:C, "Traslado", Movimientos!G:G, "G710")-SUMIFS(Movimientos!E:E, Movimientos!D:D, A293, Movimientos!C:C, "Traslado", Movimientos!F:F, "G710")-SUMIFS(Movimientos!E:E, Movimientos!D:D, A293, Movimientos!C:C, "Egreso", Movimientos!F:F, "G710")+SUMIFS(Movimientos!E:E, Movimientos!D:D, A293, Movimientos!C:C, "Ajuste", Movimientos!F:F, "G710")),"")</f>
        <v/>
      </c>
      <c r="H293" s="6" t="str">
        <f aca="false">IFERROR(IF(A293="","",SUMIFS(Movimientos!E:E, Movimientos!D:D, A293, Movimientos!C:C, "Ingreso", Movimientos!G:G, "G5000")+SUMIFS(Movimientos!E:E, Movimientos!D:D, A293, Movimientos!C:C, "Traslado", Movimientos!G:G, "G5000")-SUMIFS(Movimientos!E:E, Movimientos!D:D, A293, Movimientos!C:C, "Traslado", Movimientos!F:F, "G5000")-SUMIFS(Movimientos!E:E, Movimientos!D:D, A293, Movimientos!C:C, "Egreso", Movimientos!F:F, "G5000")+SUMIFS(Movimientos!E:E, Movimientos!D:D, A293, Movimientos!C:C, "Ajuste", Movimientos!F:F, "G5000")),"")</f>
        <v/>
      </c>
      <c r="I293" s="6" t="str">
        <f aca="false">IFERROR(IF(A293="","",SUMIFS(Movimientos!E:E, Movimientos!D:D, A293, Movimientos!C:C, "Ingreso", Movimientos!G:G, "G3")+SUMIFS(Movimientos!E:E, Movimientos!D:D, A293, Movimientos!C:C, "Traslado", Movimientos!G:G, "G3")-SUMIFS(Movimientos!E:E, Movimientos!D:D, A293, Movimientos!C:C, "Traslado", Movimientos!F:F, "G3")-SUMIFS(Movimientos!E:E, Movimientos!D:D, A293, Movimientos!C:C, "Egreso", Movimientos!F:F, "G3")+SUMIFS(Movimientos!E:E, Movimientos!D:D, A293, Movimientos!C:C, "Ajuste", Movimientos!F:F, "G3")),"")</f>
        <v/>
      </c>
      <c r="J293" s="6" t="str">
        <f aca="false">IFERROR(IF(A293="","",SUM(E293:I293)),"")</f>
        <v/>
      </c>
      <c r="K293" s="6" t="str">
        <f aca="false">IFERROR(IF(A293="","",SUMIFS(Movimientos!E:E, Movimientos!D:D, A293, Movimientos!C:C, "Reserva")-SUMIFS(Movimientos!E:E, Movimientos!D:D, A293, Movimientos!C:C, "Libera_Reserva")),"")</f>
        <v/>
      </c>
      <c r="L293" s="6" t="str">
        <f aca="false">IFERROR(IF(A293="","",J293-K293),"")</f>
        <v/>
      </c>
      <c r="M293" s="6" t="str">
        <f aca="false">IFERROR(IF(Productos!A293="","",Productos!G293),"")</f>
        <v/>
      </c>
      <c r="N293" s="6" t="str">
        <f aca="false">IFERROR(IF(A293="","",IF(L293&lt;M293,"BAJO STOCK","OK")),"")</f>
        <v/>
      </c>
    </row>
    <row r="294" customFormat="false" ht="15" hidden="false" customHeight="false" outlineLevel="0" collapsed="false">
      <c r="A294" s="0" t="str">
        <f aca="false">IFERROR(IF(Productos!A294="","",Productos!A294),"")</f>
        <v/>
      </c>
      <c r="B294" s="0" t="str">
        <f aca="false">IFERROR(IF(Productos!A294="","",Productos!B294),"")</f>
        <v/>
      </c>
      <c r="C294" s="0" t="str">
        <f aca="false">IFERROR(IF(Productos!A294="","",Productos!C294),"")</f>
        <v/>
      </c>
      <c r="D294" s="0" t="str">
        <f aca="false">IFERROR(IF(Productos!A294="","",Productos!E294),"")</f>
        <v/>
      </c>
      <c r="E294" s="6" t="str">
        <f aca="false">IFERROR(IF(A294="","",SUMIFS(Movimientos!E:E, Movimientos!D:D, A294, Movimientos!C:C, "Ingreso", Movimientos!G:G, "TIN")+SUMIFS(Movimientos!E:E, Movimientos!D:D, A294, Movimientos!C:C, "Traslado", Movimientos!G:G, "TIN")-SUMIFS(Movimientos!E:E, Movimientos!D:D, A294, Movimientos!C:C, "Traslado", Movimientos!F:F, "TIN")-SUMIFS(Movimientos!E:E, Movimientos!D:D, A294, Movimientos!C:C, "Egreso", Movimientos!F:F, "TIN")+SUMIFS(Movimientos!E:E, Movimientos!D:D, A294, Movimientos!C:C, "Ajuste", Movimientos!F:F, "TIN")),"")</f>
        <v/>
      </c>
      <c r="F294" s="6" t="str">
        <f aca="false">IFERROR(IF(A294="","",SUMIFS(Movimientos!E:E, Movimientos!D:D, A294, Movimientos!C:C, "Ingreso", Movimientos!G:G, "G1000")+SUMIFS(Movimientos!E:E, Movimientos!D:D, A294, Movimientos!C:C, "Traslado", Movimientos!G:G, "G1000")-SUMIFS(Movimientos!E:E, Movimientos!D:D, A294, Movimientos!C:C, "Traslado", Movimientos!F:F, "G1000")-SUMIFS(Movimientos!E:E, Movimientos!D:D, A294, Movimientos!C:C, "Egreso", Movimientos!F:F, "G1000")+SUMIFS(Movimientos!E:E, Movimientos!D:D, A294, Movimientos!C:C, "Ajuste", Movimientos!F:F, "G1000")),"")</f>
        <v/>
      </c>
      <c r="G294" s="6" t="str">
        <f aca="false">IFERROR(IF(A294="","",SUMIFS(Movimientos!E:E, Movimientos!D:D, A294, Movimientos!C:C, "Ingreso", Movimientos!G:G, "G710")+SUMIFS(Movimientos!E:E, Movimientos!D:D, A294, Movimientos!C:C, "Traslado", Movimientos!G:G, "G710")-SUMIFS(Movimientos!E:E, Movimientos!D:D, A294, Movimientos!C:C, "Traslado", Movimientos!F:F, "G710")-SUMIFS(Movimientos!E:E, Movimientos!D:D, A294, Movimientos!C:C, "Egreso", Movimientos!F:F, "G710")+SUMIFS(Movimientos!E:E, Movimientos!D:D, A294, Movimientos!C:C, "Ajuste", Movimientos!F:F, "G710")),"")</f>
        <v/>
      </c>
      <c r="H294" s="6" t="str">
        <f aca="false">IFERROR(IF(A294="","",SUMIFS(Movimientos!E:E, Movimientos!D:D, A294, Movimientos!C:C, "Ingreso", Movimientos!G:G, "G5000")+SUMIFS(Movimientos!E:E, Movimientos!D:D, A294, Movimientos!C:C, "Traslado", Movimientos!G:G, "G5000")-SUMIFS(Movimientos!E:E, Movimientos!D:D, A294, Movimientos!C:C, "Traslado", Movimientos!F:F, "G5000")-SUMIFS(Movimientos!E:E, Movimientos!D:D, A294, Movimientos!C:C, "Egreso", Movimientos!F:F, "G5000")+SUMIFS(Movimientos!E:E, Movimientos!D:D, A294, Movimientos!C:C, "Ajuste", Movimientos!F:F, "G5000")),"")</f>
        <v/>
      </c>
      <c r="I294" s="6" t="str">
        <f aca="false">IFERROR(IF(A294="","",SUMIFS(Movimientos!E:E, Movimientos!D:D, A294, Movimientos!C:C, "Ingreso", Movimientos!G:G, "G3")+SUMIFS(Movimientos!E:E, Movimientos!D:D, A294, Movimientos!C:C, "Traslado", Movimientos!G:G, "G3")-SUMIFS(Movimientos!E:E, Movimientos!D:D, A294, Movimientos!C:C, "Traslado", Movimientos!F:F, "G3")-SUMIFS(Movimientos!E:E, Movimientos!D:D, A294, Movimientos!C:C, "Egreso", Movimientos!F:F, "G3")+SUMIFS(Movimientos!E:E, Movimientos!D:D, A294, Movimientos!C:C, "Ajuste", Movimientos!F:F, "G3")),"")</f>
        <v/>
      </c>
      <c r="J294" s="6" t="str">
        <f aca="false">IFERROR(IF(A294="","",SUM(E294:I294)),"")</f>
        <v/>
      </c>
      <c r="K294" s="6" t="str">
        <f aca="false">IFERROR(IF(A294="","",SUMIFS(Movimientos!E:E, Movimientos!D:D, A294, Movimientos!C:C, "Reserva")-SUMIFS(Movimientos!E:E, Movimientos!D:D, A294, Movimientos!C:C, "Libera_Reserva")),"")</f>
        <v/>
      </c>
      <c r="L294" s="6" t="str">
        <f aca="false">IFERROR(IF(A294="","",J294-K294),"")</f>
        <v/>
      </c>
      <c r="M294" s="6" t="str">
        <f aca="false">IFERROR(IF(Productos!A294="","",Productos!G294),"")</f>
        <v/>
      </c>
      <c r="N294" s="6" t="str">
        <f aca="false">IFERROR(IF(A294="","",IF(L294&lt;M294,"BAJO STOCK","OK")),"")</f>
        <v/>
      </c>
    </row>
    <row r="295" customFormat="false" ht="15" hidden="false" customHeight="false" outlineLevel="0" collapsed="false">
      <c r="A295" s="0" t="str">
        <f aca="false">IFERROR(IF(Productos!A295="","",Productos!A295),"")</f>
        <v/>
      </c>
      <c r="B295" s="0" t="str">
        <f aca="false">IFERROR(IF(Productos!A295="","",Productos!B295),"")</f>
        <v/>
      </c>
      <c r="C295" s="0" t="str">
        <f aca="false">IFERROR(IF(Productos!A295="","",Productos!C295),"")</f>
        <v/>
      </c>
      <c r="D295" s="0" t="str">
        <f aca="false">IFERROR(IF(Productos!A295="","",Productos!E295),"")</f>
        <v/>
      </c>
      <c r="E295" s="6" t="str">
        <f aca="false">IFERROR(IF(A295="","",SUMIFS(Movimientos!E:E, Movimientos!D:D, A295, Movimientos!C:C, "Ingreso", Movimientos!G:G, "TIN")+SUMIFS(Movimientos!E:E, Movimientos!D:D, A295, Movimientos!C:C, "Traslado", Movimientos!G:G, "TIN")-SUMIFS(Movimientos!E:E, Movimientos!D:D, A295, Movimientos!C:C, "Traslado", Movimientos!F:F, "TIN")-SUMIFS(Movimientos!E:E, Movimientos!D:D, A295, Movimientos!C:C, "Egreso", Movimientos!F:F, "TIN")+SUMIFS(Movimientos!E:E, Movimientos!D:D, A295, Movimientos!C:C, "Ajuste", Movimientos!F:F, "TIN")),"")</f>
        <v/>
      </c>
      <c r="F295" s="6" t="str">
        <f aca="false">IFERROR(IF(A295="","",SUMIFS(Movimientos!E:E, Movimientos!D:D, A295, Movimientos!C:C, "Ingreso", Movimientos!G:G, "G1000")+SUMIFS(Movimientos!E:E, Movimientos!D:D, A295, Movimientos!C:C, "Traslado", Movimientos!G:G, "G1000")-SUMIFS(Movimientos!E:E, Movimientos!D:D, A295, Movimientos!C:C, "Traslado", Movimientos!F:F, "G1000")-SUMIFS(Movimientos!E:E, Movimientos!D:D, A295, Movimientos!C:C, "Egreso", Movimientos!F:F, "G1000")+SUMIFS(Movimientos!E:E, Movimientos!D:D, A295, Movimientos!C:C, "Ajuste", Movimientos!F:F, "G1000")),"")</f>
        <v/>
      </c>
      <c r="G295" s="6" t="str">
        <f aca="false">IFERROR(IF(A295="","",SUMIFS(Movimientos!E:E, Movimientos!D:D, A295, Movimientos!C:C, "Ingreso", Movimientos!G:G, "G710")+SUMIFS(Movimientos!E:E, Movimientos!D:D, A295, Movimientos!C:C, "Traslado", Movimientos!G:G, "G710")-SUMIFS(Movimientos!E:E, Movimientos!D:D, A295, Movimientos!C:C, "Traslado", Movimientos!F:F, "G710")-SUMIFS(Movimientos!E:E, Movimientos!D:D, A295, Movimientos!C:C, "Egreso", Movimientos!F:F, "G710")+SUMIFS(Movimientos!E:E, Movimientos!D:D, A295, Movimientos!C:C, "Ajuste", Movimientos!F:F, "G710")),"")</f>
        <v/>
      </c>
      <c r="H295" s="6" t="str">
        <f aca="false">IFERROR(IF(A295="","",SUMIFS(Movimientos!E:E, Movimientos!D:D, A295, Movimientos!C:C, "Ingreso", Movimientos!G:G, "G5000")+SUMIFS(Movimientos!E:E, Movimientos!D:D, A295, Movimientos!C:C, "Traslado", Movimientos!G:G, "G5000")-SUMIFS(Movimientos!E:E, Movimientos!D:D, A295, Movimientos!C:C, "Traslado", Movimientos!F:F, "G5000")-SUMIFS(Movimientos!E:E, Movimientos!D:D, A295, Movimientos!C:C, "Egreso", Movimientos!F:F, "G5000")+SUMIFS(Movimientos!E:E, Movimientos!D:D, A295, Movimientos!C:C, "Ajuste", Movimientos!F:F, "G5000")),"")</f>
        <v/>
      </c>
      <c r="I295" s="6" t="str">
        <f aca="false">IFERROR(IF(A295="","",SUMIFS(Movimientos!E:E, Movimientos!D:D, A295, Movimientos!C:C, "Ingreso", Movimientos!G:G, "G3")+SUMIFS(Movimientos!E:E, Movimientos!D:D, A295, Movimientos!C:C, "Traslado", Movimientos!G:G, "G3")-SUMIFS(Movimientos!E:E, Movimientos!D:D, A295, Movimientos!C:C, "Traslado", Movimientos!F:F, "G3")-SUMIFS(Movimientos!E:E, Movimientos!D:D, A295, Movimientos!C:C, "Egreso", Movimientos!F:F, "G3")+SUMIFS(Movimientos!E:E, Movimientos!D:D, A295, Movimientos!C:C, "Ajuste", Movimientos!F:F, "G3")),"")</f>
        <v/>
      </c>
      <c r="J295" s="6" t="str">
        <f aca="false">IFERROR(IF(A295="","",SUM(E295:I295)),"")</f>
        <v/>
      </c>
      <c r="K295" s="6" t="str">
        <f aca="false">IFERROR(IF(A295="","",SUMIFS(Movimientos!E:E, Movimientos!D:D, A295, Movimientos!C:C, "Reserva")-SUMIFS(Movimientos!E:E, Movimientos!D:D, A295, Movimientos!C:C, "Libera_Reserva")),"")</f>
        <v/>
      </c>
      <c r="L295" s="6" t="str">
        <f aca="false">IFERROR(IF(A295="","",J295-K295),"")</f>
        <v/>
      </c>
      <c r="M295" s="6" t="str">
        <f aca="false">IFERROR(IF(Productos!A295="","",Productos!G295),"")</f>
        <v/>
      </c>
      <c r="N295" s="6" t="str">
        <f aca="false">IFERROR(IF(A295="","",IF(L295&lt;M295,"BAJO STOCK","OK")),"")</f>
        <v/>
      </c>
    </row>
    <row r="296" customFormat="false" ht="15" hidden="false" customHeight="false" outlineLevel="0" collapsed="false">
      <c r="A296" s="0" t="str">
        <f aca="false">IFERROR(IF(Productos!A296="","",Productos!A296),"")</f>
        <v/>
      </c>
      <c r="B296" s="0" t="str">
        <f aca="false">IFERROR(IF(Productos!A296="","",Productos!B296),"")</f>
        <v/>
      </c>
      <c r="C296" s="0" t="str">
        <f aca="false">IFERROR(IF(Productos!A296="","",Productos!C296),"")</f>
        <v/>
      </c>
      <c r="D296" s="0" t="str">
        <f aca="false">IFERROR(IF(Productos!A296="","",Productos!E296),"")</f>
        <v/>
      </c>
      <c r="E296" s="6" t="str">
        <f aca="false">IFERROR(IF(A296="","",SUMIFS(Movimientos!E:E, Movimientos!D:D, A296, Movimientos!C:C, "Ingreso", Movimientos!G:G, "TIN")+SUMIFS(Movimientos!E:E, Movimientos!D:D, A296, Movimientos!C:C, "Traslado", Movimientos!G:G, "TIN")-SUMIFS(Movimientos!E:E, Movimientos!D:D, A296, Movimientos!C:C, "Traslado", Movimientos!F:F, "TIN")-SUMIFS(Movimientos!E:E, Movimientos!D:D, A296, Movimientos!C:C, "Egreso", Movimientos!F:F, "TIN")+SUMIFS(Movimientos!E:E, Movimientos!D:D, A296, Movimientos!C:C, "Ajuste", Movimientos!F:F, "TIN")),"")</f>
        <v/>
      </c>
      <c r="F296" s="6" t="str">
        <f aca="false">IFERROR(IF(A296="","",SUMIFS(Movimientos!E:E, Movimientos!D:D, A296, Movimientos!C:C, "Ingreso", Movimientos!G:G, "G1000")+SUMIFS(Movimientos!E:E, Movimientos!D:D, A296, Movimientos!C:C, "Traslado", Movimientos!G:G, "G1000")-SUMIFS(Movimientos!E:E, Movimientos!D:D, A296, Movimientos!C:C, "Traslado", Movimientos!F:F, "G1000")-SUMIFS(Movimientos!E:E, Movimientos!D:D, A296, Movimientos!C:C, "Egreso", Movimientos!F:F, "G1000")+SUMIFS(Movimientos!E:E, Movimientos!D:D, A296, Movimientos!C:C, "Ajuste", Movimientos!F:F, "G1000")),"")</f>
        <v/>
      </c>
      <c r="G296" s="6" t="str">
        <f aca="false">IFERROR(IF(A296="","",SUMIFS(Movimientos!E:E, Movimientos!D:D, A296, Movimientos!C:C, "Ingreso", Movimientos!G:G, "G710")+SUMIFS(Movimientos!E:E, Movimientos!D:D, A296, Movimientos!C:C, "Traslado", Movimientos!G:G, "G710")-SUMIFS(Movimientos!E:E, Movimientos!D:D, A296, Movimientos!C:C, "Traslado", Movimientos!F:F, "G710")-SUMIFS(Movimientos!E:E, Movimientos!D:D, A296, Movimientos!C:C, "Egreso", Movimientos!F:F, "G710")+SUMIFS(Movimientos!E:E, Movimientos!D:D, A296, Movimientos!C:C, "Ajuste", Movimientos!F:F, "G710")),"")</f>
        <v/>
      </c>
      <c r="H296" s="6" t="str">
        <f aca="false">IFERROR(IF(A296="","",SUMIFS(Movimientos!E:E, Movimientos!D:D, A296, Movimientos!C:C, "Ingreso", Movimientos!G:G, "G5000")+SUMIFS(Movimientos!E:E, Movimientos!D:D, A296, Movimientos!C:C, "Traslado", Movimientos!G:G, "G5000")-SUMIFS(Movimientos!E:E, Movimientos!D:D, A296, Movimientos!C:C, "Traslado", Movimientos!F:F, "G5000")-SUMIFS(Movimientos!E:E, Movimientos!D:D, A296, Movimientos!C:C, "Egreso", Movimientos!F:F, "G5000")+SUMIFS(Movimientos!E:E, Movimientos!D:D, A296, Movimientos!C:C, "Ajuste", Movimientos!F:F, "G5000")),"")</f>
        <v/>
      </c>
      <c r="I296" s="6" t="str">
        <f aca="false">IFERROR(IF(A296="","",SUMIFS(Movimientos!E:E, Movimientos!D:D, A296, Movimientos!C:C, "Ingreso", Movimientos!G:G, "G3")+SUMIFS(Movimientos!E:E, Movimientos!D:D, A296, Movimientos!C:C, "Traslado", Movimientos!G:G, "G3")-SUMIFS(Movimientos!E:E, Movimientos!D:D, A296, Movimientos!C:C, "Traslado", Movimientos!F:F, "G3")-SUMIFS(Movimientos!E:E, Movimientos!D:D, A296, Movimientos!C:C, "Egreso", Movimientos!F:F, "G3")+SUMIFS(Movimientos!E:E, Movimientos!D:D, A296, Movimientos!C:C, "Ajuste", Movimientos!F:F, "G3")),"")</f>
        <v/>
      </c>
      <c r="J296" s="6" t="str">
        <f aca="false">IFERROR(IF(A296="","",SUM(E296:I296)),"")</f>
        <v/>
      </c>
      <c r="K296" s="6" t="str">
        <f aca="false">IFERROR(IF(A296="","",SUMIFS(Movimientos!E:E, Movimientos!D:D, A296, Movimientos!C:C, "Reserva")-SUMIFS(Movimientos!E:E, Movimientos!D:D, A296, Movimientos!C:C, "Libera_Reserva")),"")</f>
        <v/>
      </c>
      <c r="L296" s="6" t="str">
        <f aca="false">IFERROR(IF(A296="","",J296-K296),"")</f>
        <v/>
      </c>
      <c r="M296" s="6" t="str">
        <f aca="false">IFERROR(IF(Productos!A296="","",Productos!G296),"")</f>
        <v/>
      </c>
      <c r="N296" s="6" t="str">
        <f aca="false">IFERROR(IF(A296="","",IF(L296&lt;M296,"BAJO STOCK","OK")),"")</f>
        <v/>
      </c>
    </row>
    <row r="297" customFormat="false" ht="15" hidden="false" customHeight="false" outlineLevel="0" collapsed="false">
      <c r="A297" s="0" t="str">
        <f aca="false">IFERROR(IF(Productos!A297="","",Productos!A297),"")</f>
        <v/>
      </c>
      <c r="B297" s="0" t="str">
        <f aca="false">IFERROR(IF(Productos!A297="","",Productos!B297),"")</f>
        <v/>
      </c>
      <c r="C297" s="0" t="str">
        <f aca="false">IFERROR(IF(Productos!A297="","",Productos!C297),"")</f>
        <v/>
      </c>
      <c r="D297" s="0" t="str">
        <f aca="false">IFERROR(IF(Productos!A297="","",Productos!E297),"")</f>
        <v/>
      </c>
      <c r="E297" s="6" t="str">
        <f aca="false">IFERROR(IF(A297="","",SUMIFS(Movimientos!E:E, Movimientos!D:D, A297, Movimientos!C:C, "Ingreso", Movimientos!G:G, "TIN")+SUMIFS(Movimientos!E:E, Movimientos!D:D, A297, Movimientos!C:C, "Traslado", Movimientos!G:G, "TIN")-SUMIFS(Movimientos!E:E, Movimientos!D:D, A297, Movimientos!C:C, "Traslado", Movimientos!F:F, "TIN")-SUMIFS(Movimientos!E:E, Movimientos!D:D, A297, Movimientos!C:C, "Egreso", Movimientos!F:F, "TIN")+SUMIFS(Movimientos!E:E, Movimientos!D:D, A297, Movimientos!C:C, "Ajuste", Movimientos!F:F, "TIN")),"")</f>
        <v/>
      </c>
      <c r="F297" s="6" t="str">
        <f aca="false">IFERROR(IF(A297="","",SUMIFS(Movimientos!E:E, Movimientos!D:D, A297, Movimientos!C:C, "Ingreso", Movimientos!G:G, "G1000")+SUMIFS(Movimientos!E:E, Movimientos!D:D, A297, Movimientos!C:C, "Traslado", Movimientos!G:G, "G1000")-SUMIFS(Movimientos!E:E, Movimientos!D:D, A297, Movimientos!C:C, "Traslado", Movimientos!F:F, "G1000")-SUMIFS(Movimientos!E:E, Movimientos!D:D, A297, Movimientos!C:C, "Egreso", Movimientos!F:F, "G1000")+SUMIFS(Movimientos!E:E, Movimientos!D:D, A297, Movimientos!C:C, "Ajuste", Movimientos!F:F, "G1000")),"")</f>
        <v/>
      </c>
      <c r="G297" s="6" t="str">
        <f aca="false">IFERROR(IF(A297="","",SUMIFS(Movimientos!E:E, Movimientos!D:D, A297, Movimientos!C:C, "Ingreso", Movimientos!G:G, "G710")+SUMIFS(Movimientos!E:E, Movimientos!D:D, A297, Movimientos!C:C, "Traslado", Movimientos!G:G, "G710")-SUMIFS(Movimientos!E:E, Movimientos!D:D, A297, Movimientos!C:C, "Traslado", Movimientos!F:F, "G710")-SUMIFS(Movimientos!E:E, Movimientos!D:D, A297, Movimientos!C:C, "Egreso", Movimientos!F:F, "G710")+SUMIFS(Movimientos!E:E, Movimientos!D:D, A297, Movimientos!C:C, "Ajuste", Movimientos!F:F, "G710")),"")</f>
        <v/>
      </c>
      <c r="H297" s="6" t="str">
        <f aca="false">IFERROR(IF(A297="","",SUMIFS(Movimientos!E:E, Movimientos!D:D, A297, Movimientos!C:C, "Ingreso", Movimientos!G:G, "G5000")+SUMIFS(Movimientos!E:E, Movimientos!D:D, A297, Movimientos!C:C, "Traslado", Movimientos!G:G, "G5000")-SUMIFS(Movimientos!E:E, Movimientos!D:D, A297, Movimientos!C:C, "Traslado", Movimientos!F:F, "G5000")-SUMIFS(Movimientos!E:E, Movimientos!D:D, A297, Movimientos!C:C, "Egreso", Movimientos!F:F, "G5000")+SUMIFS(Movimientos!E:E, Movimientos!D:D, A297, Movimientos!C:C, "Ajuste", Movimientos!F:F, "G5000")),"")</f>
        <v/>
      </c>
      <c r="I297" s="6" t="str">
        <f aca="false">IFERROR(IF(A297="","",SUMIFS(Movimientos!E:E, Movimientos!D:D, A297, Movimientos!C:C, "Ingreso", Movimientos!G:G, "G3")+SUMIFS(Movimientos!E:E, Movimientos!D:D, A297, Movimientos!C:C, "Traslado", Movimientos!G:G, "G3")-SUMIFS(Movimientos!E:E, Movimientos!D:D, A297, Movimientos!C:C, "Traslado", Movimientos!F:F, "G3")-SUMIFS(Movimientos!E:E, Movimientos!D:D, A297, Movimientos!C:C, "Egreso", Movimientos!F:F, "G3")+SUMIFS(Movimientos!E:E, Movimientos!D:D, A297, Movimientos!C:C, "Ajuste", Movimientos!F:F, "G3")),"")</f>
        <v/>
      </c>
      <c r="J297" s="6" t="str">
        <f aca="false">IFERROR(IF(A297="","",SUM(E297:I297)),"")</f>
        <v/>
      </c>
      <c r="K297" s="6" t="str">
        <f aca="false">IFERROR(IF(A297="","",SUMIFS(Movimientos!E:E, Movimientos!D:D, A297, Movimientos!C:C, "Reserva")-SUMIFS(Movimientos!E:E, Movimientos!D:D, A297, Movimientos!C:C, "Libera_Reserva")),"")</f>
        <v/>
      </c>
      <c r="L297" s="6" t="str">
        <f aca="false">IFERROR(IF(A297="","",J297-K297),"")</f>
        <v/>
      </c>
      <c r="M297" s="6" t="str">
        <f aca="false">IFERROR(IF(Productos!A297="","",Productos!G297),"")</f>
        <v/>
      </c>
      <c r="N297" s="6" t="str">
        <f aca="false">IFERROR(IF(A297="","",IF(L297&lt;M297,"BAJO STOCK","OK")),"")</f>
        <v/>
      </c>
    </row>
    <row r="298" customFormat="false" ht="15" hidden="false" customHeight="false" outlineLevel="0" collapsed="false">
      <c r="A298" s="0" t="str">
        <f aca="false">IFERROR(IF(Productos!A298="","",Productos!A298),"")</f>
        <v/>
      </c>
      <c r="B298" s="0" t="str">
        <f aca="false">IFERROR(IF(Productos!A298="","",Productos!B298),"")</f>
        <v/>
      </c>
      <c r="C298" s="0" t="str">
        <f aca="false">IFERROR(IF(Productos!A298="","",Productos!C298),"")</f>
        <v/>
      </c>
      <c r="D298" s="0" t="str">
        <f aca="false">IFERROR(IF(Productos!A298="","",Productos!E298),"")</f>
        <v/>
      </c>
      <c r="E298" s="6" t="str">
        <f aca="false">IFERROR(IF(A298="","",SUMIFS(Movimientos!E:E, Movimientos!D:D, A298, Movimientos!C:C, "Ingreso", Movimientos!G:G, "TIN")+SUMIFS(Movimientos!E:E, Movimientos!D:D, A298, Movimientos!C:C, "Traslado", Movimientos!G:G, "TIN")-SUMIFS(Movimientos!E:E, Movimientos!D:D, A298, Movimientos!C:C, "Traslado", Movimientos!F:F, "TIN")-SUMIFS(Movimientos!E:E, Movimientos!D:D, A298, Movimientos!C:C, "Egreso", Movimientos!F:F, "TIN")+SUMIFS(Movimientos!E:E, Movimientos!D:D, A298, Movimientos!C:C, "Ajuste", Movimientos!F:F, "TIN")),"")</f>
        <v/>
      </c>
      <c r="F298" s="6" t="str">
        <f aca="false">IFERROR(IF(A298="","",SUMIFS(Movimientos!E:E, Movimientos!D:D, A298, Movimientos!C:C, "Ingreso", Movimientos!G:G, "G1000")+SUMIFS(Movimientos!E:E, Movimientos!D:D, A298, Movimientos!C:C, "Traslado", Movimientos!G:G, "G1000")-SUMIFS(Movimientos!E:E, Movimientos!D:D, A298, Movimientos!C:C, "Traslado", Movimientos!F:F, "G1000")-SUMIFS(Movimientos!E:E, Movimientos!D:D, A298, Movimientos!C:C, "Egreso", Movimientos!F:F, "G1000")+SUMIFS(Movimientos!E:E, Movimientos!D:D, A298, Movimientos!C:C, "Ajuste", Movimientos!F:F, "G1000")),"")</f>
        <v/>
      </c>
      <c r="G298" s="6" t="str">
        <f aca="false">IFERROR(IF(A298="","",SUMIFS(Movimientos!E:E, Movimientos!D:D, A298, Movimientos!C:C, "Ingreso", Movimientos!G:G, "G710")+SUMIFS(Movimientos!E:E, Movimientos!D:D, A298, Movimientos!C:C, "Traslado", Movimientos!G:G, "G710")-SUMIFS(Movimientos!E:E, Movimientos!D:D, A298, Movimientos!C:C, "Traslado", Movimientos!F:F, "G710")-SUMIFS(Movimientos!E:E, Movimientos!D:D, A298, Movimientos!C:C, "Egreso", Movimientos!F:F, "G710")+SUMIFS(Movimientos!E:E, Movimientos!D:D, A298, Movimientos!C:C, "Ajuste", Movimientos!F:F, "G710")),"")</f>
        <v/>
      </c>
      <c r="H298" s="6" t="str">
        <f aca="false">IFERROR(IF(A298="","",SUMIFS(Movimientos!E:E, Movimientos!D:D, A298, Movimientos!C:C, "Ingreso", Movimientos!G:G, "G5000")+SUMIFS(Movimientos!E:E, Movimientos!D:D, A298, Movimientos!C:C, "Traslado", Movimientos!G:G, "G5000")-SUMIFS(Movimientos!E:E, Movimientos!D:D, A298, Movimientos!C:C, "Traslado", Movimientos!F:F, "G5000")-SUMIFS(Movimientos!E:E, Movimientos!D:D, A298, Movimientos!C:C, "Egreso", Movimientos!F:F, "G5000")+SUMIFS(Movimientos!E:E, Movimientos!D:D, A298, Movimientos!C:C, "Ajuste", Movimientos!F:F, "G5000")),"")</f>
        <v/>
      </c>
      <c r="I298" s="6" t="str">
        <f aca="false">IFERROR(IF(A298="","",SUMIFS(Movimientos!E:E, Movimientos!D:D, A298, Movimientos!C:C, "Ingreso", Movimientos!G:G, "G3")+SUMIFS(Movimientos!E:E, Movimientos!D:D, A298, Movimientos!C:C, "Traslado", Movimientos!G:G, "G3")-SUMIFS(Movimientos!E:E, Movimientos!D:D, A298, Movimientos!C:C, "Traslado", Movimientos!F:F, "G3")-SUMIFS(Movimientos!E:E, Movimientos!D:D, A298, Movimientos!C:C, "Egreso", Movimientos!F:F, "G3")+SUMIFS(Movimientos!E:E, Movimientos!D:D, A298, Movimientos!C:C, "Ajuste", Movimientos!F:F, "G3")),"")</f>
        <v/>
      </c>
      <c r="J298" s="6" t="str">
        <f aca="false">IFERROR(IF(A298="","",SUM(E298:I298)),"")</f>
        <v/>
      </c>
      <c r="K298" s="6" t="str">
        <f aca="false">IFERROR(IF(A298="","",SUMIFS(Movimientos!E:E, Movimientos!D:D, A298, Movimientos!C:C, "Reserva")-SUMIFS(Movimientos!E:E, Movimientos!D:D, A298, Movimientos!C:C, "Libera_Reserva")),"")</f>
        <v/>
      </c>
      <c r="L298" s="6" t="str">
        <f aca="false">IFERROR(IF(A298="","",J298-K298),"")</f>
        <v/>
      </c>
      <c r="M298" s="6" t="str">
        <f aca="false">IFERROR(IF(Productos!A298="","",Productos!G298),"")</f>
        <v/>
      </c>
      <c r="N298" s="6" t="str">
        <f aca="false">IFERROR(IF(A298="","",IF(L298&lt;M298,"BAJO STOCK","OK")),"")</f>
        <v/>
      </c>
    </row>
    <row r="299" customFormat="false" ht="15" hidden="false" customHeight="false" outlineLevel="0" collapsed="false">
      <c r="A299" s="0" t="str">
        <f aca="false">IFERROR(IF(Productos!A299="","",Productos!A299),"")</f>
        <v/>
      </c>
      <c r="B299" s="0" t="str">
        <f aca="false">IFERROR(IF(Productos!A299="","",Productos!B299),"")</f>
        <v/>
      </c>
      <c r="C299" s="0" t="str">
        <f aca="false">IFERROR(IF(Productos!A299="","",Productos!C299),"")</f>
        <v/>
      </c>
      <c r="D299" s="0" t="str">
        <f aca="false">IFERROR(IF(Productos!A299="","",Productos!E299),"")</f>
        <v/>
      </c>
      <c r="E299" s="6" t="str">
        <f aca="false">IFERROR(IF(A299="","",SUMIFS(Movimientos!E:E, Movimientos!D:D, A299, Movimientos!C:C, "Ingreso", Movimientos!G:G, "TIN")+SUMIFS(Movimientos!E:E, Movimientos!D:D, A299, Movimientos!C:C, "Traslado", Movimientos!G:G, "TIN")-SUMIFS(Movimientos!E:E, Movimientos!D:D, A299, Movimientos!C:C, "Traslado", Movimientos!F:F, "TIN")-SUMIFS(Movimientos!E:E, Movimientos!D:D, A299, Movimientos!C:C, "Egreso", Movimientos!F:F, "TIN")+SUMIFS(Movimientos!E:E, Movimientos!D:D, A299, Movimientos!C:C, "Ajuste", Movimientos!F:F, "TIN")),"")</f>
        <v/>
      </c>
      <c r="F299" s="6" t="str">
        <f aca="false">IFERROR(IF(A299="","",SUMIFS(Movimientos!E:E, Movimientos!D:D, A299, Movimientos!C:C, "Ingreso", Movimientos!G:G, "G1000")+SUMIFS(Movimientos!E:E, Movimientos!D:D, A299, Movimientos!C:C, "Traslado", Movimientos!G:G, "G1000")-SUMIFS(Movimientos!E:E, Movimientos!D:D, A299, Movimientos!C:C, "Traslado", Movimientos!F:F, "G1000")-SUMIFS(Movimientos!E:E, Movimientos!D:D, A299, Movimientos!C:C, "Egreso", Movimientos!F:F, "G1000")+SUMIFS(Movimientos!E:E, Movimientos!D:D, A299, Movimientos!C:C, "Ajuste", Movimientos!F:F, "G1000")),"")</f>
        <v/>
      </c>
      <c r="G299" s="6" t="str">
        <f aca="false">IFERROR(IF(A299="","",SUMIFS(Movimientos!E:E, Movimientos!D:D, A299, Movimientos!C:C, "Ingreso", Movimientos!G:G, "G710")+SUMIFS(Movimientos!E:E, Movimientos!D:D, A299, Movimientos!C:C, "Traslado", Movimientos!G:G, "G710")-SUMIFS(Movimientos!E:E, Movimientos!D:D, A299, Movimientos!C:C, "Traslado", Movimientos!F:F, "G710")-SUMIFS(Movimientos!E:E, Movimientos!D:D, A299, Movimientos!C:C, "Egreso", Movimientos!F:F, "G710")+SUMIFS(Movimientos!E:E, Movimientos!D:D, A299, Movimientos!C:C, "Ajuste", Movimientos!F:F, "G710")),"")</f>
        <v/>
      </c>
      <c r="H299" s="6" t="str">
        <f aca="false">IFERROR(IF(A299="","",SUMIFS(Movimientos!E:E, Movimientos!D:D, A299, Movimientos!C:C, "Ingreso", Movimientos!G:G, "G5000")+SUMIFS(Movimientos!E:E, Movimientos!D:D, A299, Movimientos!C:C, "Traslado", Movimientos!G:G, "G5000")-SUMIFS(Movimientos!E:E, Movimientos!D:D, A299, Movimientos!C:C, "Traslado", Movimientos!F:F, "G5000")-SUMIFS(Movimientos!E:E, Movimientos!D:D, A299, Movimientos!C:C, "Egreso", Movimientos!F:F, "G5000")+SUMIFS(Movimientos!E:E, Movimientos!D:D, A299, Movimientos!C:C, "Ajuste", Movimientos!F:F, "G5000")),"")</f>
        <v/>
      </c>
      <c r="I299" s="6" t="str">
        <f aca="false">IFERROR(IF(A299="","",SUMIFS(Movimientos!E:E, Movimientos!D:D, A299, Movimientos!C:C, "Ingreso", Movimientos!G:G, "G3")+SUMIFS(Movimientos!E:E, Movimientos!D:D, A299, Movimientos!C:C, "Traslado", Movimientos!G:G, "G3")-SUMIFS(Movimientos!E:E, Movimientos!D:D, A299, Movimientos!C:C, "Traslado", Movimientos!F:F, "G3")-SUMIFS(Movimientos!E:E, Movimientos!D:D, A299, Movimientos!C:C, "Egreso", Movimientos!F:F, "G3")+SUMIFS(Movimientos!E:E, Movimientos!D:D, A299, Movimientos!C:C, "Ajuste", Movimientos!F:F, "G3")),"")</f>
        <v/>
      </c>
      <c r="J299" s="6" t="str">
        <f aca="false">IFERROR(IF(A299="","",SUM(E299:I299)),"")</f>
        <v/>
      </c>
      <c r="K299" s="6" t="str">
        <f aca="false">IFERROR(IF(A299="","",SUMIFS(Movimientos!E:E, Movimientos!D:D, A299, Movimientos!C:C, "Reserva")-SUMIFS(Movimientos!E:E, Movimientos!D:D, A299, Movimientos!C:C, "Libera_Reserva")),"")</f>
        <v/>
      </c>
      <c r="L299" s="6" t="str">
        <f aca="false">IFERROR(IF(A299="","",J299-K299),"")</f>
        <v/>
      </c>
      <c r="M299" s="6" t="str">
        <f aca="false">IFERROR(IF(Productos!A299="","",Productos!G299),"")</f>
        <v/>
      </c>
      <c r="N299" s="6" t="str">
        <f aca="false">IFERROR(IF(A299="","",IF(L299&lt;M299,"BAJO STOCK","OK")),"")</f>
        <v/>
      </c>
    </row>
    <row r="300" customFormat="false" ht="15" hidden="false" customHeight="false" outlineLevel="0" collapsed="false">
      <c r="A300" s="0" t="str">
        <f aca="false">IFERROR(IF(Productos!A300="","",Productos!A300),"")</f>
        <v/>
      </c>
      <c r="B300" s="0" t="str">
        <f aca="false">IFERROR(IF(Productos!A300="","",Productos!B300),"")</f>
        <v/>
      </c>
      <c r="C300" s="0" t="str">
        <f aca="false">IFERROR(IF(Productos!A300="","",Productos!C300),"")</f>
        <v/>
      </c>
      <c r="D300" s="0" t="str">
        <f aca="false">IFERROR(IF(Productos!A300="","",Productos!E300),"")</f>
        <v/>
      </c>
      <c r="E300" s="6" t="str">
        <f aca="false">IFERROR(IF(A300="","",SUMIFS(Movimientos!E:E, Movimientos!D:D, A300, Movimientos!C:C, "Ingreso", Movimientos!G:G, "TIN")+SUMIFS(Movimientos!E:E, Movimientos!D:D, A300, Movimientos!C:C, "Traslado", Movimientos!G:G, "TIN")-SUMIFS(Movimientos!E:E, Movimientos!D:D, A300, Movimientos!C:C, "Traslado", Movimientos!F:F, "TIN")-SUMIFS(Movimientos!E:E, Movimientos!D:D, A300, Movimientos!C:C, "Egreso", Movimientos!F:F, "TIN")+SUMIFS(Movimientos!E:E, Movimientos!D:D, A300, Movimientos!C:C, "Ajuste", Movimientos!F:F, "TIN")),"")</f>
        <v/>
      </c>
      <c r="F300" s="6" t="str">
        <f aca="false">IFERROR(IF(A300="","",SUMIFS(Movimientos!E:E, Movimientos!D:D, A300, Movimientos!C:C, "Ingreso", Movimientos!G:G, "G1000")+SUMIFS(Movimientos!E:E, Movimientos!D:D, A300, Movimientos!C:C, "Traslado", Movimientos!G:G, "G1000")-SUMIFS(Movimientos!E:E, Movimientos!D:D, A300, Movimientos!C:C, "Traslado", Movimientos!F:F, "G1000")-SUMIFS(Movimientos!E:E, Movimientos!D:D, A300, Movimientos!C:C, "Egreso", Movimientos!F:F, "G1000")+SUMIFS(Movimientos!E:E, Movimientos!D:D, A300, Movimientos!C:C, "Ajuste", Movimientos!F:F, "G1000")),"")</f>
        <v/>
      </c>
      <c r="G300" s="6" t="str">
        <f aca="false">IFERROR(IF(A300="","",SUMIFS(Movimientos!E:E, Movimientos!D:D, A300, Movimientos!C:C, "Ingreso", Movimientos!G:G, "G710")+SUMIFS(Movimientos!E:E, Movimientos!D:D, A300, Movimientos!C:C, "Traslado", Movimientos!G:G, "G710")-SUMIFS(Movimientos!E:E, Movimientos!D:D, A300, Movimientos!C:C, "Traslado", Movimientos!F:F, "G710")-SUMIFS(Movimientos!E:E, Movimientos!D:D, A300, Movimientos!C:C, "Egreso", Movimientos!F:F, "G710")+SUMIFS(Movimientos!E:E, Movimientos!D:D, A300, Movimientos!C:C, "Ajuste", Movimientos!F:F, "G710")),"")</f>
        <v/>
      </c>
      <c r="H300" s="6" t="str">
        <f aca="false">IFERROR(IF(A300="","",SUMIFS(Movimientos!E:E, Movimientos!D:D, A300, Movimientos!C:C, "Ingreso", Movimientos!G:G, "G5000")+SUMIFS(Movimientos!E:E, Movimientos!D:D, A300, Movimientos!C:C, "Traslado", Movimientos!G:G, "G5000")-SUMIFS(Movimientos!E:E, Movimientos!D:D, A300, Movimientos!C:C, "Traslado", Movimientos!F:F, "G5000")-SUMIFS(Movimientos!E:E, Movimientos!D:D, A300, Movimientos!C:C, "Egreso", Movimientos!F:F, "G5000")+SUMIFS(Movimientos!E:E, Movimientos!D:D, A300, Movimientos!C:C, "Ajuste", Movimientos!F:F, "G5000")),"")</f>
        <v/>
      </c>
      <c r="I300" s="6" t="str">
        <f aca="false">IFERROR(IF(A300="","",SUMIFS(Movimientos!E:E, Movimientos!D:D, A300, Movimientos!C:C, "Ingreso", Movimientos!G:G, "G3")+SUMIFS(Movimientos!E:E, Movimientos!D:D, A300, Movimientos!C:C, "Traslado", Movimientos!G:G, "G3")-SUMIFS(Movimientos!E:E, Movimientos!D:D, A300, Movimientos!C:C, "Traslado", Movimientos!F:F, "G3")-SUMIFS(Movimientos!E:E, Movimientos!D:D, A300, Movimientos!C:C, "Egreso", Movimientos!F:F, "G3")+SUMIFS(Movimientos!E:E, Movimientos!D:D, A300, Movimientos!C:C, "Ajuste", Movimientos!F:F, "G3")),"")</f>
        <v/>
      </c>
      <c r="J300" s="6" t="str">
        <f aca="false">IFERROR(IF(A300="","",SUM(E300:I300)),"")</f>
        <v/>
      </c>
      <c r="K300" s="6" t="str">
        <f aca="false">IFERROR(IF(A300="","",SUMIFS(Movimientos!E:E, Movimientos!D:D, A300, Movimientos!C:C, "Reserva")-SUMIFS(Movimientos!E:E, Movimientos!D:D, A300, Movimientos!C:C, "Libera_Reserva")),"")</f>
        <v/>
      </c>
      <c r="L300" s="6" t="str">
        <f aca="false">IFERROR(IF(A300="","",J300-K300),"")</f>
        <v/>
      </c>
      <c r="M300" s="6" t="str">
        <f aca="false">IFERROR(IF(Productos!A300="","",Productos!G300),"")</f>
        <v/>
      </c>
      <c r="N300" s="6" t="str">
        <f aca="false">IFERROR(IF(A300="","",IF(L300&lt;M300,"BAJO STOCK","OK")),"")</f>
        <v/>
      </c>
    </row>
    <row r="301" customFormat="false" ht="15" hidden="false" customHeight="false" outlineLevel="0" collapsed="false">
      <c r="A301" s="0" t="str">
        <f aca="false">IFERROR(IF(Productos!A301="","",Productos!A301),"")</f>
        <v/>
      </c>
      <c r="B301" s="0" t="str">
        <f aca="false">IFERROR(IF(Productos!A301="","",Productos!B301),"")</f>
        <v/>
      </c>
      <c r="C301" s="0" t="str">
        <f aca="false">IFERROR(IF(Productos!A301="","",Productos!C301),"")</f>
        <v/>
      </c>
      <c r="D301" s="0" t="str">
        <f aca="false">IFERROR(IF(Productos!A301="","",Productos!E301),"")</f>
        <v/>
      </c>
      <c r="E301" s="6" t="str">
        <f aca="false">IFERROR(IF(A301="","",SUMIFS(Movimientos!E:E, Movimientos!D:D, A301, Movimientos!C:C, "Ingreso", Movimientos!G:G, "TIN")+SUMIFS(Movimientos!E:E, Movimientos!D:D, A301, Movimientos!C:C, "Traslado", Movimientos!G:G, "TIN")-SUMIFS(Movimientos!E:E, Movimientos!D:D, A301, Movimientos!C:C, "Traslado", Movimientos!F:F, "TIN")-SUMIFS(Movimientos!E:E, Movimientos!D:D, A301, Movimientos!C:C, "Egreso", Movimientos!F:F, "TIN")+SUMIFS(Movimientos!E:E, Movimientos!D:D, A301, Movimientos!C:C, "Ajuste", Movimientos!F:F, "TIN")),"")</f>
        <v/>
      </c>
      <c r="F301" s="6" t="str">
        <f aca="false">IFERROR(IF(A301="","",SUMIFS(Movimientos!E:E, Movimientos!D:D, A301, Movimientos!C:C, "Ingreso", Movimientos!G:G, "G1000")+SUMIFS(Movimientos!E:E, Movimientos!D:D, A301, Movimientos!C:C, "Traslado", Movimientos!G:G, "G1000")-SUMIFS(Movimientos!E:E, Movimientos!D:D, A301, Movimientos!C:C, "Traslado", Movimientos!F:F, "G1000")-SUMIFS(Movimientos!E:E, Movimientos!D:D, A301, Movimientos!C:C, "Egreso", Movimientos!F:F, "G1000")+SUMIFS(Movimientos!E:E, Movimientos!D:D, A301, Movimientos!C:C, "Ajuste", Movimientos!F:F, "G1000")),"")</f>
        <v/>
      </c>
      <c r="G301" s="6" t="str">
        <f aca="false">IFERROR(IF(A301="","",SUMIFS(Movimientos!E:E, Movimientos!D:D, A301, Movimientos!C:C, "Ingreso", Movimientos!G:G, "G710")+SUMIFS(Movimientos!E:E, Movimientos!D:D, A301, Movimientos!C:C, "Traslado", Movimientos!G:G, "G710")-SUMIFS(Movimientos!E:E, Movimientos!D:D, A301, Movimientos!C:C, "Traslado", Movimientos!F:F, "G710")-SUMIFS(Movimientos!E:E, Movimientos!D:D, A301, Movimientos!C:C, "Egreso", Movimientos!F:F, "G710")+SUMIFS(Movimientos!E:E, Movimientos!D:D, A301, Movimientos!C:C, "Ajuste", Movimientos!F:F, "G710")),"")</f>
        <v/>
      </c>
      <c r="H301" s="6" t="str">
        <f aca="false">IFERROR(IF(A301="","",SUMIFS(Movimientos!E:E, Movimientos!D:D, A301, Movimientos!C:C, "Ingreso", Movimientos!G:G, "G5000")+SUMIFS(Movimientos!E:E, Movimientos!D:D, A301, Movimientos!C:C, "Traslado", Movimientos!G:G, "G5000")-SUMIFS(Movimientos!E:E, Movimientos!D:D, A301, Movimientos!C:C, "Traslado", Movimientos!F:F, "G5000")-SUMIFS(Movimientos!E:E, Movimientos!D:D, A301, Movimientos!C:C, "Egreso", Movimientos!F:F, "G5000")+SUMIFS(Movimientos!E:E, Movimientos!D:D, A301, Movimientos!C:C, "Ajuste", Movimientos!F:F, "G5000")),"")</f>
        <v/>
      </c>
      <c r="I301" s="6" t="str">
        <f aca="false">IFERROR(IF(A301="","",SUMIFS(Movimientos!E:E, Movimientos!D:D, A301, Movimientos!C:C, "Ingreso", Movimientos!G:G, "G3")+SUMIFS(Movimientos!E:E, Movimientos!D:D, A301, Movimientos!C:C, "Traslado", Movimientos!G:G, "G3")-SUMIFS(Movimientos!E:E, Movimientos!D:D, A301, Movimientos!C:C, "Traslado", Movimientos!F:F, "G3")-SUMIFS(Movimientos!E:E, Movimientos!D:D, A301, Movimientos!C:C, "Egreso", Movimientos!F:F, "G3")+SUMIFS(Movimientos!E:E, Movimientos!D:D, A301, Movimientos!C:C, "Ajuste", Movimientos!F:F, "G3")),"")</f>
        <v/>
      </c>
      <c r="J301" s="6" t="str">
        <f aca="false">IFERROR(IF(A301="","",SUM(E301:I301)),"")</f>
        <v/>
      </c>
      <c r="K301" s="6" t="str">
        <f aca="false">IFERROR(IF(A301="","",SUMIFS(Movimientos!E:E, Movimientos!D:D, A301, Movimientos!C:C, "Reserva")-SUMIFS(Movimientos!E:E, Movimientos!D:D, A301, Movimientos!C:C, "Libera_Reserva")),"")</f>
        <v/>
      </c>
      <c r="L301" s="6" t="str">
        <f aca="false">IFERROR(IF(A301="","",J301-K301),"")</f>
        <v/>
      </c>
      <c r="M301" s="6" t="str">
        <f aca="false">IFERROR(IF(Productos!A301="","",Productos!G301),"")</f>
        <v/>
      </c>
      <c r="N301" s="6" t="str">
        <f aca="false">IFERROR(IF(A301="","",IF(L301&lt;M301,"BAJO STOCK","OK")),"")</f>
        <v/>
      </c>
    </row>
    <row r="302" customFormat="false" ht="15" hidden="false" customHeight="false" outlineLevel="0" collapsed="false">
      <c r="A302" s="0" t="str">
        <f aca="false">IFERROR(IF(Productos!A302="","",Productos!A302),"")</f>
        <v/>
      </c>
      <c r="B302" s="0" t="str">
        <f aca="false">IFERROR(IF(Productos!A302="","",Productos!B302),"")</f>
        <v/>
      </c>
      <c r="C302" s="0" t="str">
        <f aca="false">IFERROR(IF(Productos!A302="","",Productos!C302),"")</f>
        <v/>
      </c>
      <c r="D302" s="0" t="str">
        <f aca="false">IFERROR(IF(Productos!A302="","",Productos!E302),"")</f>
        <v/>
      </c>
      <c r="E302" s="6" t="str">
        <f aca="false">IFERROR(IF(A302="","",SUMIFS(Movimientos!E:E, Movimientos!D:D, A302, Movimientos!C:C, "Ingreso", Movimientos!G:G, "TIN")+SUMIFS(Movimientos!E:E, Movimientos!D:D, A302, Movimientos!C:C, "Traslado", Movimientos!G:G, "TIN")-SUMIFS(Movimientos!E:E, Movimientos!D:D, A302, Movimientos!C:C, "Traslado", Movimientos!F:F, "TIN")-SUMIFS(Movimientos!E:E, Movimientos!D:D, A302, Movimientos!C:C, "Egreso", Movimientos!F:F, "TIN")+SUMIFS(Movimientos!E:E, Movimientos!D:D, A302, Movimientos!C:C, "Ajuste", Movimientos!F:F, "TIN")),"")</f>
        <v/>
      </c>
      <c r="F302" s="6" t="str">
        <f aca="false">IFERROR(IF(A302="","",SUMIFS(Movimientos!E:E, Movimientos!D:D, A302, Movimientos!C:C, "Ingreso", Movimientos!G:G, "G1000")+SUMIFS(Movimientos!E:E, Movimientos!D:D, A302, Movimientos!C:C, "Traslado", Movimientos!G:G, "G1000")-SUMIFS(Movimientos!E:E, Movimientos!D:D, A302, Movimientos!C:C, "Traslado", Movimientos!F:F, "G1000")-SUMIFS(Movimientos!E:E, Movimientos!D:D, A302, Movimientos!C:C, "Egreso", Movimientos!F:F, "G1000")+SUMIFS(Movimientos!E:E, Movimientos!D:D, A302, Movimientos!C:C, "Ajuste", Movimientos!F:F, "G1000")),"")</f>
        <v/>
      </c>
      <c r="G302" s="6" t="str">
        <f aca="false">IFERROR(IF(A302="","",SUMIFS(Movimientos!E:E, Movimientos!D:D, A302, Movimientos!C:C, "Ingreso", Movimientos!G:G, "G710")+SUMIFS(Movimientos!E:E, Movimientos!D:D, A302, Movimientos!C:C, "Traslado", Movimientos!G:G, "G710")-SUMIFS(Movimientos!E:E, Movimientos!D:D, A302, Movimientos!C:C, "Traslado", Movimientos!F:F, "G710")-SUMIFS(Movimientos!E:E, Movimientos!D:D, A302, Movimientos!C:C, "Egreso", Movimientos!F:F, "G710")+SUMIFS(Movimientos!E:E, Movimientos!D:D, A302, Movimientos!C:C, "Ajuste", Movimientos!F:F, "G710")),"")</f>
        <v/>
      </c>
      <c r="H302" s="6" t="str">
        <f aca="false">IFERROR(IF(A302="","",SUMIFS(Movimientos!E:E, Movimientos!D:D, A302, Movimientos!C:C, "Ingreso", Movimientos!G:G, "G5000")+SUMIFS(Movimientos!E:E, Movimientos!D:D, A302, Movimientos!C:C, "Traslado", Movimientos!G:G, "G5000")-SUMIFS(Movimientos!E:E, Movimientos!D:D, A302, Movimientos!C:C, "Traslado", Movimientos!F:F, "G5000")-SUMIFS(Movimientos!E:E, Movimientos!D:D, A302, Movimientos!C:C, "Egreso", Movimientos!F:F, "G5000")+SUMIFS(Movimientos!E:E, Movimientos!D:D, A302, Movimientos!C:C, "Ajuste", Movimientos!F:F, "G5000")),"")</f>
        <v/>
      </c>
      <c r="I302" s="6" t="str">
        <f aca="false">IFERROR(IF(A302="","",SUMIFS(Movimientos!E:E, Movimientos!D:D, A302, Movimientos!C:C, "Ingreso", Movimientos!G:G, "G3")+SUMIFS(Movimientos!E:E, Movimientos!D:D, A302, Movimientos!C:C, "Traslado", Movimientos!G:G, "G3")-SUMIFS(Movimientos!E:E, Movimientos!D:D, A302, Movimientos!C:C, "Traslado", Movimientos!F:F, "G3")-SUMIFS(Movimientos!E:E, Movimientos!D:D, A302, Movimientos!C:C, "Egreso", Movimientos!F:F, "G3")+SUMIFS(Movimientos!E:E, Movimientos!D:D, A302, Movimientos!C:C, "Ajuste", Movimientos!F:F, "G3")),"")</f>
        <v/>
      </c>
      <c r="J302" s="6" t="str">
        <f aca="false">IFERROR(IF(A302="","",SUM(E302:I302)),"")</f>
        <v/>
      </c>
      <c r="K302" s="6" t="str">
        <f aca="false">IFERROR(IF(A302="","",SUMIFS(Movimientos!E:E, Movimientos!D:D, A302, Movimientos!C:C, "Reserva")-SUMIFS(Movimientos!E:E, Movimientos!D:D, A302, Movimientos!C:C, "Libera_Reserva")),"")</f>
        <v/>
      </c>
      <c r="L302" s="6" t="str">
        <f aca="false">IFERROR(IF(A302="","",J302-K302),"")</f>
        <v/>
      </c>
      <c r="M302" s="6" t="str">
        <f aca="false">IFERROR(IF(Productos!A302="","",Productos!G302),"")</f>
        <v/>
      </c>
      <c r="N302" s="6" t="str">
        <f aca="false">IFERROR(IF(A302="","",IF(L302&lt;M302,"BAJO STOCK","OK")),"")</f>
        <v/>
      </c>
    </row>
    <row r="303" customFormat="false" ht="15" hidden="false" customHeight="false" outlineLevel="0" collapsed="false">
      <c r="A303" s="0" t="str">
        <f aca="false">IFERROR(IF(Productos!A303="","",Productos!A303),"")</f>
        <v/>
      </c>
      <c r="B303" s="0" t="str">
        <f aca="false">IFERROR(IF(Productos!A303="","",Productos!B303),"")</f>
        <v/>
      </c>
      <c r="C303" s="0" t="str">
        <f aca="false">IFERROR(IF(Productos!A303="","",Productos!C303),"")</f>
        <v/>
      </c>
      <c r="D303" s="0" t="str">
        <f aca="false">IFERROR(IF(Productos!A303="","",Productos!E303),"")</f>
        <v/>
      </c>
      <c r="E303" s="6" t="str">
        <f aca="false">IFERROR(IF(A303="","",SUMIFS(Movimientos!E:E, Movimientos!D:D, A303, Movimientos!C:C, "Ingreso", Movimientos!G:G, "TIN")+SUMIFS(Movimientos!E:E, Movimientos!D:D, A303, Movimientos!C:C, "Traslado", Movimientos!G:G, "TIN")-SUMIFS(Movimientos!E:E, Movimientos!D:D, A303, Movimientos!C:C, "Traslado", Movimientos!F:F, "TIN")-SUMIFS(Movimientos!E:E, Movimientos!D:D, A303, Movimientos!C:C, "Egreso", Movimientos!F:F, "TIN")+SUMIFS(Movimientos!E:E, Movimientos!D:D, A303, Movimientos!C:C, "Ajuste", Movimientos!F:F, "TIN")),"")</f>
        <v/>
      </c>
      <c r="F303" s="6" t="str">
        <f aca="false">IFERROR(IF(A303="","",SUMIFS(Movimientos!E:E, Movimientos!D:D, A303, Movimientos!C:C, "Ingreso", Movimientos!G:G, "G1000")+SUMIFS(Movimientos!E:E, Movimientos!D:D, A303, Movimientos!C:C, "Traslado", Movimientos!G:G, "G1000")-SUMIFS(Movimientos!E:E, Movimientos!D:D, A303, Movimientos!C:C, "Traslado", Movimientos!F:F, "G1000")-SUMIFS(Movimientos!E:E, Movimientos!D:D, A303, Movimientos!C:C, "Egreso", Movimientos!F:F, "G1000")+SUMIFS(Movimientos!E:E, Movimientos!D:D, A303, Movimientos!C:C, "Ajuste", Movimientos!F:F, "G1000")),"")</f>
        <v/>
      </c>
      <c r="G303" s="6" t="str">
        <f aca="false">IFERROR(IF(A303="","",SUMIFS(Movimientos!E:E, Movimientos!D:D, A303, Movimientos!C:C, "Ingreso", Movimientos!G:G, "G710")+SUMIFS(Movimientos!E:E, Movimientos!D:D, A303, Movimientos!C:C, "Traslado", Movimientos!G:G, "G710")-SUMIFS(Movimientos!E:E, Movimientos!D:D, A303, Movimientos!C:C, "Traslado", Movimientos!F:F, "G710")-SUMIFS(Movimientos!E:E, Movimientos!D:D, A303, Movimientos!C:C, "Egreso", Movimientos!F:F, "G710")+SUMIFS(Movimientos!E:E, Movimientos!D:D, A303, Movimientos!C:C, "Ajuste", Movimientos!F:F, "G710")),"")</f>
        <v/>
      </c>
      <c r="H303" s="6" t="str">
        <f aca="false">IFERROR(IF(A303="","",SUMIFS(Movimientos!E:E, Movimientos!D:D, A303, Movimientos!C:C, "Ingreso", Movimientos!G:G, "G5000")+SUMIFS(Movimientos!E:E, Movimientos!D:D, A303, Movimientos!C:C, "Traslado", Movimientos!G:G, "G5000")-SUMIFS(Movimientos!E:E, Movimientos!D:D, A303, Movimientos!C:C, "Traslado", Movimientos!F:F, "G5000")-SUMIFS(Movimientos!E:E, Movimientos!D:D, A303, Movimientos!C:C, "Egreso", Movimientos!F:F, "G5000")+SUMIFS(Movimientos!E:E, Movimientos!D:D, A303, Movimientos!C:C, "Ajuste", Movimientos!F:F, "G5000")),"")</f>
        <v/>
      </c>
      <c r="I303" s="6" t="str">
        <f aca="false">IFERROR(IF(A303="","",SUMIFS(Movimientos!E:E, Movimientos!D:D, A303, Movimientos!C:C, "Ingreso", Movimientos!G:G, "G3")+SUMIFS(Movimientos!E:E, Movimientos!D:D, A303, Movimientos!C:C, "Traslado", Movimientos!G:G, "G3")-SUMIFS(Movimientos!E:E, Movimientos!D:D, A303, Movimientos!C:C, "Traslado", Movimientos!F:F, "G3")-SUMIFS(Movimientos!E:E, Movimientos!D:D, A303, Movimientos!C:C, "Egreso", Movimientos!F:F, "G3")+SUMIFS(Movimientos!E:E, Movimientos!D:D, A303, Movimientos!C:C, "Ajuste", Movimientos!F:F, "G3")),"")</f>
        <v/>
      </c>
      <c r="J303" s="6" t="str">
        <f aca="false">IFERROR(IF(A303="","",SUM(E303:I303)),"")</f>
        <v/>
      </c>
      <c r="K303" s="6" t="str">
        <f aca="false">IFERROR(IF(A303="","",SUMIFS(Movimientos!E:E, Movimientos!D:D, A303, Movimientos!C:C, "Reserva")-SUMIFS(Movimientos!E:E, Movimientos!D:D, A303, Movimientos!C:C, "Libera_Reserva")),"")</f>
        <v/>
      </c>
      <c r="L303" s="6" t="str">
        <f aca="false">IFERROR(IF(A303="","",J303-K303),"")</f>
        <v/>
      </c>
      <c r="M303" s="6" t="str">
        <f aca="false">IFERROR(IF(Productos!A303="","",Productos!G303),"")</f>
        <v/>
      </c>
      <c r="N303" s="6" t="str">
        <f aca="false">IFERROR(IF(A303="","",IF(L303&lt;M303,"BAJO STOCK","OK")),"")</f>
        <v/>
      </c>
    </row>
    <row r="304" customFormat="false" ht="15" hidden="false" customHeight="false" outlineLevel="0" collapsed="false">
      <c r="A304" s="0" t="str">
        <f aca="false">IFERROR(IF(Productos!A304="","",Productos!A304),"")</f>
        <v/>
      </c>
      <c r="B304" s="0" t="str">
        <f aca="false">IFERROR(IF(Productos!A304="","",Productos!B304),"")</f>
        <v/>
      </c>
      <c r="C304" s="0" t="str">
        <f aca="false">IFERROR(IF(Productos!A304="","",Productos!C304),"")</f>
        <v/>
      </c>
      <c r="D304" s="0" t="str">
        <f aca="false">IFERROR(IF(Productos!A304="","",Productos!E304),"")</f>
        <v/>
      </c>
      <c r="E304" s="6" t="str">
        <f aca="false">IFERROR(IF(A304="","",SUMIFS(Movimientos!E:E, Movimientos!D:D, A304, Movimientos!C:C, "Ingreso", Movimientos!G:G, "TIN")+SUMIFS(Movimientos!E:E, Movimientos!D:D, A304, Movimientos!C:C, "Traslado", Movimientos!G:G, "TIN")-SUMIFS(Movimientos!E:E, Movimientos!D:D, A304, Movimientos!C:C, "Traslado", Movimientos!F:F, "TIN")-SUMIFS(Movimientos!E:E, Movimientos!D:D, A304, Movimientos!C:C, "Egreso", Movimientos!F:F, "TIN")+SUMIFS(Movimientos!E:E, Movimientos!D:D, A304, Movimientos!C:C, "Ajuste", Movimientos!F:F, "TIN")),"")</f>
        <v/>
      </c>
      <c r="F304" s="6" t="str">
        <f aca="false">IFERROR(IF(A304="","",SUMIFS(Movimientos!E:E, Movimientos!D:D, A304, Movimientos!C:C, "Ingreso", Movimientos!G:G, "G1000")+SUMIFS(Movimientos!E:E, Movimientos!D:D, A304, Movimientos!C:C, "Traslado", Movimientos!G:G, "G1000")-SUMIFS(Movimientos!E:E, Movimientos!D:D, A304, Movimientos!C:C, "Traslado", Movimientos!F:F, "G1000")-SUMIFS(Movimientos!E:E, Movimientos!D:D, A304, Movimientos!C:C, "Egreso", Movimientos!F:F, "G1000")+SUMIFS(Movimientos!E:E, Movimientos!D:D, A304, Movimientos!C:C, "Ajuste", Movimientos!F:F, "G1000")),"")</f>
        <v/>
      </c>
      <c r="G304" s="6" t="str">
        <f aca="false">IFERROR(IF(A304="","",SUMIFS(Movimientos!E:E, Movimientos!D:D, A304, Movimientos!C:C, "Ingreso", Movimientos!G:G, "G710")+SUMIFS(Movimientos!E:E, Movimientos!D:D, A304, Movimientos!C:C, "Traslado", Movimientos!G:G, "G710")-SUMIFS(Movimientos!E:E, Movimientos!D:D, A304, Movimientos!C:C, "Traslado", Movimientos!F:F, "G710")-SUMIFS(Movimientos!E:E, Movimientos!D:D, A304, Movimientos!C:C, "Egreso", Movimientos!F:F, "G710")+SUMIFS(Movimientos!E:E, Movimientos!D:D, A304, Movimientos!C:C, "Ajuste", Movimientos!F:F, "G710")),"")</f>
        <v/>
      </c>
      <c r="H304" s="6" t="str">
        <f aca="false">IFERROR(IF(A304="","",SUMIFS(Movimientos!E:E, Movimientos!D:D, A304, Movimientos!C:C, "Ingreso", Movimientos!G:G, "G5000")+SUMIFS(Movimientos!E:E, Movimientos!D:D, A304, Movimientos!C:C, "Traslado", Movimientos!G:G, "G5000")-SUMIFS(Movimientos!E:E, Movimientos!D:D, A304, Movimientos!C:C, "Traslado", Movimientos!F:F, "G5000")-SUMIFS(Movimientos!E:E, Movimientos!D:D, A304, Movimientos!C:C, "Egreso", Movimientos!F:F, "G5000")+SUMIFS(Movimientos!E:E, Movimientos!D:D, A304, Movimientos!C:C, "Ajuste", Movimientos!F:F, "G5000")),"")</f>
        <v/>
      </c>
      <c r="I304" s="6" t="str">
        <f aca="false">IFERROR(IF(A304="","",SUMIFS(Movimientos!E:E, Movimientos!D:D, A304, Movimientos!C:C, "Ingreso", Movimientos!G:G, "G3")+SUMIFS(Movimientos!E:E, Movimientos!D:D, A304, Movimientos!C:C, "Traslado", Movimientos!G:G, "G3")-SUMIFS(Movimientos!E:E, Movimientos!D:D, A304, Movimientos!C:C, "Traslado", Movimientos!F:F, "G3")-SUMIFS(Movimientos!E:E, Movimientos!D:D, A304, Movimientos!C:C, "Egreso", Movimientos!F:F, "G3")+SUMIFS(Movimientos!E:E, Movimientos!D:D, A304, Movimientos!C:C, "Ajuste", Movimientos!F:F, "G3")),"")</f>
        <v/>
      </c>
      <c r="J304" s="6" t="str">
        <f aca="false">IFERROR(IF(A304="","",SUM(E304:I304)),"")</f>
        <v/>
      </c>
      <c r="K304" s="6" t="str">
        <f aca="false">IFERROR(IF(A304="","",SUMIFS(Movimientos!E:E, Movimientos!D:D, A304, Movimientos!C:C, "Reserva")-SUMIFS(Movimientos!E:E, Movimientos!D:D, A304, Movimientos!C:C, "Libera_Reserva")),"")</f>
        <v/>
      </c>
      <c r="L304" s="6" t="str">
        <f aca="false">IFERROR(IF(A304="","",J304-K304),"")</f>
        <v/>
      </c>
      <c r="M304" s="6" t="str">
        <f aca="false">IFERROR(IF(Productos!A304="","",Productos!G304),"")</f>
        <v/>
      </c>
      <c r="N304" s="6" t="str">
        <f aca="false">IFERROR(IF(A304="","",IF(L304&lt;M304,"BAJO STOCK","OK")),"")</f>
        <v/>
      </c>
    </row>
    <row r="305" customFormat="false" ht="15" hidden="false" customHeight="false" outlineLevel="0" collapsed="false">
      <c r="A305" s="0" t="str">
        <f aca="false">IFERROR(IF(Productos!A305="","",Productos!A305),"")</f>
        <v/>
      </c>
      <c r="B305" s="0" t="str">
        <f aca="false">IFERROR(IF(Productos!A305="","",Productos!B305),"")</f>
        <v/>
      </c>
      <c r="C305" s="0" t="str">
        <f aca="false">IFERROR(IF(Productos!A305="","",Productos!C305),"")</f>
        <v/>
      </c>
      <c r="D305" s="0" t="str">
        <f aca="false">IFERROR(IF(Productos!A305="","",Productos!E305),"")</f>
        <v/>
      </c>
      <c r="E305" s="6" t="str">
        <f aca="false">IFERROR(IF(A305="","",SUMIFS(Movimientos!E:E, Movimientos!D:D, A305, Movimientos!C:C, "Ingreso", Movimientos!G:G, "TIN")+SUMIFS(Movimientos!E:E, Movimientos!D:D, A305, Movimientos!C:C, "Traslado", Movimientos!G:G, "TIN")-SUMIFS(Movimientos!E:E, Movimientos!D:D, A305, Movimientos!C:C, "Traslado", Movimientos!F:F, "TIN")-SUMIFS(Movimientos!E:E, Movimientos!D:D, A305, Movimientos!C:C, "Egreso", Movimientos!F:F, "TIN")+SUMIFS(Movimientos!E:E, Movimientos!D:D, A305, Movimientos!C:C, "Ajuste", Movimientos!F:F, "TIN")),"")</f>
        <v/>
      </c>
      <c r="F305" s="6" t="str">
        <f aca="false">IFERROR(IF(A305="","",SUMIFS(Movimientos!E:E, Movimientos!D:D, A305, Movimientos!C:C, "Ingreso", Movimientos!G:G, "G1000")+SUMIFS(Movimientos!E:E, Movimientos!D:D, A305, Movimientos!C:C, "Traslado", Movimientos!G:G, "G1000")-SUMIFS(Movimientos!E:E, Movimientos!D:D, A305, Movimientos!C:C, "Traslado", Movimientos!F:F, "G1000")-SUMIFS(Movimientos!E:E, Movimientos!D:D, A305, Movimientos!C:C, "Egreso", Movimientos!F:F, "G1000")+SUMIFS(Movimientos!E:E, Movimientos!D:D, A305, Movimientos!C:C, "Ajuste", Movimientos!F:F, "G1000")),"")</f>
        <v/>
      </c>
      <c r="G305" s="6" t="str">
        <f aca="false">IFERROR(IF(A305="","",SUMIFS(Movimientos!E:E, Movimientos!D:D, A305, Movimientos!C:C, "Ingreso", Movimientos!G:G, "G710")+SUMIFS(Movimientos!E:E, Movimientos!D:D, A305, Movimientos!C:C, "Traslado", Movimientos!G:G, "G710")-SUMIFS(Movimientos!E:E, Movimientos!D:D, A305, Movimientos!C:C, "Traslado", Movimientos!F:F, "G710")-SUMIFS(Movimientos!E:E, Movimientos!D:D, A305, Movimientos!C:C, "Egreso", Movimientos!F:F, "G710")+SUMIFS(Movimientos!E:E, Movimientos!D:D, A305, Movimientos!C:C, "Ajuste", Movimientos!F:F, "G710")),"")</f>
        <v/>
      </c>
      <c r="H305" s="6" t="str">
        <f aca="false">IFERROR(IF(A305="","",SUMIFS(Movimientos!E:E, Movimientos!D:D, A305, Movimientos!C:C, "Ingreso", Movimientos!G:G, "G5000")+SUMIFS(Movimientos!E:E, Movimientos!D:D, A305, Movimientos!C:C, "Traslado", Movimientos!G:G, "G5000")-SUMIFS(Movimientos!E:E, Movimientos!D:D, A305, Movimientos!C:C, "Traslado", Movimientos!F:F, "G5000")-SUMIFS(Movimientos!E:E, Movimientos!D:D, A305, Movimientos!C:C, "Egreso", Movimientos!F:F, "G5000")+SUMIFS(Movimientos!E:E, Movimientos!D:D, A305, Movimientos!C:C, "Ajuste", Movimientos!F:F, "G5000")),"")</f>
        <v/>
      </c>
      <c r="I305" s="6" t="str">
        <f aca="false">IFERROR(IF(A305="","",SUMIFS(Movimientos!E:E, Movimientos!D:D, A305, Movimientos!C:C, "Ingreso", Movimientos!G:G, "G3")+SUMIFS(Movimientos!E:E, Movimientos!D:D, A305, Movimientos!C:C, "Traslado", Movimientos!G:G, "G3")-SUMIFS(Movimientos!E:E, Movimientos!D:D, A305, Movimientos!C:C, "Traslado", Movimientos!F:F, "G3")-SUMIFS(Movimientos!E:E, Movimientos!D:D, A305, Movimientos!C:C, "Egreso", Movimientos!F:F, "G3")+SUMIFS(Movimientos!E:E, Movimientos!D:D, A305, Movimientos!C:C, "Ajuste", Movimientos!F:F, "G3")),"")</f>
        <v/>
      </c>
      <c r="J305" s="6" t="str">
        <f aca="false">IFERROR(IF(A305="","",SUM(E305:I305)),"")</f>
        <v/>
      </c>
      <c r="K305" s="6" t="str">
        <f aca="false">IFERROR(IF(A305="","",SUMIFS(Movimientos!E:E, Movimientos!D:D, A305, Movimientos!C:C, "Reserva")-SUMIFS(Movimientos!E:E, Movimientos!D:D, A305, Movimientos!C:C, "Libera_Reserva")),"")</f>
        <v/>
      </c>
      <c r="L305" s="6" t="str">
        <f aca="false">IFERROR(IF(A305="","",J305-K305),"")</f>
        <v/>
      </c>
      <c r="M305" s="6" t="str">
        <f aca="false">IFERROR(IF(Productos!A305="","",Productos!G305),"")</f>
        <v/>
      </c>
      <c r="N305" s="6" t="str">
        <f aca="false">IFERROR(IF(A305="","",IF(L305&lt;M305,"BAJO STOCK","OK")),"")</f>
        <v/>
      </c>
    </row>
    <row r="306" customFormat="false" ht="15" hidden="false" customHeight="false" outlineLevel="0" collapsed="false">
      <c r="A306" s="0" t="str">
        <f aca="false">IFERROR(IF(Productos!A306="","",Productos!A306),"")</f>
        <v/>
      </c>
      <c r="B306" s="0" t="str">
        <f aca="false">IFERROR(IF(Productos!A306="","",Productos!B306),"")</f>
        <v/>
      </c>
      <c r="C306" s="0" t="str">
        <f aca="false">IFERROR(IF(Productos!A306="","",Productos!C306),"")</f>
        <v/>
      </c>
      <c r="D306" s="0" t="str">
        <f aca="false">IFERROR(IF(Productos!A306="","",Productos!E306),"")</f>
        <v/>
      </c>
      <c r="E306" s="6" t="str">
        <f aca="false">IFERROR(IF(A306="","",SUMIFS(Movimientos!E:E, Movimientos!D:D, A306, Movimientos!C:C, "Ingreso", Movimientos!G:G, "TIN")+SUMIFS(Movimientos!E:E, Movimientos!D:D, A306, Movimientos!C:C, "Traslado", Movimientos!G:G, "TIN")-SUMIFS(Movimientos!E:E, Movimientos!D:D, A306, Movimientos!C:C, "Traslado", Movimientos!F:F, "TIN")-SUMIFS(Movimientos!E:E, Movimientos!D:D, A306, Movimientos!C:C, "Egreso", Movimientos!F:F, "TIN")+SUMIFS(Movimientos!E:E, Movimientos!D:D, A306, Movimientos!C:C, "Ajuste", Movimientos!F:F, "TIN")),"")</f>
        <v/>
      </c>
      <c r="F306" s="6" t="str">
        <f aca="false">IFERROR(IF(A306="","",SUMIFS(Movimientos!E:E, Movimientos!D:D, A306, Movimientos!C:C, "Ingreso", Movimientos!G:G, "G1000")+SUMIFS(Movimientos!E:E, Movimientos!D:D, A306, Movimientos!C:C, "Traslado", Movimientos!G:G, "G1000")-SUMIFS(Movimientos!E:E, Movimientos!D:D, A306, Movimientos!C:C, "Traslado", Movimientos!F:F, "G1000")-SUMIFS(Movimientos!E:E, Movimientos!D:D, A306, Movimientos!C:C, "Egreso", Movimientos!F:F, "G1000")+SUMIFS(Movimientos!E:E, Movimientos!D:D, A306, Movimientos!C:C, "Ajuste", Movimientos!F:F, "G1000")),"")</f>
        <v/>
      </c>
      <c r="G306" s="6" t="str">
        <f aca="false">IFERROR(IF(A306="","",SUMIFS(Movimientos!E:E, Movimientos!D:D, A306, Movimientos!C:C, "Ingreso", Movimientos!G:G, "G710")+SUMIFS(Movimientos!E:E, Movimientos!D:D, A306, Movimientos!C:C, "Traslado", Movimientos!G:G, "G710")-SUMIFS(Movimientos!E:E, Movimientos!D:D, A306, Movimientos!C:C, "Traslado", Movimientos!F:F, "G710")-SUMIFS(Movimientos!E:E, Movimientos!D:D, A306, Movimientos!C:C, "Egreso", Movimientos!F:F, "G710")+SUMIFS(Movimientos!E:E, Movimientos!D:D, A306, Movimientos!C:C, "Ajuste", Movimientos!F:F, "G710")),"")</f>
        <v/>
      </c>
      <c r="H306" s="6" t="str">
        <f aca="false">IFERROR(IF(A306="","",SUMIFS(Movimientos!E:E, Movimientos!D:D, A306, Movimientos!C:C, "Ingreso", Movimientos!G:G, "G5000")+SUMIFS(Movimientos!E:E, Movimientos!D:D, A306, Movimientos!C:C, "Traslado", Movimientos!G:G, "G5000")-SUMIFS(Movimientos!E:E, Movimientos!D:D, A306, Movimientos!C:C, "Traslado", Movimientos!F:F, "G5000")-SUMIFS(Movimientos!E:E, Movimientos!D:D, A306, Movimientos!C:C, "Egreso", Movimientos!F:F, "G5000")+SUMIFS(Movimientos!E:E, Movimientos!D:D, A306, Movimientos!C:C, "Ajuste", Movimientos!F:F, "G5000")),"")</f>
        <v/>
      </c>
      <c r="I306" s="6" t="str">
        <f aca="false">IFERROR(IF(A306="","",SUMIFS(Movimientos!E:E, Movimientos!D:D, A306, Movimientos!C:C, "Ingreso", Movimientos!G:G, "G3")+SUMIFS(Movimientos!E:E, Movimientos!D:D, A306, Movimientos!C:C, "Traslado", Movimientos!G:G, "G3")-SUMIFS(Movimientos!E:E, Movimientos!D:D, A306, Movimientos!C:C, "Traslado", Movimientos!F:F, "G3")-SUMIFS(Movimientos!E:E, Movimientos!D:D, A306, Movimientos!C:C, "Egreso", Movimientos!F:F, "G3")+SUMIFS(Movimientos!E:E, Movimientos!D:D, A306, Movimientos!C:C, "Ajuste", Movimientos!F:F, "G3")),"")</f>
        <v/>
      </c>
      <c r="J306" s="6" t="str">
        <f aca="false">IFERROR(IF(A306="","",SUM(E306:I306)),"")</f>
        <v/>
      </c>
      <c r="K306" s="6" t="str">
        <f aca="false">IFERROR(IF(A306="","",SUMIFS(Movimientos!E:E, Movimientos!D:D, A306, Movimientos!C:C, "Reserva")-SUMIFS(Movimientos!E:E, Movimientos!D:D, A306, Movimientos!C:C, "Libera_Reserva")),"")</f>
        <v/>
      </c>
      <c r="L306" s="6" t="str">
        <f aca="false">IFERROR(IF(A306="","",J306-K306),"")</f>
        <v/>
      </c>
      <c r="M306" s="6" t="str">
        <f aca="false">IFERROR(IF(Productos!A306="","",Productos!G306),"")</f>
        <v/>
      </c>
      <c r="N306" s="6" t="str">
        <f aca="false">IFERROR(IF(A306="","",IF(L306&lt;M306,"BAJO STOCK","OK")),"")</f>
        <v/>
      </c>
    </row>
    <row r="307" customFormat="false" ht="15" hidden="false" customHeight="false" outlineLevel="0" collapsed="false">
      <c r="A307" s="0" t="str">
        <f aca="false">IFERROR(IF(Productos!A307="","",Productos!A307),"")</f>
        <v/>
      </c>
      <c r="B307" s="0" t="str">
        <f aca="false">IFERROR(IF(Productos!A307="","",Productos!B307),"")</f>
        <v/>
      </c>
      <c r="C307" s="0" t="str">
        <f aca="false">IFERROR(IF(Productos!A307="","",Productos!C307),"")</f>
        <v/>
      </c>
      <c r="D307" s="0" t="str">
        <f aca="false">IFERROR(IF(Productos!A307="","",Productos!E307),"")</f>
        <v/>
      </c>
      <c r="E307" s="6" t="str">
        <f aca="false">IFERROR(IF(A307="","",SUMIFS(Movimientos!E:E, Movimientos!D:D, A307, Movimientos!C:C, "Ingreso", Movimientos!G:G, "TIN")+SUMIFS(Movimientos!E:E, Movimientos!D:D, A307, Movimientos!C:C, "Traslado", Movimientos!G:G, "TIN")-SUMIFS(Movimientos!E:E, Movimientos!D:D, A307, Movimientos!C:C, "Traslado", Movimientos!F:F, "TIN")-SUMIFS(Movimientos!E:E, Movimientos!D:D, A307, Movimientos!C:C, "Egreso", Movimientos!F:F, "TIN")+SUMIFS(Movimientos!E:E, Movimientos!D:D, A307, Movimientos!C:C, "Ajuste", Movimientos!F:F, "TIN")),"")</f>
        <v/>
      </c>
      <c r="F307" s="6" t="str">
        <f aca="false">IFERROR(IF(A307="","",SUMIFS(Movimientos!E:E, Movimientos!D:D, A307, Movimientos!C:C, "Ingreso", Movimientos!G:G, "G1000")+SUMIFS(Movimientos!E:E, Movimientos!D:D, A307, Movimientos!C:C, "Traslado", Movimientos!G:G, "G1000")-SUMIFS(Movimientos!E:E, Movimientos!D:D, A307, Movimientos!C:C, "Traslado", Movimientos!F:F, "G1000")-SUMIFS(Movimientos!E:E, Movimientos!D:D, A307, Movimientos!C:C, "Egreso", Movimientos!F:F, "G1000")+SUMIFS(Movimientos!E:E, Movimientos!D:D, A307, Movimientos!C:C, "Ajuste", Movimientos!F:F, "G1000")),"")</f>
        <v/>
      </c>
      <c r="G307" s="6" t="str">
        <f aca="false">IFERROR(IF(A307="","",SUMIFS(Movimientos!E:E, Movimientos!D:D, A307, Movimientos!C:C, "Ingreso", Movimientos!G:G, "G710")+SUMIFS(Movimientos!E:E, Movimientos!D:D, A307, Movimientos!C:C, "Traslado", Movimientos!G:G, "G710")-SUMIFS(Movimientos!E:E, Movimientos!D:D, A307, Movimientos!C:C, "Traslado", Movimientos!F:F, "G710")-SUMIFS(Movimientos!E:E, Movimientos!D:D, A307, Movimientos!C:C, "Egreso", Movimientos!F:F, "G710")+SUMIFS(Movimientos!E:E, Movimientos!D:D, A307, Movimientos!C:C, "Ajuste", Movimientos!F:F, "G710")),"")</f>
        <v/>
      </c>
      <c r="H307" s="6" t="str">
        <f aca="false">IFERROR(IF(A307="","",SUMIFS(Movimientos!E:E, Movimientos!D:D, A307, Movimientos!C:C, "Ingreso", Movimientos!G:G, "G5000")+SUMIFS(Movimientos!E:E, Movimientos!D:D, A307, Movimientos!C:C, "Traslado", Movimientos!G:G, "G5000")-SUMIFS(Movimientos!E:E, Movimientos!D:D, A307, Movimientos!C:C, "Traslado", Movimientos!F:F, "G5000")-SUMIFS(Movimientos!E:E, Movimientos!D:D, A307, Movimientos!C:C, "Egreso", Movimientos!F:F, "G5000")+SUMIFS(Movimientos!E:E, Movimientos!D:D, A307, Movimientos!C:C, "Ajuste", Movimientos!F:F, "G5000")),"")</f>
        <v/>
      </c>
      <c r="I307" s="6" t="str">
        <f aca="false">IFERROR(IF(A307="","",SUMIFS(Movimientos!E:E, Movimientos!D:D, A307, Movimientos!C:C, "Ingreso", Movimientos!G:G, "G3")+SUMIFS(Movimientos!E:E, Movimientos!D:D, A307, Movimientos!C:C, "Traslado", Movimientos!G:G, "G3")-SUMIFS(Movimientos!E:E, Movimientos!D:D, A307, Movimientos!C:C, "Traslado", Movimientos!F:F, "G3")-SUMIFS(Movimientos!E:E, Movimientos!D:D, A307, Movimientos!C:C, "Egreso", Movimientos!F:F, "G3")+SUMIFS(Movimientos!E:E, Movimientos!D:D, A307, Movimientos!C:C, "Ajuste", Movimientos!F:F, "G3")),"")</f>
        <v/>
      </c>
      <c r="J307" s="6" t="str">
        <f aca="false">IFERROR(IF(A307="","",SUM(E307:I307)),"")</f>
        <v/>
      </c>
      <c r="K307" s="6" t="str">
        <f aca="false">IFERROR(IF(A307="","",SUMIFS(Movimientos!E:E, Movimientos!D:D, A307, Movimientos!C:C, "Reserva")-SUMIFS(Movimientos!E:E, Movimientos!D:D, A307, Movimientos!C:C, "Libera_Reserva")),"")</f>
        <v/>
      </c>
      <c r="L307" s="6" t="str">
        <f aca="false">IFERROR(IF(A307="","",J307-K307),"")</f>
        <v/>
      </c>
      <c r="M307" s="6" t="str">
        <f aca="false">IFERROR(IF(Productos!A307="","",Productos!G307),"")</f>
        <v/>
      </c>
      <c r="N307" s="6" t="str">
        <f aca="false">IFERROR(IF(A307="","",IF(L307&lt;M307,"BAJO STOCK","OK")),"")</f>
        <v/>
      </c>
    </row>
    <row r="308" customFormat="false" ht="15" hidden="false" customHeight="false" outlineLevel="0" collapsed="false">
      <c r="A308" s="0" t="str">
        <f aca="false">IFERROR(IF(Productos!A308="","",Productos!A308),"")</f>
        <v/>
      </c>
      <c r="B308" s="0" t="str">
        <f aca="false">IFERROR(IF(Productos!A308="","",Productos!B308),"")</f>
        <v/>
      </c>
      <c r="C308" s="0" t="str">
        <f aca="false">IFERROR(IF(Productos!A308="","",Productos!C308),"")</f>
        <v/>
      </c>
      <c r="D308" s="0" t="str">
        <f aca="false">IFERROR(IF(Productos!A308="","",Productos!E308),"")</f>
        <v/>
      </c>
      <c r="E308" s="6" t="str">
        <f aca="false">IFERROR(IF(A308="","",SUMIFS(Movimientos!E:E, Movimientos!D:D, A308, Movimientos!C:C, "Ingreso", Movimientos!G:G, "TIN")+SUMIFS(Movimientos!E:E, Movimientos!D:D, A308, Movimientos!C:C, "Traslado", Movimientos!G:G, "TIN")-SUMIFS(Movimientos!E:E, Movimientos!D:D, A308, Movimientos!C:C, "Traslado", Movimientos!F:F, "TIN")-SUMIFS(Movimientos!E:E, Movimientos!D:D, A308, Movimientos!C:C, "Egreso", Movimientos!F:F, "TIN")+SUMIFS(Movimientos!E:E, Movimientos!D:D, A308, Movimientos!C:C, "Ajuste", Movimientos!F:F, "TIN")),"")</f>
        <v/>
      </c>
      <c r="F308" s="6" t="str">
        <f aca="false">IFERROR(IF(A308="","",SUMIFS(Movimientos!E:E, Movimientos!D:D, A308, Movimientos!C:C, "Ingreso", Movimientos!G:G, "G1000")+SUMIFS(Movimientos!E:E, Movimientos!D:D, A308, Movimientos!C:C, "Traslado", Movimientos!G:G, "G1000")-SUMIFS(Movimientos!E:E, Movimientos!D:D, A308, Movimientos!C:C, "Traslado", Movimientos!F:F, "G1000")-SUMIFS(Movimientos!E:E, Movimientos!D:D, A308, Movimientos!C:C, "Egreso", Movimientos!F:F, "G1000")+SUMIFS(Movimientos!E:E, Movimientos!D:D, A308, Movimientos!C:C, "Ajuste", Movimientos!F:F, "G1000")),"")</f>
        <v/>
      </c>
      <c r="G308" s="6" t="str">
        <f aca="false">IFERROR(IF(A308="","",SUMIFS(Movimientos!E:E, Movimientos!D:D, A308, Movimientos!C:C, "Ingreso", Movimientos!G:G, "G710")+SUMIFS(Movimientos!E:E, Movimientos!D:D, A308, Movimientos!C:C, "Traslado", Movimientos!G:G, "G710")-SUMIFS(Movimientos!E:E, Movimientos!D:D, A308, Movimientos!C:C, "Traslado", Movimientos!F:F, "G710")-SUMIFS(Movimientos!E:E, Movimientos!D:D, A308, Movimientos!C:C, "Egreso", Movimientos!F:F, "G710")+SUMIFS(Movimientos!E:E, Movimientos!D:D, A308, Movimientos!C:C, "Ajuste", Movimientos!F:F, "G710")),"")</f>
        <v/>
      </c>
      <c r="H308" s="6" t="str">
        <f aca="false">IFERROR(IF(A308="","",SUMIFS(Movimientos!E:E, Movimientos!D:D, A308, Movimientos!C:C, "Ingreso", Movimientos!G:G, "G5000")+SUMIFS(Movimientos!E:E, Movimientos!D:D, A308, Movimientos!C:C, "Traslado", Movimientos!G:G, "G5000")-SUMIFS(Movimientos!E:E, Movimientos!D:D, A308, Movimientos!C:C, "Traslado", Movimientos!F:F, "G5000")-SUMIFS(Movimientos!E:E, Movimientos!D:D, A308, Movimientos!C:C, "Egreso", Movimientos!F:F, "G5000")+SUMIFS(Movimientos!E:E, Movimientos!D:D, A308, Movimientos!C:C, "Ajuste", Movimientos!F:F, "G5000")),"")</f>
        <v/>
      </c>
      <c r="I308" s="6" t="str">
        <f aca="false">IFERROR(IF(A308="","",SUMIFS(Movimientos!E:E, Movimientos!D:D, A308, Movimientos!C:C, "Ingreso", Movimientos!G:G, "G3")+SUMIFS(Movimientos!E:E, Movimientos!D:D, A308, Movimientos!C:C, "Traslado", Movimientos!G:G, "G3")-SUMIFS(Movimientos!E:E, Movimientos!D:D, A308, Movimientos!C:C, "Traslado", Movimientos!F:F, "G3")-SUMIFS(Movimientos!E:E, Movimientos!D:D, A308, Movimientos!C:C, "Egreso", Movimientos!F:F, "G3")+SUMIFS(Movimientos!E:E, Movimientos!D:D, A308, Movimientos!C:C, "Ajuste", Movimientos!F:F, "G3")),"")</f>
        <v/>
      </c>
      <c r="J308" s="6" t="str">
        <f aca="false">IFERROR(IF(A308="","",SUM(E308:I308)),"")</f>
        <v/>
      </c>
      <c r="K308" s="6" t="str">
        <f aca="false">IFERROR(IF(A308="","",SUMIFS(Movimientos!E:E, Movimientos!D:D, A308, Movimientos!C:C, "Reserva")-SUMIFS(Movimientos!E:E, Movimientos!D:D, A308, Movimientos!C:C, "Libera_Reserva")),"")</f>
        <v/>
      </c>
      <c r="L308" s="6" t="str">
        <f aca="false">IFERROR(IF(A308="","",J308-K308),"")</f>
        <v/>
      </c>
      <c r="M308" s="6" t="str">
        <f aca="false">IFERROR(IF(Productos!A308="","",Productos!G308),"")</f>
        <v/>
      </c>
      <c r="N308" s="6" t="str">
        <f aca="false">IFERROR(IF(A308="","",IF(L308&lt;M308,"BAJO STOCK","OK")),"")</f>
        <v/>
      </c>
    </row>
    <row r="309" customFormat="false" ht="15" hidden="false" customHeight="false" outlineLevel="0" collapsed="false">
      <c r="A309" s="0" t="str">
        <f aca="false">IFERROR(IF(Productos!A309="","",Productos!A309),"")</f>
        <v/>
      </c>
      <c r="B309" s="0" t="str">
        <f aca="false">IFERROR(IF(Productos!A309="","",Productos!B309),"")</f>
        <v/>
      </c>
      <c r="C309" s="0" t="str">
        <f aca="false">IFERROR(IF(Productos!A309="","",Productos!C309),"")</f>
        <v/>
      </c>
      <c r="D309" s="0" t="str">
        <f aca="false">IFERROR(IF(Productos!A309="","",Productos!E309),"")</f>
        <v/>
      </c>
      <c r="E309" s="6" t="str">
        <f aca="false">IFERROR(IF(A309="","",SUMIFS(Movimientos!E:E, Movimientos!D:D, A309, Movimientos!C:C, "Ingreso", Movimientos!G:G, "TIN")+SUMIFS(Movimientos!E:E, Movimientos!D:D, A309, Movimientos!C:C, "Traslado", Movimientos!G:G, "TIN")-SUMIFS(Movimientos!E:E, Movimientos!D:D, A309, Movimientos!C:C, "Traslado", Movimientos!F:F, "TIN")-SUMIFS(Movimientos!E:E, Movimientos!D:D, A309, Movimientos!C:C, "Egreso", Movimientos!F:F, "TIN")+SUMIFS(Movimientos!E:E, Movimientos!D:D, A309, Movimientos!C:C, "Ajuste", Movimientos!F:F, "TIN")),"")</f>
        <v/>
      </c>
      <c r="F309" s="6" t="str">
        <f aca="false">IFERROR(IF(A309="","",SUMIFS(Movimientos!E:E, Movimientos!D:D, A309, Movimientos!C:C, "Ingreso", Movimientos!G:G, "G1000")+SUMIFS(Movimientos!E:E, Movimientos!D:D, A309, Movimientos!C:C, "Traslado", Movimientos!G:G, "G1000")-SUMIFS(Movimientos!E:E, Movimientos!D:D, A309, Movimientos!C:C, "Traslado", Movimientos!F:F, "G1000")-SUMIFS(Movimientos!E:E, Movimientos!D:D, A309, Movimientos!C:C, "Egreso", Movimientos!F:F, "G1000")+SUMIFS(Movimientos!E:E, Movimientos!D:D, A309, Movimientos!C:C, "Ajuste", Movimientos!F:F, "G1000")),"")</f>
        <v/>
      </c>
      <c r="G309" s="6" t="str">
        <f aca="false">IFERROR(IF(A309="","",SUMIFS(Movimientos!E:E, Movimientos!D:D, A309, Movimientos!C:C, "Ingreso", Movimientos!G:G, "G710")+SUMIFS(Movimientos!E:E, Movimientos!D:D, A309, Movimientos!C:C, "Traslado", Movimientos!G:G, "G710")-SUMIFS(Movimientos!E:E, Movimientos!D:D, A309, Movimientos!C:C, "Traslado", Movimientos!F:F, "G710")-SUMIFS(Movimientos!E:E, Movimientos!D:D, A309, Movimientos!C:C, "Egreso", Movimientos!F:F, "G710")+SUMIFS(Movimientos!E:E, Movimientos!D:D, A309, Movimientos!C:C, "Ajuste", Movimientos!F:F, "G710")),"")</f>
        <v/>
      </c>
      <c r="H309" s="6" t="str">
        <f aca="false">IFERROR(IF(A309="","",SUMIFS(Movimientos!E:E, Movimientos!D:D, A309, Movimientos!C:C, "Ingreso", Movimientos!G:G, "G5000")+SUMIFS(Movimientos!E:E, Movimientos!D:D, A309, Movimientos!C:C, "Traslado", Movimientos!G:G, "G5000")-SUMIFS(Movimientos!E:E, Movimientos!D:D, A309, Movimientos!C:C, "Traslado", Movimientos!F:F, "G5000")-SUMIFS(Movimientos!E:E, Movimientos!D:D, A309, Movimientos!C:C, "Egreso", Movimientos!F:F, "G5000")+SUMIFS(Movimientos!E:E, Movimientos!D:D, A309, Movimientos!C:C, "Ajuste", Movimientos!F:F, "G5000")),"")</f>
        <v/>
      </c>
      <c r="I309" s="6" t="str">
        <f aca="false">IFERROR(IF(A309="","",SUMIFS(Movimientos!E:E, Movimientos!D:D, A309, Movimientos!C:C, "Ingreso", Movimientos!G:G, "G3")+SUMIFS(Movimientos!E:E, Movimientos!D:D, A309, Movimientos!C:C, "Traslado", Movimientos!G:G, "G3")-SUMIFS(Movimientos!E:E, Movimientos!D:D, A309, Movimientos!C:C, "Traslado", Movimientos!F:F, "G3")-SUMIFS(Movimientos!E:E, Movimientos!D:D, A309, Movimientos!C:C, "Egreso", Movimientos!F:F, "G3")+SUMIFS(Movimientos!E:E, Movimientos!D:D, A309, Movimientos!C:C, "Ajuste", Movimientos!F:F, "G3")),"")</f>
        <v/>
      </c>
      <c r="J309" s="6" t="str">
        <f aca="false">IFERROR(IF(A309="","",SUM(E309:I309)),"")</f>
        <v/>
      </c>
      <c r="K309" s="6" t="str">
        <f aca="false">IFERROR(IF(A309="","",SUMIFS(Movimientos!E:E, Movimientos!D:D, A309, Movimientos!C:C, "Reserva")-SUMIFS(Movimientos!E:E, Movimientos!D:D, A309, Movimientos!C:C, "Libera_Reserva")),"")</f>
        <v/>
      </c>
      <c r="L309" s="6" t="str">
        <f aca="false">IFERROR(IF(A309="","",J309-K309),"")</f>
        <v/>
      </c>
      <c r="M309" s="6" t="str">
        <f aca="false">IFERROR(IF(Productos!A309="","",Productos!G309),"")</f>
        <v/>
      </c>
      <c r="N309" s="6" t="str">
        <f aca="false">IFERROR(IF(A309="","",IF(L309&lt;M309,"BAJO STOCK","OK")),"")</f>
        <v/>
      </c>
    </row>
    <row r="310" customFormat="false" ht="15" hidden="false" customHeight="false" outlineLevel="0" collapsed="false">
      <c r="A310" s="0" t="str">
        <f aca="false">IFERROR(IF(Productos!A310="","",Productos!A310),"")</f>
        <v/>
      </c>
      <c r="B310" s="0" t="str">
        <f aca="false">IFERROR(IF(Productos!A310="","",Productos!B310),"")</f>
        <v/>
      </c>
      <c r="C310" s="0" t="str">
        <f aca="false">IFERROR(IF(Productos!A310="","",Productos!C310),"")</f>
        <v/>
      </c>
      <c r="D310" s="0" t="str">
        <f aca="false">IFERROR(IF(Productos!A310="","",Productos!E310),"")</f>
        <v/>
      </c>
      <c r="E310" s="6" t="str">
        <f aca="false">IFERROR(IF(A310="","",SUMIFS(Movimientos!E:E, Movimientos!D:D, A310, Movimientos!C:C, "Ingreso", Movimientos!G:G, "TIN")+SUMIFS(Movimientos!E:E, Movimientos!D:D, A310, Movimientos!C:C, "Traslado", Movimientos!G:G, "TIN")-SUMIFS(Movimientos!E:E, Movimientos!D:D, A310, Movimientos!C:C, "Traslado", Movimientos!F:F, "TIN")-SUMIFS(Movimientos!E:E, Movimientos!D:D, A310, Movimientos!C:C, "Egreso", Movimientos!F:F, "TIN")+SUMIFS(Movimientos!E:E, Movimientos!D:D, A310, Movimientos!C:C, "Ajuste", Movimientos!F:F, "TIN")),"")</f>
        <v/>
      </c>
      <c r="F310" s="6" t="str">
        <f aca="false">IFERROR(IF(A310="","",SUMIFS(Movimientos!E:E, Movimientos!D:D, A310, Movimientos!C:C, "Ingreso", Movimientos!G:G, "G1000")+SUMIFS(Movimientos!E:E, Movimientos!D:D, A310, Movimientos!C:C, "Traslado", Movimientos!G:G, "G1000")-SUMIFS(Movimientos!E:E, Movimientos!D:D, A310, Movimientos!C:C, "Traslado", Movimientos!F:F, "G1000")-SUMIFS(Movimientos!E:E, Movimientos!D:D, A310, Movimientos!C:C, "Egreso", Movimientos!F:F, "G1000")+SUMIFS(Movimientos!E:E, Movimientos!D:D, A310, Movimientos!C:C, "Ajuste", Movimientos!F:F, "G1000")),"")</f>
        <v/>
      </c>
      <c r="G310" s="6" t="str">
        <f aca="false">IFERROR(IF(A310="","",SUMIFS(Movimientos!E:E, Movimientos!D:D, A310, Movimientos!C:C, "Ingreso", Movimientos!G:G, "G710")+SUMIFS(Movimientos!E:E, Movimientos!D:D, A310, Movimientos!C:C, "Traslado", Movimientos!G:G, "G710")-SUMIFS(Movimientos!E:E, Movimientos!D:D, A310, Movimientos!C:C, "Traslado", Movimientos!F:F, "G710")-SUMIFS(Movimientos!E:E, Movimientos!D:D, A310, Movimientos!C:C, "Egreso", Movimientos!F:F, "G710")+SUMIFS(Movimientos!E:E, Movimientos!D:D, A310, Movimientos!C:C, "Ajuste", Movimientos!F:F, "G710")),"")</f>
        <v/>
      </c>
      <c r="H310" s="6" t="str">
        <f aca="false">IFERROR(IF(A310="","",SUMIFS(Movimientos!E:E, Movimientos!D:D, A310, Movimientos!C:C, "Ingreso", Movimientos!G:G, "G5000")+SUMIFS(Movimientos!E:E, Movimientos!D:D, A310, Movimientos!C:C, "Traslado", Movimientos!G:G, "G5000")-SUMIFS(Movimientos!E:E, Movimientos!D:D, A310, Movimientos!C:C, "Traslado", Movimientos!F:F, "G5000")-SUMIFS(Movimientos!E:E, Movimientos!D:D, A310, Movimientos!C:C, "Egreso", Movimientos!F:F, "G5000")+SUMIFS(Movimientos!E:E, Movimientos!D:D, A310, Movimientos!C:C, "Ajuste", Movimientos!F:F, "G5000")),"")</f>
        <v/>
      </c>
      <c r="I310" s="6" t="str">
        <f aca="false">IFERROR(IF(A310="","",SUMIFS(Movimientos!E:E, Movimientos!D:D, A310, Movimientos!C:C, "Ingreso", Movimientos!G:G, "G3")+SUMIFS(Movimientos!E:E, Movimientos!D:D, A310, Movimientos!C:C, "Traslado", Movimientos!G:G, "G3")-SUMIFS(Movimientos!E:E, Movimientos!D:D, A310, Movimientos!C:C, "Traslado", Movimientos!F:F, "G3")-SUMIFS(Movimientos!E:E, Movimientos!D:D, A310, Movimientos!C:C, "Egreso", Movimientos!F:F, "G3")+SUMIFS(Movimientos!E:E, Movimientos!D:D, A310, Movimientos!C:C, "Ajuste", Movimientos!F:F, "G3")),"")</f>
        <v/>
      </c>
      <c r="J310" s="6" t="str">
        <f aca="false">IFERROR(IF(A310="","",SUM(E310:I310)),"")</f>
        <v/>
      </c>
      <c r="K310" s="6" t="str">
        <f aca="false">IFERROR(IF(A310="","",SUMIFS(Movimientos!E:E, Movimientos!D:D, A310, Movimientos!C:C, "Reserva")-SUMIFS(Movimientos!E:E, Movimientos!D:D, A310, Movimientos!C:C, "Libera_Reserva")),"")</f>
        <v/>
      </c>
      <c r="L310" s="6" t="str">
        <f aca="false">IFERROR(IF(A310="","",J310-K310),"")</f>
        <v/>
      </c>
      <c r="M310" s="6" t="str">
        <f aca="false">IFERROR(IF(Productos!A310="","",Productos!G310),"")</f>
        <v/>
      </c>
      <c r="N310" s="6" t="str">
        <f aca="false">IFERROR(IF(A310="","",IF(L310&lt;M310,"BAJO STOCK","OK")),"")</f>
        <v/>
      </c>
    </row>
    <row r="311" customFormat="false" ht="15" hidden="false" customHeight="false" outlineLevel="0" collapsed="false">
      <c r="A311" s="0" t="str">
        <f aca="false">IFERROR(IF(Productos!A311="","",Productos!A311),"")</f>
        <v/>
      </c>
      <c r="B311" s="0" t="str">
        <f aca="false">IFERROR(IF(Productos!A311="","",Productos!B311),"")</f>
        <v/>
      </c>
      <c r="C311" s="0" t="str">
        <f aca="false">IFERROR(IF(Productos!A311="","",Productos!C311),"")</f>
        <v/>
      </c>
      <c r="D311" s="0" t="str">
        <f aca="false">IFERROR(IF(Productos!A311="","",Productos!E311),"")</f>
        <v/>
      </c>
      <c r="E311" s="6" t="str">
        <f aca="false">IFERROR(IF(A311="","",SUMIFS(Movimientos!E:E, Movimientos!D:D, A311, Movimientos!C:C, "Ingreso", Movimientos!G:G, "TIN")+SUMIFS(Movimientos!E:E, Movimientos!D:D, A311, Movimientos!C:C, "Traslado", Movimientos!G:G, "TIN")-SUMIFS(Movimientos!E:E, Movimientos!D:D, A311, Movimientos!C:C, "Traslado", Movimientos!F:F, "TIN")-SUMIFS(Movimientos!E:E, Movimientos!D:D, A311, Movimientos!C:C, "Egreso", Movimientos!F:F, "TIN")+SUMIFS(Movimientos!E:E, Movimientos!D:D, A311, Movimientos!C:C, "Ajuste", Movimientos!F:F, "TIN")),"")</f>
        <v/>
      </c>
      <c r="F311" s="6" t="str">
        <f aca="false">IFERROR(IF(A311="","",SUMIFS(Movimientos!E:E, Movimientos!D:D, A311, Movimientos!C:C, "Ingreso", Movimientos!G:G, "G1000")+SUMIFS(Movimientos!E:E, Movimientos!D:D, A311, Movimientos!C:C, "Traslado", Movimientos!G:G, "G1000")-SUMIFS(Movimientos!E:E, Movimientos!D:D, A311, Movimientos!C:C, "Traslado", Movimientos!F:F, "G1000")-SUMIFS(Movimientos!E:E, Movimientos!D:D, A311, Movimientos!C:C, "Egreso", Movimientos!F:F, "G1000")+SUMIFS(Movimientos!E:E, Movimientos!D:D, A311, Movimientos!C:C, "Ajuste", Movimientos!F:F, "G1000")),"")</f>
        <v/>
      </c>
      <c r="G311" s="6" t="str">
        <f aca="false">IFERROR(IF(A311="","",SUMIFS(Movimientos!E:E, Movimientos!D:D, A311, Movimientos!C:C, "Ingreso", Movimientos!G:G, "G710")+SUMIFS(Movimientos!E:E, Movimientos!D:D, A311, Movimientos!C:C, "Traslado", Movimientos!G:G, "G710")-SUMIFS(Movimientos!E:E, Movimientos!D:D, A311, Movimientos!C:C, "Traslado", Movimientos!F:F, "G710")-SUMIFS(Movimientos!E:E, Movimientos!D:D, A311, Movimientos!C:C, "Egreso", Movimientos!F:F, "G710")+SUMIFS(Movimientos!E:E, Movimientos!D:D, A311, Movimientos!C:C, "Ajuste", Movimientos!F:F, "G710")),"")</f>
        <v/>
      </c>
      <c r="H311" s="6" t="str">
        <f aca="false">IFERROR(IF(A311="","",SUMIFS(Movimientos!E:E, Movimientos!D:D, A311, Movimientos!C:C, "Ingreso", Movimientos!G:G, "G5000")+SUMIFS(Movimientos!E:E, Movimientos!D:D, A311, Movimientos!C:C, "Traslado", Movimientos!G:G, "G5000")-SUMIFS(Movimientos!E:E, Movimientos!D:D, A311, Movimientos!C:C, "Traslado", Movimientos!F:F, "G5000")-SUMIFS(Movimientos!E:E, Movimientos!D:D, A311, Movimientos!C:C, "Egreso", Movimientos!F:F, "G5000")+SUMIFS(Movimientos!E:E, Movimientos!D:D, A311, Movimientos!C:C, "Ajuste", Movimientos!F:F, "G5000")),"")</f>
        <v/>
      </c>
      <c r="I311" s="6" t="str">
        <f aca="false">IFERROR(IF(A311="","",SUMIFS(Movimientos!E:E, Movimientos!D:D, A311, Movimientos!C:C, "Ingreso", Movimientos!G:G, "G3")+SUMIFS(Movimientos!E:E, Movimientos!D:D, A311, Movimientos!C:C, "Traslado", Movimientos!G:G, "G3")-SUMIFS(Movimientos!E:E, Movimientos!D:D, A311, Movimientos!C:C, "Traslado", Movimientos!F:F, "G3")-SUMIFS(Movimientos!E:E, Movimientos!D:D, A311, Movimientos!C:C, "Egreso", Movimientos!F:F, "G3")+SUMIFS(Movimientos!E:E, Movimientos!D:D, A311, Movimientos!C:C, "Ajuste", Movimientos!F:F, "G3")),"")</f>
        <v/>
      </c>
      <c r="J311" s="6" t="str">
        <f aca="false">IFERROR(IF(A311="","",SUM(E311:I311)),"")</f>
        <v/>
      </c>
      <c r="K311" s="6" t="str">
        <f aca="false">IFERROR(IF(A311="","",SUMIFS(Movimientos!E:E, Movimientos!D:D, A311, Movimientos!C:C, "Reserva")-SUMIFS(Movimientos!E:E, Movimientos!D:D, A311, Movimientos!C:C, "Libera_Reserva")),"")</f>
        <v/>
      </c>
      <c r="L311" s="6" t="str">
        <f aca="false">IFERROR(IF(A311="","",J311-K311),"")</f>
        <v/>
      </c>
      <c r="M311" s="6" t="str">
        <f aca="false">IFERROR(IF(Productos!A311="","",Productos!G311),"")</f>
        <v/>
      </c>
      <c r="N311" s="6" t="str">
        <f aca="false">IFERROR(IF(A311="","",IF(L311&lt;M311,"BAJO STOCK","OK")),"")</f>
        <v/>
      </c>
    </row>
    <row r="312" customFormat="false" ht="15" hidden="false" customHeight="false" outlineLevel="0" collapsed="false">
      <c r="A312" s="0" t="str">
        <f aca="false">IFERROR(IF(Productos!A312="","",Productos!A312),"")</f>
        <v/>
      </c>
      <c r="B312" s="0" t="str">
        <f aca="false">IFERROR(IF(Productos!A312="","",Productos!B312),"")</f>
        <v/>
      </c>
      <c r="C312" s="0" t="str">
        <f aca="false">IFERROR(IF(Productos!A312="","",Productos!C312),"")</f>
        <v/>
      </c>
      <c r="D312" s="0" t="str">
        <f aca="false">IFERROR(IF(Productos!A312="","",Productos!E312),"")</f>
        <v/>
      </c>
      <c r="E312" s="6" t="str">
        <f aca="false">IFERROR(IF(A312="","",SUMIFS(Movimientos!E:E, Movimientos!D:D, A312, Movimientos!C:C, "Ingreso", Movimientos!G:G, "TIN")+SUMIFS(Movimientos!E:E, Movimientos!D:D, A312, Movimientos!C:C, "Traslado", Movimientos!G:G, "TIN")-SUMIFS(Movimientos!E:E, Movimientos!D:D, A312, Movimientos!C:C, "Traslado", Movimientos!F:F, "TIN")-SUMIFS(Movimientos!E:E, Movimientos!D:D, A312, Movimientos!C:C, "Egreso", Movimientos!F:F, "TIN")+SUMIFS(Movimientos!E:E, Movimientos!D:D, A312, Movimientos!C:C, "Ajuste", Movimientos!F:F, "TIN")),"")</f>
        <v/>
      </c>
      <c r="F312" s="6" t="str">
        <f aca="false">IFERROR(IF(A312="","",SUMIFS(Movimientos!E:E, Movimientos!D:D, A312, Movimientos!C:C, "Ingreso", Movimientos!G:G, "G1000")+SUMIFS(Movimientos!E:E, Movimientos!D:D, A312, Movimientos!C:C, "Traslado", Movimientos!G:G, "G1000")-SUMIFS(Movimientos!E:E, Movimientos!D:D, A312, Movimientos!C:C, "Traslado", Movimientos!F:F, "G1000")-SUMIFS(Movimientos!E:E, Movimientos!D:D, A312, Movimientos!C:C, "Egreso", Movimientos!F:F, "G1000")+SUMIFS(Movimientos!E:E, Movimientos!D:D, A312, Movimientos!C:C, "Ajuste", Movimientos!F:F, "G1000")),"")</f>
        <v/>
      </c>
      <c r="G312" s="6" t="str">
        <f aca="false">IFERROR(IF(A312="","",SUMIFS(Movimientos!E:E, Movimientos!D:D, A312, Movimientos!C:C, "Ingreso", Movimientos!G:G, "G710")+SUMIFS(Movimientos!E:E, Movimientos!D:D, A312, Movimientos!C:C, "Traslado", Movimientos!G:G, "G710")-SUMIFS(Movimientos!E:E, Movimientos!D:D, A312, Movimientos!C:C, "Traslado", Movimientos!F:F, "G710")-SUMIFS(Movimientos!E:E, Movimientos!D:D, A312, Movimientos!C:C, "Egreso", Movimientos!F:F, "G710")+SUMIFS(Movimientos!E:E, Movimientos!D:D, A312, Movimientos!C:C, "Ajuste", Movimientos!F:F, "G710")),"")</f>
        <v/>
      </c>
      <c r="H312" s="6" t="str">
        <f aca="false">IFERROR(IF(A312="","",SUMIFS(Movimientos!E:E, Movimientos!D:D, A312, Movimientos!C:C, "Ingreso", Movimientos!G:G, "G5000")+SUMIFS(Movimientos!E:E, Movimientos!D:D, A312, Movimientos!C:C, "Traslado", Movimientos!G:G, "G5000")-SUMIFS(Movimientos!E:E, Movimientos!D:D, A312, Movimientos!C:C, "Traslado", Movimientos!F:F, "G5000")-SUMIFS(Movimientos!E:E, Movimientos!D:D, A312, Movimientos!C:C, "Egreso", Movimientos!F:F, "G5000")+SUMIFS(Movimientos!E:E, Movimientos!D:D, A312, Movimientos!C:C, "Ajuste", Movimientos!F:F, "G5000")),"")</f>
        <v/>
      </c>
      <c r="I312" s="6" t="str">
        <f aca="false">IFERROR(IF(A312="","",SUMIFS(Movimientos!E:E, Movimientos!D:D, A312, Movimientos!C:C, "Ingreso", Movimientos!G:G, "G3")+SUMIFS(Movimientos!E:E, Movimientos!D:D, A312, Movimientos!C:C, "Traslado", Movimientos!G:G, "G3")-SUMIFS(Movimientos!E:E, Movimientos!D:D, A312, Movimientos!C:C, "Traslado", Movimientos!F:F, "G3")-SUMIFS(Movimientos!E:E, Movimientos!D:D, A312, Movimientos!C:C, "Egreso", Movimientos!F:F, "G3")+SUMIFS(Movimientos!E:E, Movimientos!D:D, A312, Movimientos!C:C, "Ajuste", Movimientos!F:F, "G3")),"")</f>
        <v/>
      </c>
      <c r="J312" s="6" t="str">
        <f aca="false">IFERROR(IF(A312="","",SUM(E312:I312)),"")</f>
        <v/>
      </c>
      <c r="K312" s="6" t="str">
        <f aca="false">IFERROR(IF(A312="","",SUMIFS(Movimientos!E:E, Movimientos!D:D, A312, Movimientos!C:C, "Reserva")-SUMIFS(Movimientos!E:E, Movimientos!D:D, A312, Movimientos!C:C, "Libera_Reserva")),"")</f>
        <v/>
      </c>
      <c r="L312" s="6" t="str">
        <f aca="false">IFERROR(IF(A312="","",J312-K312),"")</f>
        <v/>
      </c>
      <c r="M312" s="6" t="str">
        <f aca="false">IFERROR(IF(Productos!A312="","",Productos!G312),"")</f>
        <v/>
      </c>
      <c r="N312" s="6" t="str">
        <f aca="false">IFERROR(IF(A312="","",IF(L312&lt;M312,"BAJO STOCK","OK")),"")</f>
        <v/>
      </c>
    </row>
    <row r="313" customFormat="false" ht="15" hidden="false" customHeight="false" outlineLevel="0" collapsed="false">
      <c r="A313" s="0" t="str">
        <f aca="false">IFERROR(IF(Productos!A313="","",Productos!A313),"")</f>
        <v/>
      </c>
      <c r="B313" s="0" t="str">
        <f aca="false">IFERROR(IF(Productos!A313="","",Productos!B313),"")</f>
        <v/>
      </c>
      <c r="C313" s="0" t="str">
        <f aca="false">IFERROR(IF(Productos!A313="","",Productos!C313),"")</f>
        <v/>
      </c>
      <c r="D313" s="0" t="str">
        <f aca="false">IFERROR(IF(Productos!A313="","",Productos!E313),"")</f>
        <v/>
      </c>
      <c r="E313" s="6" t="str">
        <f aca="false">IFERROR(IF(A313="","",SUMIFS(Movimientos!E:E, Movimientos!D:D, A313, Movimientos!C:C, "Ingreso", Movimientos!G:G, "TIN")+SUMIFS(Movimientos!E:E, Movimientos!D:D, A313, Movimientos!C:C, "Traslado", Movimientos!G:G, "TIN")-SUMIFS(Movimientos!E:E, Movimientos!D:D, A313, Movimientos!C:C, "Traslado", Movimientos!F:F, "TIN")-SUMIFS(Movimientos!E:E, Movimientos!D:D, A313, Movimientos!C:C, "Egreso", Movimientos!F:F, "TIN")+SUMIFS(Movimientos!E:E, Movimientos!D:D, A313, Movimientos!C:C, "Ajuste", Movimientos!F:F, "TIN")),"")</f>
        <v/>
      </c>
      <c r="F313" s="6" t="str">
        <f aca="false">IFERROR(IF(A313="","",SUMIFS(Movimientos!E:E, Movimientos!D:D, A313, Movimientos!C:C, "Ingreso", Movimientos!G:G, "G1000")+SUMIFS(Movimientos!E:E, Movimientos!D:D, A313, Movimientos!C:C, "Traslado", Movimientos!G:G, "G1000")-SUMIFS(Movimientos!E:E, Movimientos!D:D, A313, Movimientos!C:C, "Traslado", Movimientos!F:F, "G1000")-SUMIFS(Movimientos!E:E, Movimientos!D:D, A313, Movimientos!C:C, "Egreso", Movimientos!F:F, "G1000")+SUMIFS(Movimientos!E:E, Movimientos!D:D, A313, Movimientos!C:C, "Ajuste", Movimientos!F:F, "G1000")),"")</f>
        <v/>
      </c>
      <c r="G313" s="6" t="str">
        <f aca="false">IFERROR(IF(A313="","",SUMIFS(Movimientos!E:E, Movimientos!D:D, A313, Movimientos!C:C, "Ingreso", Movimientos!G:G, "G710")+SUMIFS(Movimientos!E:E, Movimientos!D:D, A313, Movimientos!C:C, "Traslado", Movimientos!G:G, "G710")-SUMIFS(Movimientos!E:E, Movimientos!D:D, A313, Movimientos!C:C, "Traslado", Movimientos!F:F, "G710")-SUMIFS(Movimientos!E:E, Movimientos!D:D, A313, Movimientos!C:C, "Egreso", Movimientos!F:F, "G710")+SUMIFS(Movimientos!E:E, Movimientos!D:D, A313, Movimientos!C:C, "Ajuste", Movimientos!F:F, "G710")),"")</f>
        <v/>
      </c>
      <c r="H313" s="6" t="str">
        <f aca="false">IFERROR(IF(A313="","",SUMIFS(Movimientos!E:E, Movimientos!D:D, A313, Movimientos!C:C, "Ingreso", Movimientos!G:G, "G5000")+SUMIFS(Movimientos!E:E, Movimientos!D:D, A313, Movimientos!C:C, "Traslado", Movimientos!G:G, "G5000")-SUMIFS(Movimientos!E:E, Movimientos!D:D, A313, Movimientos!C:C, "Traslado", Movimientos!F:F, "G5000")-SUMIFS(Movimientos!E:E, Movimientos!D:D, A313, Movimientos!C:C, "Egreso", Movimientos!F:F, "G5000")+SUMIFS(Movimientos!E:E, Movimientos!D:D, A313, Movimientos!C:C, "Ajuste", Movimientos!F:F, "G5000")),"")</f>
        <v/>
      </c>
      <c r="I313" s="6" t="str">
        <f aca="false">IFERROR(IF(A313="","",SUMIFS(Movimientos!E:E, Movimientos!D:D, A313, Movimientos!C:C, "Ingreso", Movimientos!G:G, "G3")+SUMIFS(Movimientos!E:E, Movimientos!D:D, A313, Movimientos!C:C, "Traslado", Movimientos!G:G, "G3")-SUMIFS(Movimientos!E:E, Movimientos!D:D, A313, Movimientos!C:C, "Traslado", Movimientos!F:F, "G3")-SUMIFS(Movimientos!E:E, Movimientos!D:D, A313, Movimientos!C:C, "Egreso", Movimientos!F:F, "G3")+SUMIFS(Movimientos!E:E, Movimientos!D:D, A313, Movimientos!C:C, "Ajuste", Movimientos!F:F, "G3")),"")</f>
        <v/>
      </c>
      <c r="J313" s="6" t="str">
        <f aca="false">IFERROR(IF(A313="","",SUM(E313:I313)),"")</f>
        <v/>
      </c>
      <c r="K313" s="6" t="str">
        <f aca="false">IFERROR(IF(A313="","",SUMIFS(Movimientos!E:E, Movimientos!D:D, A313, Movimientos!C:C, "Reserva")-SUMIFS(Movimientos!E:E, Movimientos!D:D, A313, Movimientos!C:C, "Libera_Reserva")),"")</f>
        <v/>
      </c>
      <c r="L313" s="6" t="str">
        <f aca="false">IFERROR(IF(A313="","",J313-K313),"")</f>
        <v/>
      </c>
      <c r="M313" s="6" t="str">
        <f aca="false">IFERROR(IF(Productos!A313="","",Productos!G313),"")</f>
        <v/>
      </c>
      <c r="N313" s="6" t="str">
        <f aca="false">IFERROR(IF(A313="","",IF(L313&lt;M313,"BAJO STOCK","OK")),"")</f>
        <v/>
      </c>
    </row>
    <row r="314" customFormat="false" ht="15" hidden="false" customHeight="false" outlineLevel="0" collapsed="false">
      <c r="A314" s="0" t="str">
        <f aca="false">IFERROR(IF(Productos!A314="","",Productos!A314),"")</f>
        <v/>
      </c>
      <c r="B314" s="0" t="str">
        <f aca="false">IFERROR(IF(Productos!A314="","",Productos!B314),"")</f>
        <v/>
      </c>
      <c r="C314" s="0" t="str">
        <f aca="false">IFERROR(IF(Productos!A314="","",Productos!C314),"")</f>
        <v/>
      </c>
      <c r="D314" s="0" t="str">
        <f aca="false">IFERROR(IF(Productos!A314="","",Productos!E314),"")</f>
        <v/>
      </c>
      <c r="E314" s="6" t="str">
        <f aca="false">IFERROR(IF(A314="","",SUMIFS(Movimientos!E:E, Movimientos!D:D, A314, Movimientos!C:C, "Ingreso", Movimientos!G:G, "TIN")+SUMIFS(Movimientos!E:E, Movimientos!D:D, A314, Movimientos!C:C, "Traslado", Movimientos!G:G, "TIN")-SUMIFS(Movimientos!E:E, Movimientos!D:D, A314, Movimientos!C:C, "Traslado", Movimientos!F:F, "TIN")-SUMIFS(Movimientos!E:E, Movimientos!D:D, A314, Movimientos!C:C, "Egreso", Movimientos!F:F, "TIN")+SUMIFS(Movimientos!E:E, Movimientos!D:D, A314, Movimientos!C:C, "Ajuste", Movimientos!F:F, "TIN")),"")</f>
        <v/>
      </c>
      <c r="F314" s="6" t="str">
        <f aca="false">IFERROR(IF(A314="","",SUMIFS(Movimientos!E:E, Movimientos!D:D, A314, Movimientos!C:C, "Ingreso", Movimientos!G:G, "G1000")+SUMIFS(Movimientos!E:E, Movimientos!D:D, A314, Movimientos!C:C, "Traslado", Movimientos!G:G, "G1000")-SUMIFS(Movimientos!E:E, Movimientos!D:D, A314, Movimientos!C:C, "Traslado", Movimientos!F:F, "G1000")-SUMIFS(Movimientos!E:E, Movimientos!D:D, A314, Movimientos!C:C, "Egreso", Movimientos!F:F, "G1000")+SUMIFS(Movimientos!E:E, Movimientos!D:D, A314, Movimientos!C:C, "Ajuste", Movimientos!F:F, "G1000")),"")</f>
        <v/>
      </c>
      <c r="G314" s="6" t="str">
        <f aca="false">IFERROR(IF(A314="","",SUMIFS(Movimientos!E:E, Movimientos!D:D, A314, Movimientos!C:C, "Ingreso", Movimientos!G:G, "G710")+SUMIFS(Movimientos!E:E, Movimientos!D:D, A314, Movimientos!C:C, "Traslado", Movimientos!G:G, "G710")-SUMIFS(Movimientos!E:E, Movimientos!D:D, A314, Movimientos!C:C, "Traslado", Movimientos!F:F, "G710")-SUMIFS(Movimientos!E:E, Movimientos!D:D, A314, Movimientos!C:C, "Egreso", Movimientos!F:F, "G710")+SUMIFS(Movimientos!E:E, Movimientos!D:D, A314, Movimientos!C:C, "Ajuste", Movimientos!F:F, "G710")),"")</f>
        <v/>
      </c>
      <c r="H314" s="6" t="str">
        <f aca="false">IFERROR(IF(A314="","",SUMIFS(Movimientos!E:E, Movimientos!D:D, A314, Movimientos!C:C, "Ingreso", Movimientos!G:G, "G5000")+SUMIFS(Movimientos!E:E, Movimientos!D:D, A314, Movimientos!C:C, "Traslado", Movimientos!G:G, "G5000")-SUMIFS(Movimientos!E:E, Movimientos!D:D, A314, Movimientos!C:C, "Traslado", Movimientos!F:F, "G5000")-SUMIFS(Movimientos!E:E, Movimientos!D:D, A314, Movimientos!C:C, "Egreso", Movimientos!F:F, "G5000")+SUMIFS(Movimientos!E:E, Movimientos!D:D, A314, Movimientos!C:C, "Ajuste", Movimientos!F:F, "G5000")),"")</f>
        <v/>
      </c>
      <c r="I314" s="6" t="str">
        <f aca="false">IFERROR(IF(A314="","",SUMIFS(Movimientos!E:E, Movimientos!D:D, A314, Movimientos!C:C, "Ingreso", Movimientos!G:G, "G3")+SUMIFS(Movimientos!E:E, Movimientos!D:D, A314, Movimientos!C:C, "Traslado", Movimientos!G:G, "G3")-SUMIFS(Movimientos!E:E, Movimientos!D:D, A314, Movimientos!C:C, "Traslado", Movimientos!F:F, "G3")-SUMIFS(Movimientos!E:E, Movimientos!D:D, A314, Movimientos!C:C, "Egreso", Movimientos!F:F, "G3")+SUMIFS(Movimientos!E:E, Movimientos!D:D, A314, Movimientos!C:C, "Ajuste", Movimientos!F:F, "G3")),"")</f>
        <v/>
      </c>
      <c r="J314" s="6" t="str">
        <f aca="false">IFERROR(IF(A314="","",SUM(E314:I314)),"")</f>
        <v/>
      </c>
      <c r="K314" s="6" t="str">
        <f aca="false">IFERROR(IF(A314="","",SUMIFS(Movimientos!E:E, Movimientos!D:D, A314, Movimientos!C:C, "Reserva")-SUMIFS(Movimientos!E:E, Movimientos!D:D, A314, Movimientos!C:C, "Libera_Reserva")),"")</f>
        <v/>
      </c>
      <c r="L314" s="6" t="str">
        <f aca="false">IFERROR(IF(A314="","",J314-K314),"")</f>
        <v/>
      </c>
      <c r="M314" s="6" t="str">
        <f aca="false">IFERROR(IF(Productos!A314="","",Productos!G314),"")</f>
        <v/>
      </c>
      <c r="N314" s="6" t="str">
        <f aca="false">IFERROR(IF(A314="","",IF(L314&lt;M314,"BAJO STOCK","OK")),"")</f>
        <v/>
      </c>
    </row>
    <row r="315" customFormat="false" ht="15" hidden="false" customHeight="false" outlineLevel="0" collapsed="false">
      <c r="A315" s="0" t="str">
        <f aca="false">IFERROR(IF(Productos!A315="","",Productos!A315),"")</f>
        <v/>
      </c>
      <c r="B315" s="0" t="str">
        <f aca="false">IFERROR(IF(Productos!A315="","",Productos!B315),"")</f>
        <v/>
      </c>
      <c r="C315" s="0" t="str">
        <f aca="false">IFERROR(IF(Productos!A315="","",Productos!C315),"")</f>
        <v/>
      </c>
      <c r="D315" s="0" t="str">
        <f aca="false">IFERROR(IF(Productos!A315="","",Productos!E315),"")</f>
        <v/>
      </c>
      <c r="E315" s="6" t="str">
        <f aca="false">IFERROR(IF(A315="","",SUMIFS(Movimientos!E:E, Movimientos!D:D, A315, Movimientos!C:C, "Ingreso", Movimientos!G:G, "TIN")+SUMIFS(Movimientos!E:E, Movimientos!D:D, A315, Movimientos!C:C, "Traslado", Movimientos!G:G, "TIN")-SUMIFS(Movimientos!E:E, Movimientos!D:D, A315, Movimientos!C:C, "Traslado", Movimientos!F:F, "TIN")-SUMIFS(Movimientos!E:E, Movimientos!D:D, A315, Movimientos!C:C, "Egreso", Movimientos!F:F, "TIN")+SUMIFS(Movimientos!E:E, Movimientos!D:D, A315, Movimientos!C:C, "Ajuste", Movimientos!F:F, "TIN")),"")</f>
        <v/>
      </c>
      <c r="F315" s="6" t="str">
        <f aca="false">IFERROR(IF(A315="","",SUMIFS(Movimientos!E:E, Movimientos!D:D, A315, Movimientos!C:C, "Ingreso", Movimientos!G:G, "G1000")+SUMIFS(Movimientos!E:E, Movimientos!D:D, A315, Movimientos!C:C, "Traslado", Movimientos!G:G, "G1000")-SUMIFS(Movimientos!E:E, Movimientos!D:D, A315, Movimientos!C:C, "Traslado", Movimientos!F:F, "G1000")-SUMIFS(Movimientos!E:E, Movimientos!D:D, A315, Movimientos!C:C, "Egreso", Movimientos!F:F, "G1000")+SUMIFS(Movimientos!E:E, Movimientos!D:D, A315, Movimientos!C:C, "Ajuste", Movimientos!F:F, "G1000")),"")</f>
        <v/>
      </c>
      <c r="G315" s="6" t="str">
        <f aca="false">IFERROR(IF(A315="","",SUMIFS(Movimientos!E:E, Movimientos!D:D, A315, Movimientos!C:C, "Ingreso", Movimientos!G:G, "G710")+SUMIFS(Movimientos!E:E, Movimientos!D:D, A315, Movimientos!C:C, "Traslado", Movimientos!G:G, "G710")-SUMIFS(Movimientos!E:E, Movimientos!D:D, A315, Movimientos!C:C, "Traslado", Movimientos!F:F, "G710")-SUMIFS(Movimientos!E:E, Movimientos!D:D, A315, Movimientos!C:C, "Egreso", Movimientos!F:F, "G710")+SUMIFS(Movimientos!E:E, Movimientos!D:D, A315, Movimientos!C:C, "Ajuste", Movimientos!F:F, "G710")),"")</f>
        <v/>
      </c>
      <c r="H315" s="6" t="str">
        <f aca="false">IFERROR(IF(A315="","",SUMIFS(Movimientos!E:E, Movimientos!D:D, A315, Movimientos!C:C, "Ingreso", Movimientos!G:G, "G5000")+SUMIFS(Movimientos!E:E, Movimientos!D:D, A315, Movimientos!C:C, "Traslado", Movimientos!G:G, "G5000")-SUMIFS(Movimientos!E:E, Movimientos!D:D, A315, Movimientos!C:C, "Traslado", Movimientos!F:F, "G5000")-SUMIFS(Movimientos!E:E, Movimientos!D:D, A315, Movimientos!C:C, "Egreso", Movimientos!F:F, "G5000")+SUMIFS(Movimientos!E:E, Movimientos!D:D, A315, Movimientos!C:C, "Ajuste", Movimientos!F:F, "G5000")),"")</f>
        <v/>
      </c>
      <c r="I315" s="6" t="str">
        <f aca="false">IFERROR(IF(A315="","",SUMIFS(Movimientos!E:E, Movimientos!D:D, A315, Movimientos!C:C, "Ingreso", Movimientos!G:G, "G3")+SUMIFS(Movimientos!E:E, Movimientos!D:D, A315, Movimientos!C:C, "Traslado", Movimientos!G:G, "G3")-SUMIFS(Movimientos!E:E, Movimientos!D:D, A315, Movimientos!C:C, "Traslado", Movimientos!F:F, "G3")-SUMIFS(Movimientos!E:E, Movimientos!D:D, A315, Movimientos!C:C, "Egreso", Movimientos!F:F, "G3")+SUMIFS(Movimientos!E:E, Movimientos!D:D, A315, Movimientos!C:C, "Ajuste", Movimientos!F:F, "G3")),"")</f>
        <v/>
      </c>
      <c r="J315" s="6" t="str">
        <f aca="false">IFERROR(IF(A315="","",SUM(E315:I315)),"")</f>
        <v/>
      </c>
      <c r="K315" s="6" t="str">
        <f aca="false">IFERROR(IF(A315="","",SUMIFS(Movimientos!E:E, Movimientos!D:D, A315, Movimientos!C:C, "Reserva")-SUMIFS(Movimientos!E:E, Movimientos!D:D, A315, Movimientos!C:C, "Libera_Reserva")),"")</f>
        <v/>
      </c>
      <c r="L315" s="6" t="str">
        <f aca="false">IFERROR(IF(A315="","",J315-K315),"")</f>
        <v/>
      </c>
      <c r="M315" s="6" t="str">
        <f aca="false">IFERROR(IF(Productos!A315="","",Productos!G315),"")</f>
        <v/>
      </c>
      <c r="N315" s="6" t="str">
        <f aca="false">IFERROR(IF(A315="","",IF(L315&lt;M315,"BAJO STOCK","OK")),"")</f>
        <v/>
      </c>
    </row>
    <row r="316" customFormat="false" ht="15" hidden="false" customHeight="false" outlineLevel="0" collapsed="false">
      <c r="A316" s="0" t="str">
        <f aca="false">IFERROR(IF(Productos!A316="","",Productos!A316),"")</f>
        <v/>
      </c>
      <c r="B316" s="0" t="str">
        <f aca="false">IFERROR(IF(Productos!A316="","",Productos!B316),"")</f>
        <v/>
      </c>
      <c r="C316" s="0" t="str">
        <f aca="false">IFERROR(IF(Productos!A316="","",Productos!C316),"")</f>
        <v/>
      </c>
      <c r="D316" s="0" t="str">
        <f aca="false">IFERROR(IF(Productos!A316="","",Productos!E316),"")</f>
        <v/>
      </c>
      <c r="E316" s="6" t="str">
        <f aca="false">IFERROR(IF(A316="","",SUMIFS(Movimientos!E:E, Movimientos!D:D, A316, Movimientos!C:C, "Ingreso", Movimientos!G:G, "TIN")+SUMIFS(Movimientos!E:E, Movimientos!D:D, A316, Movimientos!C:C, "Traslado", Movimientos!G:G, "TIN")-SUMIFS(Movimientos!E:E, Movimientos!D:D, A316, Movimientos!C:C, "Traslado", Movimientos!F:F, "TIN")-SUMIFS(Movimientos!E:E, Movimientos!D:D, A316, Movimientos!C:C, "Egreso", Movimientos!F:F, "TIN")+SUMIFS(Movimientos!E:E, Movimientos!D:D, A316, Movimientos!C:C, "Ajuste", Movimientos!F:F, "TIN")),"")</f>
        <v/>
      </c>
      <c r="F316" s="6" t="str">
        <f aca="false">IFERROR(IF(A316="","",SUMIFS(Movimientos!E:E, Movimientos!D:D, A316, Movimientos!C:C, "Ingreso", Movimientos!G:G, "G1000")+SUMIFS(Movimientos!E:E, Movimientos!D:D, A316, Movimientos!C:C, "Traslado", Movimientos!G:G, "G1000")-SUMIFS(Movimientos!E:E, Movimientos!D:D, A316, Movimientos!C:C, "Traslado", Movimientos!F:F, "G1000")-SUMIFS(Movimientos!E:E, Movimientos!D:D, A316, Movimientos!C:C, "Egreso", Movimientos!F:F, "G1000")+SUMIFS(Movimientos!E:E, Movimientos!D:D, A316, Movimientos!C:C, "Ajuste", Movimientos!F:F, "G1000")),"")</f>
        <v/>
      </c>
      <c r="G316" s="6" t="str">
        <f aca="false">IFERROR(IF(A316="","",SUMIFS(Movimientos!E:E, Movimientos!D:D, A316, Movimientos!C:C, "Ingreso", Movimientos!G:G, "G710")+SUMIFS(Movimientos!E:E, Movimientos!D:D, A316, Movimientos!C:C, "Traslado", Movimientos!G:G, "G710")-SUMIFS(Movimientos!E:E, Movimientos!D:D, A316, Movimientos!C:C, "Traslado", Movimientos!F:F, "G710")-SUMIFS(Movimientos!E:E, Movimientos!D:D, A316, Movimientos!C:C, "Egreso", Movimientos!F:F, "G710")+SUMIFS(Movimientos!E:E, Movimientos!D:D, A316, Movimientos!C:C, "Ajuste", Movimientos!F:F, "G710")),"")</f>
        <v/>
      </c>
      <c r="H316" s="6" t="str">
        <f aca="false">IFERROR(IF(A316="","",SUMIFS(Movimientos!E:E, Movimientos!D:D, A316, Movimientos!C:C, "Ingreso", Movimientos!G:G, "G5000")+SUMIFS(Movimientos!E:E, Movimientos!D:D, A316, Movimientos!C:C, "Traslado", Movimientos!G:G, "G5000")-SUMIFS(Movimientos!E:E, Movimientos!D:D, A316, Movimientos!C:C, "Traslado", Movimientos!F:F, "G5000")-SUMIFS(Movimientos!E:E, Movimientos!D:D, A316, Movimientos!C:C, "Egreso", Movimientos!F:F, "G5000")+SUMIFS(Movimientos!E:E, Movimientos!D:D, A316, Movimientos!C:C, "Ajuste", Movimientos!F:F, "G5000")),"")</f>
        <v/>
      </c>
      <c r="I316" s="6" t="str">
        <f aca="false">IFERROR(IF(A316="","",SUMIFS(Movimientos!E:E, Movimientos!D:D, A316, Movimientos!C:C, "Ingreso", Movimientos!G:G, "G3")+SUMIFS(Movimientos!E:E, Movimientos!D:D, A316, Movimientos!C:C, "Traslado", Movimientos!G:G, "G3")-SUMIFS(Movimientos!E:E, Movimientos!D:D, A316, Movimientos!C:C, "Traslado", Movimientos!F:F, "G3")-SUMIFS(Movimientos!E:E, Movimientos!D:D, A316, Movimientos!C:C, "Egreso", Movimientos!F:F, "G3")+SUMIFS(Movimientos!E:E, Movimientos!D:D, A316, Movimientos!C:C, "Ajuste", Movimientos!F:F, "G3")),"")</f>
        <v/>
      </c>
      <c r="J316" s="6" t="str">
        <f aca="false">IFERROR(IF(A316="","",SUM(E316:I316)),"")</f>
        <v/>
      </c>
      <c r="K316" s="6" t="str">
        <f aca="false">IFERROR(IF(A316="","",SUMIFS(Movimientos!E:E, Movimientos!D:D, A316, Movimientos!C:C, "Reserva")-SUMIFS(Movimientos!E:E, Movimientos!D:D, A316, Movimientos!C:C, "Libera_Reserva")),"")</f>
        <v/>
      </c>
      <c r="L316" s="6" t="str">
        <f aca="false">IFERROR(IF(A316="","",J316-K316),"")</f>
        <v/>
      </c>
      <c r="M316" s="6" t="str">
        <f aca="false">IFERROR(IF(Productos!A316="","",Productos!G316),"")</f>
        <v/>
      </c>
      <c r="N316" s="6" t="str">
        <f aca="false">IFERROR(IF(A316="","",IF(L316&lt;M316,"BAJO STOCK","OK")),"")</f>
        <v/>
      </c>
    </row>
    <row r="317" customFormat="false" ht="15" hidden="false" customHeight="false" outlineLevel="0" collapsed="false">
      <c r="A317" s="0" t="str">
        <f aca="false">IFERROR(IF(Productos!A317="","",Productos!A317),"")</f>
        <v/>
      </c>
      <c r="B317" s="0" t="str">
        <f aca="false">IFERROR(IF(Productos!A317="","",Productos!B317),"")</f>
        <v/>
      </c>
      <c r="C317" s="0" t="str">
        <f aca="false">IFERROR(IF(Productos!A317="","",Productos!C317),"")</f>
        <v/>
      </c>
      <c r="D317" s="0" t="str">
        <f aca="false">IFERROR(IF(Productos!A317="","",Productos!E317),"")</f>
        <v/>
      </c>
      <c r="E317" s="6" t="str">
        <f aca="false">IFERROR(IF(A317="","",SUMIFS(Movimientos!E:E, Movimientos!D:D, A317, Movimientos!C:C, "Ingreso", Movimientos!G:G, "TIN")+SUMIFS(Movimientos!E:E, Movimientos!D:D, A317, Movimientos!C:C, "Traslado", Movimientos!G:G, "TIN")-SUMIFS(Movimientos!E:E, Movimientos!D:D, A317, Movimientos!C:C, "Traslado", Movimientos!F:F, "TIN")-SUMIFS(Movimientos!E:E, Movimientos!D:D, A317, Movimientos!C:C, "Egreso", Movimientos!F:F, "TIN")+SUMIFS(Movimientos!E:E, Movimientos!D:D, A317, Movimientos!C:C, "Ajuste", Movimientos!F:F, "TIN")),"")</f>
        <v/>
      </c>
      <c r="F317" s="6" t="str">
        <f aca="false">IFERROR(IF(A317="","",SUMIFS(Movimientos!E:E, Movimientos!D:D, A317, Movimientos!C:C, "Ingreso", Movimientos!G:G, "G1000")+SUMIFS(Movimientos!E:E, Movimientos!D:D, A317, Movimientos!C:C, "Traslado", Movimientos!G:G, "G1000")-SUMIFS(Movimientos!E:E, Movimientos!D:D, A317, Movimientos!C:C, "Traslado", Movimientos!F:F, "G1000")-SUMIFS(Movimientos!E:E, Movimientos!D:D, A317, Movimientos!C:C, "Egreso", Movimientos!F:F, "G1000")+SUMIFS(Movimientos!E:E, Movimientos!D:D, A317, Movimientos!C:C, "Ajuste", Movimientos!F:F, "G1000")),"")</f>
        <v/>
      </c>
      <c r="G317" s="6" t="str">
        <f aca="false">IFERROR(IF(A317="","",SUMIFS(Movimientos!E:E, Movimientos!D:D, A317, Movimientos!C:C, "Ingreso", Movimientos!G:G, "G710")+SUMIFS(Movimientos!E:E, Movimientos!D:D, A317, Movimientos!C:C, "Traslado", Movimientos!G:G, "G710")-SUMIFS(Movimientos!E:E, Movimientos!D:D, A317, Movimientos!C:C, "Traslado", Movimientos!F:F, "G710")-SUMIFS(Movimientos!E:E, Movimientos!D:D, A317, Movimientos!C:C, "Egreso", Movimientos!F:F, "G710")+SUMIFS(Movimientos!E:E, Movimientos!D:D, A317, Movimientos!C:C, "Ajuste", Movimientos!F:F, "G710")),"")</f>
        <v/>
      </c>
      <c r="H317" s="6" t="str">
        <f aca="false">IFERROR(IF(A317="","",SUMIFS(Movimientos!E:E, Movimientos!D:D, A317, Movimientos!C:C, "Ingreso", Movimientos!G:G, "G5000")+SUMIFS(Movimientos!E:E, Movimientos!D:D, A317, Movimientos!C:C, "Traslado", Movimientos!G:G, "G5000")-SUMIFS(Movimientos!E:E, Movimientos!D:D, A317, Movimientos!C:C, "Traslado", Movimientos!F:F, "G5000")-SUMIFS(Movimientos!E:E, Movimientos!D:D, A317, Movimientos!C:C, "Egreso", Movimientos!F:F, "G5000")+SUMIFS(Movimientos!E:E, Movimientos!D:D, A317, Movimientos!C:C, "Ajuste", Movimientos!F:F, "G5000")),"")</f>
        <v/>
      </c>
      <c r="I317" s="6" t="str">
        <f aca="false">IFERROR(IF(A317="","",SUMIFS(Movimientos!E:E, Movimientos!D:D, A317, Movimientos!C:C, "Ingreso", Movimientos!G:G, "G3")+SUMIFS(Movimientos!E:E, Movimientos!D:D, A317, Movimientos!C:C, "Traslado", Movimientos!G:G, "G3")-SUMIFS(Movimientos!E:E, Movimientos!D:D, A317, Movimientos!C:C, "Traslado", Movimientos!F:F, "G3")-SUMIFS(Movimientos!E:E, Movimientos!D:D, A317, Movimientos!C:C, "Egreso", Movimientos!F:F, "G3")+SUMIFS(Movimientos!E:E, Movimientos!D:D, A317, Movimientos!C:C, "Ajuste", Movimientos!F:F, "G3")),"")</f>
        <v/>
      </c>
      <c r="J317" s="6" t="str">
        <f aca="false">IFERROR(IF(A317="","",SUM(E317:I317)),"")</f>
        <v/>
      </c>
      <c r="K317" s="6" t="str">
        <f aca="false">IFERROR(IF(A317="","",SUMIFS(Movimientos!E:E, Movimientos!D:D, A317, Movimientos!C:C, "Reserva")-SUMIFS(Movimientos!E:E, Movimientos!D:D, A317, Movimientos!C:C, "Libera_Reserva")),"")</f>
        <v/>
      </c>
      <c r="L317" s="6" t="str">
        <f aca="false">IFERROR(IF(A317="","",J317-K317),"")</f>
        <v/>
      </c>
      <c r="M317" s="6" t="str">
        <f aca="false">IFERROR(IF(Productos!A317="","",Productos!G317),"")</f>
        <v/>
      </c>
      <c r="N317" s="6" t="str">
        <f aca="false">IFERROR(IF(A317="","",IF(L317&lt;M317,"BAJO STOCK","OK")),"")</f>
        <v/>
      </c>
    </row>
    <row r="318" customFormat="false" ht="15" hidden="false" customHeight="false" outlineLevel="0" collapsed="false">
      <c r="A318" s="0" t="str">
        <f aca="false">IFERROR(IF(Productos!A318="","",Productos!A318),"")</f>
        <v/>
      </c>
      <c r="B318" s="0" t="str">
        <f aca="false">IFERROR(IF(Productos!A318="","",Productos!B318),"")</f>
        <v/>
      </c>
      <c r="C318" s="0" t="str">
        <f aca="false">IFERROR(IF(Productos!A318="","",Productos!C318),"")</f>
        <v/>
      </c>
      <c r="D318" s="0" t="str">
        <f aca="false">IFERROR(IF(Productos!A318="","",Productos!E318),"")</f>
        <v/>
      </c>
      <c r="E318" s="6" t="str">
        <f aca="false">IFERROR(IF(A318="","",SUMIFS(Movimientos!E:E, Movimientos!D:D, A318, Movimientos!C:C, "Ingreso", Movimientos!G:G, "TIN")+SUMIFS(Movimientos!E:E, Movimientos!D:D, A318, Movimientos!C:C, "Traslado", Movimientos!G:G, "TIN")-SUMIFS(Movimientos!E:E, Movimientos!D:D, A318, Movimientos!C:C, "Traslado", Movimientos!F:F, "TIN")-SUMIFS(Movimientos!E:E, Movimientos!D:D, A318, Movimientos!C:C, "Egreso", Movimientos!F:F, "TIN")+SUMIFS(Movimientos!E:E, Movimientos!D:D, A318, Movimientos!C:C, "Ajuste", Movimientos!F:F, "TIN")),"")</f>
        <v/>
      </c>
      <c r="F318" s="6" t="str">
        <f aca="false">IFERROR(IF(A318="","",SUMIFS(Movimientos!E:E, Movimientos!D:D, A318, Movimientos!C:C, "Ingreso", Movimientos!G:G, "G1000")+SUMIFS(Movimientos!E:E, Movimientos!D:D, A318, Movimientos!C:C, "Traslado", Movimientos!G:G, "G1000")-SUMIFS(Movimientos!E:E, Movimientos!D:D, A318, Movimientos!C:C, "Traslado", Movimientos!F:F, "G1000")-SUMIFS(Movimientos!E:E, Movimientos!D:D, A318, Movimientos!C:C, "Egreso", Movimientos!F:F, "G1000")+SUMIFS(Movimientos!E:E, Movimientos!D:D, A318, Movimientos!C:C, "Ajuste", Movimientos!F:F, "G1000")),"")</f>
        <v/>
      </c>
      <c r="G318" s="6" t="str">
        <f aca="false">IFERROR(IF(A318="","",SUMIFS(Movimientos!E:E, Movimientos!D:D, A318, Movimientos!C:C, "Ingreso", Movimientos!G:G, "G710")+SUMIFS(Movimientos!E:E, Movimientos!D:D, A318, Movimientos!C:C, "Traslado", Movimientos!G:G, "G710")-SUMIFS(Movimientos!E:E, Movimientos!D:D, A318, Movimientos!C:C, "Traslado", Movimientos!F:F, "G710")-SUMIFS(Movimientos!E:E, Movimientos!D:D, A318, Movimientos!C:C, "Egreso", Movimientos!F:F, "G710")+SUMIFS(Movimientos!E:E, Movimientos!D:D, A318, Movimientos!C:C, "Ajuste", Movimientos!F:F, "G710")),"")</f>
        <v/>
      </c>
      <c r="H318" s="6" t="str">
        <f aca="false">IFERROR(IF(A318="","",SUMIFS(Movimientos!E:E, Movimientos!D:D, A318, Movimientos!C:C, "Ingreso", Movimientos!G:G, "G5000")+SUMIFS(Movimientos!E:E, Movimientos!D:D, A318, Movimientos!C:C, "Traslado", Movimientos!G:G, "G5000")-SUMIFS(Movimientos!E:E, Movimientos!D:D, A318, Movimientos!C:C, "Traslado", Movimientos!F:F, "G5000")-SUMIFS(Movimientos!E:E, Movimientos!D:D, A318, Movimientos!C:C, "Egreso", Movimientos!F:F, "G5000")+SUMIFS(Movimientos!E:E, Movimientos!D:D, A318, Movimientos!C:C, "Ajuste", Movimientos!F:F, "G5000")),"")</f>
        <v/>
      </c>
      <c r="I318" s="6" t="str">
        <f aca="false">IFERROR(IF(A318="","",SUMIFS(Movimientos!E:E, Movimientos!D:D, A318, Movimientos!C:C, "Ingreso", Movimientos!G:G, "G3")+SUMIFS(Movimientos!E:E, Movimientos!D:D, A318, Movimientos!C:C, "Traslado", Movimientos!G:G, "G3")-SUMIFS(Movimientos!E:E, Movimientos!D:D, A318, Movimientos!C:C, "Traslado", Movimientos!F:F, "G3")-SUMIFS(Movimientos!E:E, Movimientos!D:D, A318, Movimientos!C:C, "Egreso", Movimientos!F:F, "G3")+SUMIFS(Movimientos!E:E, Movimientos!D:D, A318, Movimientos!C:C, "Ajuste", Movimientos!F:F, "G3")),"")</f>
        <v/>
      </c>
      <c r="J318" s="6" t="str">
        <f aca="false">IFERROR(IF(A318="","",SUM(E318:I318)),"")</f>
        <v/>
      </c>
      <c r="K318" s="6" t="str">
        <f aca="false">IFERROR(IF(A318="","",SUMIFS(Movimientos!E:E, Movimientos!D:D, A318, Movimientos!C:C, "Reserva")-SUMIFS(Movimientos!E:E, Movimientos!D:D, A318, Movimientos!C:C, "Libera_Reserva")),"")</f>
        <v/>
      </c>
      <c r="L318" s="6" t="str">
        <f aca="false">IFERROR(IF(A318="","",J318-K318),"")</f>
        <v/>
      </c>
      <c r="M318" s="6" t="str">
        <f aca="false">IFERROR(IF(Productos!A318="","",Productos!G318),"")</f>
        <v/>
      </c>
      <c r="N318" s="6" t="str">
        <f aca="false">IFERROR(IF(A318="","",IF(L318&lt;M318,"BAJO STOCK","OK")),"")</f>
        <v/>
      </c>
    </row>
    <row r="319" customFormat="false" ht="15" hidden="false" customHeight="false" outlineLevel="0" collapsed="false">
      <c r="A319" s="0" t="str">
        <f aca="false">IFERROR(IF(Productos!A319="","",Productos!A319),"")</f>
        <v/>
      </c>
      <c r="B319" s="0" t="str">
        <f aca="false">IFERROR(IF(Productos!A319="","",Productos!B319),"")</f>
        <v/>
      </c>
      <c r="C319" s="0" t="str">
        <f aca="false">IFERROR(IF(Productos!A319="","",Productos!C319),"")</f>
        <v/>
      </c>
      <c r="D319" s="0" t="str">
        <f aca="false">IFERROR(IF(Productos!A319="","",Productos!E319),"")</f>
        <v/>
      </c>
      <c r="E319" s="6" t="str">
        <f aca="false">IFERROR(IF(A319="","",SUMIFS(Movimientos!E:E, Movimientos!D:D, A319, Movimientos!C:C, "Ingreso", Movimientos!G:G, "TIN")+SUMIFS(Movimientos!E:E, Movimientos!D:D, A319, Movimientos!C:C, "Traslado", Movimientos!G:G, "TIN")-SUMIFS(Movimientos!E:E, Movimientos!D:D, A319, Movimientos!C:C, "Traslado", Movimientos!F:F, "TIN")-SUMIFS(Movimientos!E:E, Movimientos!D:D, A319, Movimientos!C:C, "Egreso", Movimientos!F:F, "TIN")+SUMIFS(Movimientos!E:E, Movimientos!D:D, A319, Movimientos!C:C, "Ajuste", Movimientos!F:F, "TIN")),"")</f>
        <v/>
      </c>
      <c r="F319" s="6" t="str">
        <f aca="false">IFERROR(IF(A319="","",SUMIFS(Movimientos!E:E, Movimientos!D:D, A319, Movimientos!C:C, "Ingreso", Movimientos!G:G, "G1000")+SUMIFS(Movimientos!E:E, Movimientos!D:D, A319, Movimientos!C:C, "Traslado", Movimientos!G:G, "G1000")-SUMIFS(Movimientos!E:E, Movimientos!D:D, A319, Movimientos!C:C, "Traslado", Movimientos!F:F, "G1000")-SUMIFS(Movimientos!E:E, Movimientos!D:D, A319, Movimientos!C:C, "Egreso", Movimientos!F:F, "G1000")+SUMIFS(Movimientos!E:E, Movimientos!D:D, A319, Movimientos!C:C, "Ajuste", Movimientos!F:F, "G1000")),"")</f>
        <v/>
      </c>
      <c r="G319" s="6" t="str">
        <f aca="false">IFERROR(IF(A319="","",SUMIFS(Movimientos!E:E, Movimientos!D:D, A319, Movimientos!C:C, "Ingreso", Movimientos!G:G, "G710")+SUMIFS(Movimientos!E:E, Movimientos!D:D, A319, Movimientos!C:C, "Traslado", Movimientos!G:G, "G710")-SUMIFS(Movimientos!E:E, Movimientos!D:D, A319, Movimientos!C:C, "Traslado", Movimientos!F:F, "G710")-SUMIFS(Movimientos!E:E, Movimientos!D:D, A319, Movimientos!C:C, "Egreso", Movimientos!F:F, "G710")+SUMIFS(Movimientos!E:E, Movimientos!D:D, A319, Movimientos!C:C, "Ajuste", Movimientos!F:F, "G710")),"")</f>
        <v/>
      </c>
      <c r="H319" s="6" t="str">
        <f aca="false">IFERROR(IF(A319="","",SUMIFS(Movimientos!E:E, Movimientos!D:D, A319, Movimientos!C:C, "Ingreso", Movimientos!G:G, "G5000")+SUMIFS(Movimientos!E:E, Movimientos!D:D, A319, Movimientos!C:C, "Traslado", Movimientos!G:G, "G5000")-SUMIFS(Movimientos!E:E, Movimientos!D:D, A319, Movimientos!C:C, "Traslado", Movimientos!F:F, "G5000")-SUMIFS(Movimientos!E:E, Movimientos!D:D, A319, Movimientos!C:C, "Egreso", Movimientos!F:F, "G5000")+SUMIFS(Movimientos!E:E, Movimientos!D:D, A319, Movimientos!C:C, "Ajuste", Movimientos!F:F, "G5000")),"")</f>
        <v/>
      </c>
      <c r="I319" s="6" t="str">
        <f aca="false">IFERROR(IF(A319="","",SUMIFS(Movimientos!E:E, Movimientos!D:D, A319, Movimientos!C:C, "Ingreso", Movimientos!G:G, "G3")+SUMIFS(Movimientos!E:E, Movimientos!D:D, A319, Movimientos!C:C, "Traslado", Movimientos!G:G, "G3")-SUMIFS(Movimientos!E:E, Movimientos!D:D, A319, Movimientos!C:C, "Traslado", Movimientos!F:F, "G3")-SUMIFS(Movimientos!E:E, Movimientos!D:D, A319, Movimientos!C:C, "Egreso", Movimientos!F:F, "G3")+SUMIFS(Movimientos!E:E, Movimientos!D:D, A319, Movimientos!C:C, "Ajuste", Movimientos!F:F, "G3")),"")</f>
        <v/>
      </c>
      <c r="J319" s="6" t="str">
        <f aca="false">IFERROR(IF(A319="","",SUM(E319:I319)),"")</f>
        <v/>
      </c>
      <c r="K319" s="6" t="str">
        <f aca="false">IFERROR(IF(A319="","",SUMIFS(Movimientos!E:E, Movimientos!D:D, A319, Movimientos!C:C, "Reserva")-SUMIFS(Movimientos!E:E, Movimientos!D:D, A319, Movimientos!C:C, "Libera_Reserva")),"")</f>
        <v/>
      </c>
      <c r="L319" s="6" t="str">
        <f aca="false">IFERROR(IF(A319="","",J319-K319),"")</f>
        <v/>
      </c>
      <c r="M319" s="6" t="str">
        <f aca="false">IFERROR(IF(Productos!A319="","",Productos!G319),"")</f>
        <v/>
      </c>
      <c r="N319" s="6" t="str">
        <f aca="false">IFERROR(IF(A319="","",IF(L319&lt;M319,"BAJO STOCK","OK")),"")</f>
        <v/>
      </c>
    </row>
    <row r="320" customFormat="false" ht="15" hidden="false" customHeight="false" outlineLevel="0" collapsed="false">
      <c r="A320" s="0" t="str">
        <f aca="false">IFERROR(IF(Productos!A320="","",Productos!A320),"")</f>
        <v/>
      </c>
      <c r="B320" s="0" t="str">
        <f aca="false">IFERROR(IF(Productos!A320="","",Productos!B320),"")</f>
        <v/>
      </c>
      <c r="C320" s="0" t="str">
        <f aca="false">IFERROR(IF(Productos!A320="","",Productos!C320),"")</f>
        <v/>
      </c>
      <c r="D320" s="0" t="str">
        <f aca="false">IFERROR(IF(Productos!A320="","",Productos!E320),"")</f>
        <v/>
      </c>
      <c r="E320" s="6" t="str">
        <f aca="false">IFERROR(IF(A320="","",SUMIFS(Movimientos!E:E, Movimientos!D:D, A320, Movimientos!C:C, "Ingreso", Movimientos!G:G, "TIN")+SUMIFS(Movimientos!E:E, Movimientos!D:D, A320, Movimientos!C:C, "Traslado", Movimientos!G:G, "TIN")-SUMIFS(Movimientos!E:E, Movimientos!D:D, A320, Movimientos!C:C, "Traslado", Movimientos!F:F, "TIN")-SUMIFS(Movimientos!E:E, Movimientos!D:D, A320, Movimientos!C:C, "Egreso", Movimientos!F:F, "TIN")+SUMIFS(Movimientos!E:E, Movimientos!D:D, A320, Movimientos!C:C, "Ajuste", Movimientos!F:F, "TIN")),"")</f>
        <v/>
      </c>
      <c r="F320" s="6" t="str">
        <f aca="false">IFERROR(IF(A320="","",SUMIFS(Movimientos!E:E, Movimientos!D:D, A320, Movimientos!C:C, "Ingreso", Movimientos!G:G, "G1000")+SUMIFS(Movimientos!E:E, Movimientos!D:D, A320, Movimientos!C:C, "Traslado", Movimientos!G:G, "G1000")-SUMIFS(Movimientos!E:E, Movimientos!D:D, A320, Movimientos!C:C, "Traslado", Movimientos!F:F, "G1000")-SUMIFS(Movimientos!E:E, Movimientos!D:D, A320, Movimientos!C:C, "Egreso", Movimientos!F:F, "G1000")+SUMIFS(Movimientos!E:E, Movimientos!D:D, A320, Movimientos!C:C, "Ajuste", Movimientos!F:F, "G1000")),"")</f>
        <v/>
      </c>
      <c r="G320" s="6" t="str">
        <f aca="false">IFERROR(IF(A320="","",SUMIFS(Movimientos!E:E, Movimientos!D:D, A320, Movimientos!C:C, "Ingreso", Movimientos!G:G, "G710")+SUMIFS(Movimientos!E:E, Movimientos!D:D, A320, Movimientos!C:C, "Traslado", Movimientos!G:G, "G710")-SUMIFS(Movimientos!E:E, Movimientos!D:D, A320, Movimientos!C:C, "Traslado", Movimientos!F:F, "G710")-SUMIFS(Movimientos!E:E, Movimientos!D:D, A320, Movimientos!C:C, "Egreso", Movimientos!F:F, "G710")+SUMIFS(Movimientos!E:E, Movimientos!D:D, A320, Movimientos!C:C, "Ajuste", Movimientos!F:F, "G710")),"")</f>
        <v/>
      </c>
      <c r="H320" s="6" t="str">
        <f aca="false">IFERROR(IF(A320="","",SUMIFS(Movimientos!E:E, Movimientos!D:D, A320, Movimientos!C:C, "Ingreso", Movimientos!G:G, "G5000")+SUMIFS(Movimientos!E:E, Movimientos!D:D, A320, Movimientos!C:C, "Traslado", Movimientos!G:G, "G5000")-SUMIFS(Movimientos!E:E, Movimientos!D:D, A320, Movimientos!C:C, "Traslado", Movimientos!F:F, "G5000")-SUMIFS(Movimientos!E:E, Movimientos!D:D, A320, Movimientos!C:C, "Egreso", Movimientos!F:F, "G5000")+SUMIFS(Movimientos!E:E, Movimientos!D:D, A320, Movimientos!C:C, "Ajuste", Movimientos!F:F, "G5000")),"")</f>
        <v/>
      </c>
      <c r="I320" s="6" t="str">
        <f aca="false">IFERROR(IF(A320="","",SUMIFS(Movimientos!E:E, Movimientos!D:D, A320, Movimientos!C:C, "Ingreso", Movimientos!G:G, "G3")+SUMIFS(Movimientos!E:E, Movimientos!D:D, A320, Movimientos!C:C, "Traslado", Movimientos!G:G, "G3")-SUMIFS(Movimientos!E:E, Movimientos!D:D, A320, Movimientos!C:C, "Traslado", Movimientos!F:F, "G3")-SUMIFS(Movimientos!E:E, Movimientos!D:D, A320, Movimientos!C:C, "Egreso", Movimientos!F:F, "G3")+SUMIFS(Movimientos!E:E, Movimientos!D:D, A320, Movimientos!C:C, "Ajuste", Movimientos!F:F, "G3")),"")</f>
        <v/>
      </c>
      <c r="J320" s="6" t="str">
        <f aca="false">IFERROR(IF(A320="","",SUM(E320:I320)),"")</f>
        <v/>
      </c>
      <c r="K320" s="6" t="str">
        <f aca="false">IFERROR(IF(A320="","",SUMIFS(Movimientos!E:E, Movimientos!D:D, A320, Movimientos!C:C, "Reserva")-SUMIFS(Movimientos!E:E, Movimientos!D:D, A320, Movimientos!C:C, "Libera_Reserva")),"")</f>
        <v/>
      </c>
      <c r="L320" s="6" t="str">
        <f aca="false">IFERROR(IF(A320="","",J320-K320),"")</f>
        <v/>
      </c>
      <c r="M320" s="6" t="str">
        <f aca="false">IFERROR(IF(Productos!A320="","",Productos!G320),"")</f>
        <v/>
      </c>
      <c r="N320" s="6" t="str">
        <f aca="false">IFERROR(IF(A320="","",IF(L320&lt;M320,"BAJO STOCK","OK")),"")</f>
        <v/>
      </c>
    </row>
    <row r="321" customFormat="false" ht="15" hidden="false" customHeight="false" outlineLevel="0" collapsed="false">
      <c r="A321" s="0" t="str">
        <f aca="false">IFERROR(IF(Productos!A321="","",Productos!A321),"")</f>
        <v/>
      </c>
      <c r="B321" s="0" t="str">
        <f aca="false">IFERROR(IF(Productos!A321="","",Productos!B321),"")</f>
        <v/>
      </c>
      <c r="C321" s="0" t="str">
        <f aca="false">IFERROR(IF(Productos!A321="","",Productos!C321),"")</f>
        <v/>
      </c>
      <c r="D321" s="0" t="str">
        <f aca="false">IFERROR(IF(Productos!A321="","",Productos!E321),"")</f>
        <v/>
      </c>
      <c r="E321" s="6" t="str">
        <f aca="false">IFERROR(IF(A321="","",SUMIFS(Movimientos!E:E, Movimientos!D:D, A321, Movimientos!C:C, "Ingreso", Movimientos!G:G, "TIN")+SUMIFS(Movimientos!E:E, Movimientos!D:D, A321, Movimientos!C:C, "Traslado", Movimientos!G:G, "TIN")-SUMIFS(Movimientos!E:E, Movimientos!D:D, A321, Movimientos!C:C, "Traslado", Movimientos!F:F, "TIN")-SUMIFS(Movimientos!E:E, Movimientos!D:D, A321, Movimientos!C:C, "Egreso", Movimientos!F:F, "TIN")+SUMIFS(Movimientos!E:E, Movimientos!D:D, A321, Movimientos!C:C, "Ajuste", Movimientos!F:F, "TIN")),"")</f>
        <v/>
      </c>
      <c r="F321" s="6" t="str">
        <f aca="false">IFERROR(IF(A321="","",SUMIFS(Movimientos!E:E, Movimientos!D:D, A321, Movimientos!C:C, "Ingreso", Movimientos!G:G, "G1000")+SUMIFS(Movimientos!E:E, Movimientos!D:D, A321, Movimientos!C:C, "Traslado", Movimientos!G:G, "G1000")-SUMIFS(Movimientos!E:E, Movimientos!D:D, A321, Movimientos!C:C, "Traslado", Movimientos!F:F, "G1000")-SUMIFS(Movimientos!E:E, Movimientos!D:D, A321, Movimientos!C:C, "Egreso", Movimientos!F:F, "G1000")+SUMIFS(Movimientos!E:E, Movimientos!D:D, A321, Movimientos!C:C, "Ajuste", Movimientos!F:F, "G1000")),"")</f>
        <v/>
      </c>
      <c r="G321" s="6" t="str">
        <f aca="false">IFERROR(IF(A321="","",SUMIFS(Movimientos!E:E, Movimientos!D:D, A321, Movimientos!C:C, "Ingreso", Movimientos!G:G, "G710")+SUMIFS(Movimientos!E:E, Movimientos!D:D, A321, Movimientos!C:C, "Traslado", Movimientos!G:G, "G710")-SUMIFS(Movimientos!E:E, Movimientos!D:D, A321, Movimientos!C:C, "Traslado", Movimientos!F:F, "G710")-SUMIFS(Movimientos!E:E, Movimientos!D:D, A321, Movimientos!C:C, "Egreso", Movimientos!F:F, "G710")+SUMIFS(Movimientos!E:E, Movimientos!D:D, A321, Movimientos!C:C, "Ajuste", Movimientos!F:F, "G710")),"")</f>
        <v/>
      </c>
      <c r="H321" s="6" t="str">
        <f aca="false">IFERROR(IF(A321="","",SUMIFS(Movimientos!E:E, Movimientos!D:D, A321, Movimientos!C:C, "Ingreso", Movimientos!G:G, "G5000")+SUMIFS(Movimientos!E:E, Movimientos!D:D, A321, Movimientos!C:C, "Traslado", Movimientos!G:G, "G5000")-SUMIFS(Movimientos!E:E, Movimientos!D:D, A321, Movimientos!C:C, "Traslado", Movimientos!F:F, "G5000")-SUMIFS(Movimientos!E:E, Movimientos!D:D, A321, Movimientos!C:C, "Egreso", Movimientos!F:F, "G5000")+SUMIFS(Movimientos!E:E, Movimientos!D:D, A321, Movimientos!C:C, "Ajuste", Movimientos!F:F, "G5000")),"")</f>
        <v/>
      </c>
      <c r="I321" s="6" t="str">
        <f aca="false">IFERROR(IF(A321="","",SUMIFS(Movimientos!E:E, Movimientos!D:D, A321, Movimientos!C:C, "Ingreso", Movimientos!G:G, "G3")+SUMIFS(Movimientos!E:E, Movimientos!D:D, A321, Movimientos!C:C, "Traslado", Movimientos!G:G, "G3")-SUMIFS(Movimientos!E:E, Movimientos!D:D, A321, Movimientos!C:C, "Traslado", Movimientos!F:F, "G3")-SUMIFS(Movimientos!E:E, Movimientos!D:D, A321, Movimientos!C:C, "Egreso", Movimientos!F:F, "G3")+SUMIFS(Movimientos!E:E, Movimientos!D:D, A321, Movimientos!C:C, "Ajuste", Movimientos!F:F, "G3")),"")</f>
        <v/>
      </c>
      <c r="J321" s="6" t="str">
        <f aca="false">IFERROR(IF(A321="","",SUM(E321:I321)),"")</f>
        <v/>
      </c>
      <c r="K321" s="6" t="str">
        <f aca="false">IFERROR(IF(A321="","",SUMIFS(Movimientos!E:E, Movimientos!D:D, A321, Movimientos!C:C, "Reserva")-SUMIFS(Movimientos!E:E, Movimientos!D:D, A321, Movimientos!C:C, "Libera_Reserva")),"")</f>
        <v/>
      </c>
      <c r="L321" s="6" t="str">
        <f aca="false">IFERROR(IF(A321="","",J321-K321),"")</f>
        <v/>
      </c>
      <c r="M321" s="6" t="str">
        <f aca="false">IFERROR(IF(Productos!A321="","",Productos!G321),"")</f>
        <v/>
      </c>
      <c r="N321" s="6" t="str">
        <f aca="false">IFERROR(IF(A321="","",IF(L321&lt;M321,"BAJO STOCK","OK")),"")</f>
        <v/>
      </c>
    </row>
    <row r="322" customFormat="false" ht="15" hidden="false" customHeight="false" outlineLevel="0" collapsed="false">
      <c r="A322" s="0" t="str">
        <f aca="false">IFERROR(IF(Productos!A322="","",Productos!A322),"")</f>
        <v/>
      </c>
      <c r="B322" s="0" t="str">
        <f aca="false">IFERROR(IF(Productos!A322="","",Productos!B322),"")</f>
        <v/>
      </c>
      <c r="C322" s="0" t="str">
        <f aca="false">IFERROR(IF(Productos!A322="","",Productos!C322),"")</f>
        <v/>
      </c>
      <c r="D322" s="0" t="str">
        <f aca="false">IFERROR(IF(Productos!A322="","",Productos!E322),"")</f>
        <v/>
      </c>
      <c r="E322" s="6" t="str">
        <f aca="false">IFERROR(IF(A322="","",SUMIFS(Movimientos!E:E, Movimientos!D:D, A322, Movimientos!C:C, "Ingreso", Movimientos!G:G, "TIN")+SUMIFS(Movimientos!E:E, Movimientos!D:D, A322, Movimientos!C:C, "Traslado", Movimientos!G:G, "TIN")-SUMIFS(Movimientos!E:E, Movimientos!D:D, A322, Movimientos!C:C, "Traslado", Movimientos!F:F, "TIN")-SUMIFS(Movimientos!E:E, Movimientos!D:D, A322, Movimientos!C:C, "Egreso", Movimientos!F:F, "TIN")+SUMIFS(Movimientos!E:E, Movimientos!D:D, A322, Movimientos!C:C, "Ajuste", Movimientos!F:F, "TIN")),"")</f>
        <v/>
      </c>
      <c r="F322" s="6" t="str">
        <f aca="false">IFERROR(IF(A322="","",SUMIFS(Movimientos!E:E, Movimientos!D:D, A322, Movimientos!C:C, "Ingreso", Movimientos!G:G, "G1000")+SUMIFS(Movimientos!E:E, Movimientos!D:D, A322, Movimientos!C:C, "Traslado", Movimientos!G:G, "G1000")-SUMIFS(Movimientos!E:E, Movimientos!D:D, A322, Movimientos!C:C, "Traslado", Movimientos!F:F, "G1000")-SUMIFS(Movimientos!E:E, Movimientos!D:D, A322, Movimientos!C:C, "Egreso", Movimientos!F:F, "G1000")+SUMIFS(Movimientos!E:E, Movimientos!D:D, A322, Movimientos!C:C, "Ajuste", Movimientos!F:F, "G1000")),"")</f>
        <v/>
      </c>
      <c r="G322" s="6" t="str">
        <f aca="false">IFERROR(IF(A322="","",SUMIFS(Movimientos!E:E, Movimientos!D:D, A322, Movimientos!C:C, "Ingreso", Movimientos!G:G, "G710")+SUMIFS(Movimientos!E:E, Movimientos!D:D, A322, Movimientos!C:C, "Traslado", Movimientos!G:G, "G710")-SUMIFS(Movimientos!E:E, Movimientos!D:D, A322, Movimientos!C:C, "Traslado", Movimientos!F:F, "G710")-SUMIFS(Movimientos!E:E, Movimientos!D:D, A322, Movimientos!C:C, "Egreso", Movimientos!F:F, "G710")+SUMIFS(Movimientos!E:E, Movimientos!D:D, A322, Movimientos!C:C, "Ajuste", Movimientos!F:F, "G710")),"")</f>
        <v/>
      </c>
      <c r="H322" s="6" t="str">
        <f aca="false">IFERROR(IF(A322="","",SUMIFS(Movimientos!E:E, Movimientos!D:D, A322, Movimientos!C:C, "Ingreso", Movimientos!G:G, "G5000")+SUMIFS(Movimientos!E:E, Movimientos!D:D, A322, Movimientos!C:C, "Traslado", Movimientos!G:G, "G5000")-SUMIFS(Movimientos!E:E, Movimientos!D:D, A322, Movimientos!C:C, "Traslado", Movimientos!F:F, "G5000")-SUMIFS(Movimientos!E:E, Movimientos!D:D, A322, Movimientos!C:C, "Egreso", Movimientos!F:F, "G5000")+SUMIFS(Movimientos!E:E, Movimientos!D:D, A322, Movimientos!C:C, "Ajuste", Movimientos!F:F, "G5000")),"")</f>
        <v/>
      </c>
      <c r="I322" s="6" t="str">
        <f aca="false">IFERROR(IF(A322="","",SUMIFS(Movimientos!E:E, Movimientos!D:D, A322, Movimientos!C:C, "Ingreso", Movimientos!G:G, "G3")+SUMIFS(Movimientos!E:E, Movimientos!D:D, A322, Movimientos!C:C, "Traslado", Movimientos!G:G, "G3")-SUMIFS(Movimientos!E:E, Movimientos!D:D, A322, Movimientos!C:C, "Traslado", Movimientos!F:F, "G3")-SUMIFS(Movimientos!E:E, Movimientos!D:D, A322, Movimientos!C:C, "Egreso", Movimientos!F:F, "G3")+SUMIFS(Movimientos!E:E, Movimientos!D:D, A322, Movimientos!C:C, "Ajuste", Movimientos!F:F, "G3")),"")</f>
        <v/>
      </c>
      <c r="J322" s="6" t="str">
        <f aca="false">IFERROR(IF(A322="","",SUM(E322:I322)),"")</f>
        <v/>
      </c>
      <c r="K322" s="6" t="str">
        <f aca="false">IFERROR(IF(A322="","",SUMIFS(Movimientos!E:E, Movimientos!D:D, A322, Movimientos!C:C, "Reserva")-SUMIFS(Movimientos!E:E, Movimientos!D:D, A322, Movimientos!C:C, "Libera_Reserva")),"")</f>
        <v/>
      </c>
      <c r="L322" s="6" t="str">
        <f aca="false">IFERROR(IF(A322="","",J322-K322),"")</f>
        <v/>
      </c>
      <c r="M322" s="6" t="str">
        <f aca="false">IFERROR(IF(Productos!A322="","",Productos!G322),"")</f>
        <v/>
      </c>
      <c r="N322" s="6" t="str">
        <f aca="false">IFERROR(IF(A322="","",IF(L322&lt;M322,"BAJO STOCK","OK")),"")</f>
        <v/>
      </c>
    </row>
    <row r="323" customFormat="false" ht="15" hidden="false" customHeight="false" outlineLevel="0" collapsed="false">
      <c r="A323" s="0" t="str">
        <f aca="false">IFERROR(IF(Productos!A323="","",Productos!A323),"")</f>
        <v/>
      </c>
      <c r="B323" s="0" t="str">
        <f aca="false">IFERROR(IF(Productos!A323="","",Productos!B323),"")</f>
        <v/>
      </c>
      <c r="C323" s="0" t="str">
        <f aca="false">IFERROR(IF(Productos!A323="","",Productos!C323),"")</f>
        <v/>
      </c>
      <c r="D323" s="0" t="str">
        <f aca="false">IFERROR(IF(Productos!A323="","",Productos!E323),"")</f>
        <v/>
      </c>
      <c r="E323" s="6" t="str">
        <f aca="false">IFERROR(IF(A323="","",SUMIFS(Movimientos!E:E, Movimientos!D:D, A323, Movimientos!C:C, "Ingreso", Movimientos!G:G, "TIN")+SUMIFS(Movimientos!E:E, Movimientos!D:D, A323, Movimientos!C:C, "Traslado", Movimientos!G:G, "TIN")-SUMIFS(Movimientos!E:E, Movimientos!D:D, A323, Movimientos!C:C, "Traslado", Movimientos!F:F, "TIN")-SUMIFS(Movimientos!E:E, Movimientos!D:D, A323, Movimientos!C:C, "Egreso", Movimientos!F:F, "TIN")+SUMIFS(Movimientos!E:E, Movimientos!D:D, A323, Movimientos!C:C, "Ajuste", Movimientos!F:F, "TIN")),"")</f>
        <v/>
      </c>
      <c r="F323" s="6" t="str">
        <f aca="false">IFERROR(IF(A323="","",SUMIFS(Movimientos!E:E, Movimientos!D:D, A323, Movimientos!C:C, "Ingreso", Movimientos!G:G, "G1000")+SUMIFS(Movimientos!E:E, Movimientos!D:D, A323, Movimientos!C:C, "Traslado", Movimientos!G:G, "G1000")-SUMIFS(Movimientos!E:E, Movimientos!D:D, A323, Movimientos!C:C, "Traslado", Movimientos!F:F, "G1000")-SUMIFS(Movimientos!E:E, Movimientos!D:D, A323, Movimientos!C:C, "Egreso", Movimientos!F:F, "G1000")+SUMIFS(Movimientos!E:E, Movimientos!D:D, A323, Movimientos!C:C, "Ajuste", Movimientos!F:F, "G1000")),"")</f>
        <v/>
      </c>
      <c r="G323" s="6" t="str">
        <f aca="false">IFERROR(IF(A323="","",SUMIFS(Movimientos!E:E, Movimientos!D:D, A323, Movimientos!C:C, "Ingreso", Movimientos!G:G, "G710")+SUMIFS(Movimientos!E:E, Movimientos!D:D, A323, Movimientos!C:C, "Traslado", Movimientos!G:G, "G710")-SUMIFS(Movimientos!E:E, Movimientos!D:D, A323, Movimientos!C:C, "Traslado", Movimientos!F:F, "G710")-SUMIFS(Movimientos!E:E, Movimientos!D:D, A323, Movimientos!C:C, "Egreso", Movimientos!F:F, "G710")+SUMIFS(Movimientos!E:E, Movimientos!D:D, A323, Movimientos!C:C, "Ajuste", Movimientos!F:F, "G710")),"")</f>
        <v/>
      </c>
      <c r="H323" s="6" t="str">
        <f aca="false">IFERROR(IF(A323="","",SUMIFS(Movimientos!E:E, Movimientos!D:D, A323, Movimientos!C:C, "Ingreso", Movimientos!G:G, "G5000")+SUMIFS(Movimientos!E:E, Movimientos!D:D, A323, Movimientos!C:C, "Traslado", Movimientos!G:G, "G5000")-SUMIFS(Movimientos!E:E, Movimientos!D:D, A323, Movimientos!C:C, "Traslado", Movimientos!F:F, "G5000")-SUMIFS(Movimientos!E:E, Movimientos!D:D, A323, Movimientos!C:C, "Egreso", Movimientos!F:F, "G5000")+SUMIFS(Movimientos!E:E, Movimientos!D:D, A323, Movimientos!C:C, "Ajuste", Movimientos!F:F, "G5000")),"")</f>
        <v/>
      </c>
      <c r="I323" s="6" t="str">
        <f aca="false">IFERROR(IF(A323="","",SUMIFS(Movimientos!E:E, Movimientos!D:D, A323, Movimientos!C:C, "Ingreso", Movimientos!G:G, "G3")+SUMIFS(Movimientos!E:E, Movimientos!D:D, A323, Movimientos!C:C, "Traslado", Movimientos!G:G, "G3")-SUMIFS(Movimientos!E:E, Movimientos!D:D, A323, Movimientos!C:C, "Traslado", Movimientos!F:F, "G3")-SUMIFS(Movimientos!E:E, Movimientos!D:D, A323, Movimientos!C:C, "Egreso", Movimientos!F:F, "G3")+SUMIFS(Movimientos!E:E, Movimientos!D:D, A323, Movimientos!C:C, "Ajuste", Movimientos!F:F, "G3")),"")</f>
        <v/>
      </c>
      <c r="J323" s="6" t="str">
        <f aca="false">IFERROR(IF(A323="","",SUM(E323:I323)),"")</f>
        <v/>
      </c>
      <c r="K323" s="6" t="str">
        <f aca="false">IFERROR(IF(A323="","",SUMIFS(Movimientos!E:E, Movimientos!D:D, A323, Movimientos!C:C, "Reserva")-SUMIFS(Movimientos!E:E, Movimientos!D:D, A323, Movimientos!C:C, "Libera_Reserva")),"")</f>
        <v/>
      </c>
      <c r="L323" s="6" t="str">
        <f aca="false">IFERROR(IF(A323="","",J323-K323),"")</f>
        <v/>
      </c>
      <c r="M323" s="6" t="str">
        <f aca="false">IFERROR(IF(Productos!A323="","",Productos!G323),"")</f>
        <v/>
      </c>
      <c r="N323" s="6" t="str">
        <f aca="false">IFERROR(IF(A323="","",IF(L323&lt;M323,"BAJO STOCK","OK")),"")</f>
        <v/>
      </c>
    </row>
    <row r="324" customFormat="false" ht="15" hidden="false" customHeight="false" outlineLevel="0" collapsed="false">
      <c r="A324" s="0" t="str">
        <f aca="false">IFERROR(IF(Productos!A324="","",Productos!A324),"")</f>
        <v/>
      </c>
      <c r="B324" s="0" t="str">
        <f aca="false">IFERROR(IF(Productos!A324="","",Productos!B324),"")</f>
        <v/>
      </c>
      <c r="C324" s="0" t="str">
        <f aca="false">IFERROR(IF(Productos!A324="","",Productos!C324),"")</f>
        <v/>
      </c>
      <c r="D324" s="0" t="str">
        <f aca="false">IFERROR(IF(Productos!A324="","",Productos!E324),"")</f>
        <v/>
      </c>
      <c r="E324" s="6" t="str">
        <f aca="false">IFERROR(IF(A324="","",SUMIFS(Movimientos!E:E, Movimientos!D:D, A324, Movimientos!C:C, "Ingreso", Movimientos!G:G, "TIN")+SUMIFS(Movimientos!E:E, Movimientos!D:D, A324, Movimientos!C:C, "Traslado", Movimientos!G:G, "TIN")-SUMIFS(Movimientos!E:E, Movimientos!D:D, A324, Movimientos!C:C, "Traslado", Movimientos!F:F, "TIN")-SUMIFS(Movimientos!E:E, Movimientos!D:D, A324, Movimientos!C:C, "Egreso", Movimientos!F:F, "TIN")+SUMIFS(Movimientos!E:E, Movimientos!D:D, A324, Movimientos!C:C, "Ajuste", Movimientos!F:F, "TIN")),"")</f>
        <v/>
      </c>
      <c r="F324" s="6" t="str">
        <f aca="false">IFERROR(IF(A324="","",SUMIFS(Movimientos!E:E, Movimientos!D:D, A324, Movimientos!C:C, "Ingreso", Movimientos!G:G, "G1000")+SUMIFS(Movimientos!E:E, Movimientos!D:D, A324, Movimientos!C:C, "Traslado", Movimientos!G:G, "G1000")-SUMIFS(Movimientos!E:E, Movimientos!D:D, A324, Movimientos!C:C, "Traslado", Movimientos!F:F, "G1000")-SUMIFS(Movimientos!E:E, Movimientos!D:D, A324, Movimientos!C:C, "Egreso", Movimientos!F:F, "G1000")+SUMIFS(Movimientos!E:E, Movimientos!D:D, A324, Movimientos!C:C, "Ajuste", Movimientos!F:F, "G1000")),"")</f>
        <v/>
      </c>
      <c r="G324" s="6" t="str">
        <f aca="false">IFERROR(IF(A324="","",SUMIFS(Movimientos!E:E, Movimientos!D:D, A324, Movimientos!C:C, "Ingreso", Movimientos!G:G, "G710")+SUMIFS(Movimientos!E:E, Movimientos!D:D, A324, Movimientos!C:C, "Traslado", Movimientos!G:G, "G710")-SUMIFS(Movimientos!E:E, Movimientos!D:D, A324, Movimientos!C:C, "Traslado", Movimientos!F:F, "G710")-SUMIFS(Movimientos!E:E, Movimientos!D:D, A324, Movimientos!C:C, "Egreso", Movimientos!F:F, "G710")+SUMIFS(Movimientos!E:E, Movimientos!D:D, A324, Movimientos!C:C, "Ajuste", Movimientos!F:F, "G710")),"")</f>
        <v/>
      </c>
      <c r="H324" s="6" t="str">
        <f aca="false">IFERROR(IF(A324="","",SUMIFS(Movimientos!E:E, Movimientos!D:D, A324, Movimientos!C:C, "Ingreso", Movimientos!G:G, "G5000")+SUMIFS(Movimientos!E:E, Movimientos!D:D, A324, Movimientos!C:C, "Traslado", Movimientos!G:G, "G5000")-SUMIFS(Movimientos!E:E, Movimientos!D:D, A324, Movimientos!C:C, "Traslado", Movimientos!F:F, "G5000")-SUMIFS(Movimientos!E:E, Movimientos!D:D, A324, Movimientos!C:C, "Egreso", Movimientos!F:F, "G5000")+SUMIFS(Movimientos!E:E, Movimientos!D:D, A324, Movimientos!C:C, "Ajuste", Movimientos!F:F, "G5000")),"")</f>
        <v/>
      </c>
      <c r="I324" s="6" t="str">
        <f aca="false">IFERROR(IF(A324="","",SUMIFS(Movimientos!E:E, Movimientos!D:D, A324, Movimientos!C:C, "Ingreso", Movimientos!G:G, "G3")+SUMIFS(Movimientos!E:E, Movimientos!D:D, A324, Movimientos!C:C, "Traslado", Movimientos!G:G, "G3")-SUMIFS(Movimientos!E:E, Movimientos!D:D, A324, Movimientos!C:C, "Traslado", Movimientos!F:F, "G3")-SUMIFS(Movimientos!E:E, Movimientos!D:D, A324, Movimientos!C:C, "Egreso", Movimientos!F:F, "G3")+SUMIFS(Movimientos!E:E, Movimientos!D:D, A324, Movimientos!C:C, "Ajuste", Movimientos!F:F, "G3")),"")</f>
        <v/>
      </c>
      <c r="J324" s="6" t="str">
        <f aca="false">IFERROR(IF(A324="","",SUM(E324:I324)),"")</f>
        <v/>
      </c>
      <c r="K324" s="6" t="str">
        <f aca="false">IFERROR(IF(A324="","",SUMIFS(Movimientos!E:E, Movimientos!D:D, A324, Movimientos!C:C, "Reserva")-SUMIFS(Movimientos!E:E, Movimientos!D:D, A324, Movimientos!C:C, "Libera_Reserva")),"")</f>
        <v/>
      </c>
      <c r="L324" s="6" t="str">
        <f aca="false">IFERROR(IF(A324="","",J324-K324),"")</f>
        <v/>
      </c>
      <c r="M324" s="6" t="str">
        <f aca="false">IFERROR(IF(Productos!A324="","",Productos!G324),"")</f>
        <v/>
      </c>
      <c r="N324" s="6" t="str">
        <f aca="false">IFERROR(IF(A324="","",IF(L324&lt;M324,"BAJO STOCK","OK")),"")</f>
        <v/>
      </c>
    </row>
    <row r="325" customFormat="false" ht="15" hidden="false" customHeight="false" outlineLevel="0" collapsed="false">
      <c r="A325" s="0" t="str">
        <f aca="false">IFERROR(IF(Productos!A325="","",Productos!A325),"")</f>
        <v/>
      </c>
      <c r="B325" s="0" t="str">
        <f aca="false">IFERROR(IF(Productos!A325="","",Productos!B325),"")</f>
        <v/>
      </c>
      <c r="C325" s="0" t="str">
        <f aca="false">IFERROR(IF(Productos!A325="","",Productos!C325),"")</f>
        <v/>
      </c>
      <c r="D325" s="0" t="str">
        <f aca="false">IFERROR(IF(Productos!A325="","",Productos!E325),"")</f>
        <v/>
      </c>
      <c r="E325" s="6" t="str">
        <f aca="false">IFERROR(IF(A325="","",SUMIFS(Movimientos!E:E, Movimientos!D:D, A325, Movimientos!C:C, "Ingreso", Movimientos!G:G, "TIN")+SUMIFS(Movimientos!E:E, Movimientos!D:D, A325, Movimientos!C:C, "Traslado", Movimientos!G:G, "TIN")-SUMIFS(Movimientos!E:E, Movimientos!D:D, A325, Movimientos!C:C, "Traslado", Movimientos!F:F, "TIN")-SUMIFS(Movimientos!E:E, Movimientos!D:D, A325, Movimientos!C:C, "Egreso", Movimientos!F:F, "TIN")+SUMIFS(Movimientos!E:E, Movimientos!D:D, A325, Movimientos!C:C, "Ajuste", Movimientos!F:F, "TIN")),"")</f>
        <v/>
      </c>
      <c r="F325" s="6" t="str">
        <f aca="false">IFERROR(IF(A325="","",SUMIFS(Movimientos!E:E, Movimientos!D:D, A325, Movimientos!C:C, "Ingreso", Movimientos!G:G, "G1000")+SUMIFS(Movimientos!E:E, Movimientos!D:D, A325, Movimientos!C:C, "Traslado", Movimientos!G:G, "G1000")-SUMIFS(Movimientos!E:E, Movimientos!D:D, A325, Movimientos!C:C, "Traslado", Movimientos!F:F, "G1000")-SUMIFS(Movimientos!E:E, Movimientos!D:D, A325, Movimientos!C:C, "Egreso", Movimientos!F:F, "G1000")+SUMIFS(Movimientos!E:E, Movimientos!D:D, A325, Movimientos!C:C, "Ajuste", Movimientos!F:F, "G1000")),"")</f>
        <v/>
      </c>
      <c r="G325" s="6" t="str">
        <f aca="false">IFERROR(IF(A325="","",SUMIFS(Movimientos!E:E, Movimientos!D:D, A325, Movimientos!C:C, "Ingreso", Movimientos!G:G, "G710")+SUMIFS(Movimientos!E:E, Movimientos!D:D, A325, Movimientos!C:C, "Traslado", Movimientos!G:G, "G710")-SUMIFS(Movimientos!E:E, Movimientos!D:D, A325, Movimientos!C:C, "Traslado", Movimientos!F:F, "G710")-SUMIFS(Movimientos!E:E, Movimientos!D:D, A325, Movimientos!C:C, "Egreso", Movimientos!F:F, "G710")+SUMIFS(Movimientos!E:E, Movimientos!D:D, A325, Movimientos!C:C, "Ajuste", Movimientos!F:F, "G710")),"")</f>
        <v/>
      </c>
      <c r="H325" s="6" t="str">
        <f aca="false">IFERROR(IF(A325="","",SUMIFS(Movimientos!E:E, Movimientos!D:D, A325, Movimientos!C:C, "Ingreso", Movimientos!G:G, "G5000")+SUMIFS(Movimientos!E:E, Movimientos!D:D, A325, Movimientos!C:C, "Traslado", Movimientos!G:G, "G5000")-SUMIFS(Movimientos!E:E, Movimientos!D:D, A325, Movimientos!C:C, "Traslado", Movimientos!F:F, "G5000")-SUMIFS(Movimientos!E:E, Movimientos!D:D, A325, Movimientos!C:C, "Egreso", Movimientos!F:F, "G5000")+SUMIFS(Movimientos!E:E, Movimientos!D:D, A325, Movimientos!C:C, "Ajuste", Movimientos!F:F, "G5000")),"")</f>
        <v/>
      </c>
      <c r="I325" s="6" t="str">
        <f aca="false">IFERROR(IF(A325="","",SUMIFS(Movimientos!E:E, Movimientos!D:D, A325, Movimientos!C:C, "Ingreso", Movimientos!G:G, "G3")+SUMIFS(Movimientos!E:E, Movimientos!D:D, A325, Movimientos!C:C, "Traslado", Movimientos!G:G, "G3")-SUMIFS(Movimientos!E:E, Movimientos!D:D, A325, Movimientos!C:C, "Traslado", Movimientos!F:F, "G3")-SUMIFS(Movimientos!E:E, Movimientos!D:D, A325, Movimientos!C:C, "Egreso", Movimientos!F:F, "G3")+SUMIFS(Movimientos!E:E, Movimientos!D:D, A325, Movimientos!C:C, "Ajuste", Movimientos!F:F, "G3")),"")</f>
        <v/>
      </c>
      <c r="J325" s="6" t="str">
        <f aca="false">IFERROR(IF(A325="","",SUM(E325:I325)),"")</f>
        <v/>
      </c>
      <c r="K325" s="6" t="str">
        <f aca="false">IFERROR(IF(A325="","",SUMIFS(Movimientos!E:E, Movimientos!D:D, A325, Movimientos!C:C, "Reserva")-SUMIFS(Movimientos!E:E, Movimientos!D:D, A325, Movimientos!C:C, "Libera_Reserva")),"")</f>
        <v/>
      </c>
      <c r="L325" s="6" t="str">
        <f aca="false">IFERROR(IF(A325="","",J325-K325),"")</f>
        <v/>
      </c>
      <c r="M325" s="6" t="str">
        <f aca="false">IFERROR(IF(Productos!A325="","",Productos!G325),"")</f>
        <v/>
      </c>
      <c r="N325" s="6" t="str">
        <f aca="false">IFERROR(IF(A325="","",IF(L325&lt;M325,"BAJO STOCK","OK")),"")</f>
        <v/>
      </c>
    </row>
    <row r="326" customFormat="false" ht="15" hidden="false" customHeight="false" outlineLevel="0" collapsed="false">
      <c r="A326" s="0" t="str">
        <f aca="false">IFERROR(IF(Productos!A326="","",Productos!A326),"")</f>
        <v/>
      </c>
      <c r="B326" s="0" t="str">
        <f aca="false">IFERROR(IF(Productos!A326="","",Productos!B326),"")</f>
        <v/>
      </c>
      <c r="C326" s="0" t="str">
        <f aca="false">IFERROR(IF(Productos!A326="","",Productos!C326),"")</f>
        <v/>
      </c>
      <c r="D326" s="0" t="str">
        <f aca="false">IFERROR(IF(Productos!A326="","",Productos!E326),"")</f>
        <v/>
      </c>
      <c r="E326" s="6" t="str">
        <f aca="false">IFERROR(IF(A326="","",SUMIFS(Movimientos!E:E, Movimientos!D:D, A326, Movimientos!C:C, "Ingreso", Movimientos!G:G, "TIN")+SUMIFS(Movimientos!E:E, Movimientos!D:D, A326, Movimientos!C:C, "Traslado", Movimientos!G:G, "TIN")-SUMIFS(Movimientos!E:E, Movimientos!D:D, A326, Movimientos!C:C, "Traslado", Movimientos!F:F, "TIN")-SUMIFS(Movimientos!E:E, Movimientos!D:D, A326, Movimientos!C:C, "Egreso", Movimientos!F:F, "TIN")+SUMIFS(Movimientos!E:E, Movimientos!D:D, A326, Movimientos!C:C, "Ajuste", Movimientos!F:F, "TIN")),"")</f>
        <v/>
      </c>
      <c r="F326" s="6" t="str">
        <f aca="false">IFERROR(IF(A326="","",SUMIFS(Movimientos!E:E, Movimientos!D:D, A326, Movimientos!C:C, "Ingreso", Movimientos!G:G, "G1000")+SUMIFS(Movimientos!E:E, Movimientos!D:D, A326, Movimientos!C:C, "Traslado", Movimientos!G:G, "G1000")-SUMIFS(Movimientos!E:E, Movimientos!D:D, A326, Movimientos!C:C, "Traslado", Movimientos!F:F, "G1000")-SUMIFS(Movimientos!E:E, Movimientos!D:D, A326, Movimientos!C:C, "Egreso", Movimientos!F:F, "G1000")+SUMIFS(Movimientos!E:E, Movimientos!D:D, A326, Movimientos!C:C, "Ajuste", Movimientos!F:F, "G1000")),"")</f>
        <v/>
      </c>
      <c r="G326" s="6" t="str">
        <f aca="false">IFERROR(IF(A326="","",SUMIFS(Movimientos!E:E, Movimientos!D:D, A326, Movimientos!C:C, "Ingreso", Movimientos!G:G, "G710")+SUMIFS(Movimientos!E:E, Movimientos!D:D, A326, Movimientos!C:C, "Traslado", Movimientos!G:G, "G710")-SUMIFS(Movimientos!E:E, Movimientos!D:D, A326, Movimientos!C:C, "Traslado", Movimientos!F:F, "G710")-SUMIFS(Movimientos!E:E, Movimientos!D:D, A326, Movimientos!C:C, "Egreso", Movimientos!F:F, "G710")+SUMIFS(Movimientos!E:E, Movimientos!D:D, A326, Movimientos!C:C, "Ajuste", Movimientos!F:F, "G710")),"")</f>
        <v/>
      </c>
      <c r="H326" s="6" t="str">
        <f aca="false">IFERROR(IF(A326="","",SUMIFS(Movimientos!E:E, Movimientos!D:D, A326, Movimientos!C:C, "Ingreso", Movimientos!G:G, "G5000")+SUMIFS(Movimientos!E:E, Movimientos!D:D, A326, Movimientos!C:C, "Traslado", Movimientos!G:G, "G5000")-SUMIFS(Movimientos!E:E, Movimientos!D:D, A326, Movimientos!C:C, "Traslado", Movimientos!F:F, "G5000")-SUMIFS(Movimientos!E:E, Movimientos!D:D, A326, Movimientos!C:C, "Egreso", Movimientos!F:F, "G5000")+SUMIFS(Movimientos!E:E, Movimientos!D:D, A326, Movimientos!C:C, "Ajuste", Movimientos!F:F, "G5000")),"")</f>
        <v/>
      </c>
      <c r="I326" s="6" t="str">
        <f aca="false">IFERROR(IF(A326="","",SUMIFS(Movimientos!E:E, Movimientos!D:D, A326, Movimientos!C:C, "Ingreso", Movimientos!G:G, "G3")+SUMIFS(Movimientos!E:E, Movimientos!D:D, A326, Movimientos!C:C, "Traslado", Movimientos!G:G, "G3")-SUMIFS(Movimientos!E:E, Movimientos!D:D, A326, Movimientos!C:C, "Traslado", Movimientos!F:F, "G3")-SUMIFS(Movimientos!E:E, Movimientos!D:D, A326, Movimientos!C:C, "Egreso", Movimientos!F:F, "G3")+SUMIFS(Movimientos!E:E, Movimientos!D:D, A326, Movimientos!C:C, "Ajuste", Movimientos!F:F, "G3")),"")</f>
        <v/>
      </c>
      <c r="J326" s="6" t="str">
        <f aca="false">IFERROR(IF(A326="","",SUM(E326:I326)),"")</f>
        <v/>
      </c>
      <c r="K326" s="6" t="str">
        <f aca="false">IFERROR(IF(A326="","",SUMIFS(Movimientos!E:E, Movimientos!D:D, A326, Movimientos!C:C, "Reserva")-SUMIFS(Movimientos!E:E, Movimientos!D:D, A326, Movimientos!C:C, "Libera_Reserva")),"")</f>
        <v/>
      </c>
      <c r="L326" s="6" t="str">
        <f aca="false">IFERROR(IF(A326="","",J326-K326),"")</f>
        <v/>
      </c>
      <c r="M326" s="6" t="str">
        <f aca="false">IFERROR(IF(Productos!A326="","",Productos!G326),"")</f>
        <v/>
      </c>
      <c r="N326" s="6" t="str">
        <f aca="false">IFERROR(IF(A326="","",IF(L326&lt;M326,"BAJO STOCK","OK")),"")</f>
        <v/>
      </c>
    </row>
    <row r="327" customFormat="false" ht="15" hidden="false" customHeight="false" outlineLevel="0" collapsed="false">
      <c r="A327" s="0" t="str">
        <f aca="false">IFERROR(IF(Productos!A327="","",Productos!A327),"")</f>
        <v/>
      </c>
      <c r="B327" s="0" t="str">
        <f aca="false">IFERROR(IF(Productos!A327="","",Productos!B327),"")</f>
        <v/>
      </c>
      <c r="C327" s="0" t="str">
        <f aca="false">IFERROR(IF(Productos!A327="","",Productos!C327),"")</f>
        <v/>
      </c>
      <c r="D327" s="0" t="str">
        <f aca="false">IFERROR(IF(Productos!A327="","",Productos!E327),"")</f>
        <v/>
      </c>
      <c r="E327" s="6" t="str">
        <f aca="false">IFERROR(IF(A327="","",SUMIFS(Movimientos!E:E, Movimientos!D:D, A327, Movimientos!C:C, "Ingreso", Movimientos!G:G, "TIN")+SUMIFS(Movimientos!E:E, Movimientos!D:D, A327, Movimientos!C:C, "Traslado", Movimientos!G:G, "TIN")-SUMIFS(Movimientos!E:E, Movimientos!D:D, A327, Movimientos!C:C, "Traslado", Movimientos!F:F, "TIN")-SUMIFS(Movimientos!E:E, Movimientos!D:D, A327, Movimientos!C:C, "Egreso", Movimientos!F:F, "TIN")+SUMIFS(Movimientos!E:E, Movimientos!D:D, A327, Movimientos!C:C, "Ajuste", Movimientos!F:F, "TIN")),"")</f>
        <v/>
      </c>
      <c r="F327" s="6" t="str">
        <f aca="false">IFERROR(IF(A327="","",SUMIFS(Movimientos!E:E, Movimientos!D:D, A327, Movimientos!C:C, "Ingreso", Movimientos!G:G, "G1000")+SUMIFS(Movimientos!E:E, Movimientos!D:D, A327, Movimientos!C:C, "Traslado", Movimientos!G:G, "G1000")-SUMIFS(Movimientos!E:E, Movimientos!D:D, A327, Movimientos!C:C, "Traslado", Movimientos!F:F, "G1000")-SUMIFS(Movimientos!E:E, Movimientos!D:D, A327, Movimientos!C:C, "Egreso", Movimientos!F:F, "G1000")+SUMIFS(Movimientos!E:E, Movimientos!D:D, A327, Movimientos!C:C, "Ajuste", Movimientos!F:F, "G1000")),"")</f>
        <v/>
      </c>
      <c r="G327" s="6" t="str">
        <f aca="false">IFERROR(IF(A327="","",SUMIFS(Movimientos!E:E, Movimientos!D:D, A327, Movimientos!C:C, "Ingreso", Movimientos!G:G, "G710")+SUMIFS(Movimientos!E:E, Movimientos!D:D, A327, Movimientos!C:C, "Traslado", Movimientos!G:G, "G710")-SUMIFS(Movimientos!E:E, Movimientos!D:D, A327, Movimientos!C:C, "Traslado", Movimientos!F:F, "G710")-SUMIFS(Movimientos!E:E, Movimientos!D:D, A327, Movimientos!C:C, "Egreso", Movimientos!F:F, "G710")+SUMIFS(Movimientos!E:E, Movimientos!D:D, A327, Movimientos!C:C, "Ajuste", Movimientos!F:F, "G710")),"")</f>
        <v/>
      </c>
      <c r="H327" s="6" t="str">
        <f aca="false">IFERROR(IF(A327="","",SUMIFS(Movimientos!E:E, Movimientos!D:D, A327, Movimientos!C:C, "Ingreso", Movimientos!G:G, "G5000")+SUMIFS(Movimientos!E:E, Movimientos!D:D, A327, Movimientos!C:C, "Traslado", Movimientos!G:G, "G5000")-SUMIFS(Movimientos!E:E, Movimientos!D:D, A327, Movimientos!C:C, "Traslado", Movimientos!F:F, "G5000")-SUMIFS(Movimientos!E:E, Movimientos!D:D, A327, Movimientos!C:C, "Egreso", Movimientos!F:F, "G5000")+SUMIFS(Movimientos!E:E, Movimientos!D:D, A327, Movimientos!C:C, "Ajuste", Movimientos!F:F, "G5000")),"")</f>
        <v/>
      </c>
      <c r="I327" s="6" t="str">
        <f aca="false">IFERROR(IF(A327="","",SUMIFS(Movimientos!E:E, Movimientos!D:D, A327, Movimientos!C:C, "Ingreso", Movimientos!G:G, "G3")+SUMIFS(Movimientos!E:E, Movimientos!D:D, A327, Movimientos!C:C, "Traslado", Movimientos!G:G, "G3")-SUMIFS(Movimientos!E:E, Movimientos!D:D, A327, Movimientos!C:C, "Traslado", Movimientos!F:F, "G3")-SUMIFS(Movimientos!E:E, Movimientos!D:D, A327, Movimientos!C:C, "Egreso", Movimientos!F:F, "G3")+SUMIFS(Movimientos!E:E, Movimientos!D:D, A327, Movimientos!C:C, "Ajuste", Movimientos!F:F, "G3")),"")</f>
        <v/>
      </c>
      <c r="J327" s="6" t="str">
        <f aca="false">IFERROR(IF(A327="","",SUM(E327:I327)),"")</f>
        <v/>
      </c>
      <c r="K327" s="6" t="str">
        <f aca="false">IFERROR(IF(A327="","",SUMIFS(Movimientos!E:E, Movimientos!D:D, A327, Movimientos!C:C, "Reserva")-SUMIFS(Movimientos!E:E, Movimientos!D:D, A327, Movimientos!C:C, "Libera_Reserva")),"")</f>
        <v/>
      </c>
      <c r="L327" s="6" t="str">
        <f aca="false">IFERROR(IF(A327="","",J327-K327),"")</f>
        <v/>
      </c>
      <c r="M327" s="6" t="str">
        <f aca="false">IFERROR(IF(Productos!A327="","",Productos!G327),"")</f>
        <v/>
      </c>
      <c r="N327" s="6" t="str">
        <f aca="false">IFERROR(IF(A327="","",IF(L327&lt;M327,"BAJO STOCK","OK")),"")</f>
        <v/>
      </c>
    </row>
    <row r="328" customFormat="false" ht="15" hidden="false" customHeight="false" outlineLevel="0" collapsed="false">
      <c r="A328" s="0" t="str">
        <f aca="false">IFERROR(IF(Productos!A328="","",Productos!A328),"")</f>
        <v/>
      </c>
      <c r="B328" s="0" t="str">
        <f aca="false">IFERROR(IF(Productos!A328="","",Productos!B328),"")</f>
        <v/>
      </c>
      <c r="C328" s="0" t="str">
        <f aca="false">IFERROR(IF(Productos!A328="","",Productos!C328),"")</f>
        <v/>
      </c>
      <c r="D328" s="0" t="str">
        <f aca="false">IFERROR(IF(Productos!A328="","",Productos!E328),"")</f>
        <v/>
      </c>
      <c r="E328" s="6" t="str">
        <f aca="false">IFERROR(IF(A328="","",SUMIFS(Movimientos!E:E, Movimientos!D:D, A328, Movimientos!C:C, "Ingreso", Movimientos!G:G, "TIN")+SUMIFS(Movimientos!E:E, Movimientos!D:D, A328, Movimientos!C:C, "Traslado", Movimientos!G:G, "TIN")-SUMIFS(Movimientos!E:E, Movimientos!D:D, A328, Movimientos!C:C, "Traslado", Movimientos!F:F, "TIN")-SUMIFS(Movimientos!E:E, Movimientos!D:D, A328, Movimientos!C:C, "Egreso", Movimientos!F:F, "TIN")+SUMIFS(Movimientos!E:E, Movimientos!D:D, A328, Movimientos!C:C, "Ajuste", Movimientos!F:F, "TIN")),"")</f>
        <v/>
      </c>
      <c r="F328" s="6" t="str">
        <f aca="false">IFERROR(IF(A328="","",SUMIFS(Movimientos!E:E, Movimientos!D:D, A328, Movimientos!C:C, "Ingreso", Movimientos!G:G, "G1000")+SUMIFS(Movimientos!E:E, Movimientos!D:D, A328, Movimientos!C:C, "Traslado", Movimientos!G:G, "G1000")-SUMIFS(Movimientos!E:E, Movimientos!D:D, A328, Movimientos!C:C, "Traslado", Movimientos!F:F, "G1000")-SUMIFS(Movimientos!E:E, Movimientos!D:D, A328, Movimientos!C:C, "Egreso", Movimientos!F:F, "G1000")+SUMIFS(Movimientos!E:E, Movimientos!D:D, A328, Movimientos!C:C, "Ajuste", Movimientos!F:F, "G1000")),"")</f>
        <v/>
      </c>
      <c r="G328" s="6" t="str">
        <f aca="false">IFERROR(IF(A328="","",SUMIFS(Movimientos!E:E, Movimientos!D:D, A328, Movimientos!C:C, "Ingreso", Movimientos!G:G, "G710")+SUMIFS(Movimientos!E:E, Movimientos!D:D, A328, Movimientos!C:C, "Traslado", Movimientos!G:G, "G710")-SUMIFS(Movimientos!E:E, Movimientos!D:D, A328, Movimientos!C:C, "Traslado", Movimientos!F:F, "G710")-SUMIFS(Movimientos!E:E, Movimientos!D:D, A328, Movimientos!C:C, "Egreso", Movimientos!F:F, "G710")+SUMIFS(Movimientos!E:E, Movimientos!D:D, A328, Movimientos!C:C, "Ajuste", Movimientos!F:F, "G710")),"")</f>
        <v/>
      </c>
      <c r="H328" s="6" t="str">
        <f aca="false">IFERROR(IF(A328="","",SUMIFS(Movimientos!E:E, Movimientos!D:D, A328, Movimientos!C:C, "Ingreso", Movimientos!G:G, "G5000")+SUMIFS(Movimientos!E:E, Movimientos!D:D, A328, Movimientos!C:C, "Traslado", Movimientos!G:G, "G5000")-SUMIFS(Movimientos!E:E, Movimientos!D:D, A328, Movimientos!C:C, "Traslado", Movimientos!F:F, "G5000")-SUMIFS(Movimientos!E:E, Movimientos!D:D, A328, Movimientos!C:C, "Egreso", Movimientos!F:F, "G5000")+SUMIFS(Movimientos!E:E, Movimientos!D:D, A328, Movimientos!C:C, "Ajuste", Movimientos!F:F, "G5000")),"")</f>
        <v/>
      </c>
      <c r="I328" s="6" t="str">
        <f aca="false">IFERROR(IF(A328="","",SUMIFS(Movimientos!E:E, Movimientos!D:D, A328, Movimientos!C:C, "Ingreso", Movimientos!G:G, "G3")+SUMIFS(Movimientos!E:E, Movimientos!D:D, A328, Movimientos!C:C, "Traslado", Movimientos!G:G, "G3")-SUMIFS(Movimientos!E:E, Movimientos!D:D, A328, Movimientos!C:C, "Traslado", Movimientos!F:F, "G3")-SUMIFS(Movimientos!E:E, Movimientos!D:D, A328, Movimientos!C:C, "Egreso", Movimientos!F:F, "G3")+SUMIFS(Movimientos!E:E, Movimientos!D:D, A328, Movimientos!C:C, "Ajuste", Movimientos!F:F, "G3")),"")</f>
        <v/>
      </c>
      <c r="J328" s="6" t="str">
        <f aca="false">IFERROR(IF(A328="","",SUM(E328:I328)),"")</f>
        <v/>
      </c>
      <c r="K328" s="6" t="str">
        <f aca="false">IFERROR(IF(A328="","",SUMIFS(Movimientos!E:E, Movimientos!D:D, A328, Movimientos!C:C, "Reserva")-SUMIFS(Movimientos!E:E, Movimientos!D:D, A328, Movimientos!C:C, "Libera_Reserva")),"")</f>
        <v/>
      </c>
      <c r="L328" s="6" t="str">
        <f aca="false">IFERROR(IF(A328="","",J328-K328),"")</f>
        <v/>
      </c>
      <c r="M328" s="6" t="str">
        <f aca="false">IFERROR(IF(Productos!A328="","",Productos!G328),"")</f>
        <v/>
      </c>
      <c r="N328" s="6" t="str">
        <f aca="false">IFERROR(IF(A328="","",IF(L328&lt;M328,"BAJO STOCK","OK")),"")</f>
        <v/>
      </c>
    </row>
    <row r="329" customFormat="false" ht="15" hidden="false" customHeight="false" outlineLevel="0" collapsed="false">
      <c r="A329" s="0" t="str">
        <f aca="false">IFERROR(IF(Productos!A329="","",Productos!A329),"")</f>
        <v/>
      </c>
      <c r="B329" s="0" t="str">
        <f aca="false">IFERROR(IF(Productos!A329="","",Productos!B329),"")</f>
        <v/>
      </c>
      <c r="C329" s="0" t="str">
        <f aca="false">IFERROR(IF(Productos!A329="","",Productos!C329),"")</f>
        <v/>
      </c>
      <c r="D329" s="0" t="str">
        <f aca="false">IFERROR(IF(Productos!A329="","",Productos!E329),"")</f>
        <v/>
      </c>
      <c r="E329" s="6" t="str">
        <f aca="false">IFERROR(IF(A329="","",SUMIFS(Movimientos!E:E, Movimientos!D:D, A329, Movimientos!C:C, "Ingreso", Movimientos!G:G, "TIN")+SUMIFS(Movimientos!E:E, Movimientos!D:D, A329, Movimientos!C:C, "Traslado", Movimientos!G:G, "TIN")-SUMIFS(Movimientos!E:E, Movimientos!D:D, A329, Movimientos!C:C, "Traslado", Movimientos!F:F, "TIN")-SUMIFS(Movimientos!E:E, Movimientos!D:D, A329, Movimientos!C:C, "Egreso", Movimientos!F:F, "TIN")+SUMIFS(Movimientos!E:E, Movimientos!D:D, A329, Movimientos!C:C, "Ajuste", Movimientos!F:F, "TIN")),"")</f>
        <v/>
      </c>
      <c r="F329" s="6" t="str">
        <f aca="false">IFERROR(IF(A329="","",SUMIFS(Movimientos!E:E, Movimientos!D:D, A329, Movimientos!C:C, "Ingreso", Movimientos!G:G, "G1000")+SUMIFS(Movimientos!E:E, Movimientos!D:D, A329, Movimientos!C:C, "Traslado", Movimientos!G:G, "G1000")-SUMIFS(Movimientos!E:E, Movimientos!D:D, A329, Movimientos!C:C, "Traslado", Movimientos!F:F, "G1000")-SUMIFS(Movimientos!E:E, Movimientos!D:D, A329, Movimientos!C:C, "Egreso", Movimientos!F:F, "G1000")+SUMIFS(Movimientos!E:E, Movimientos!D:D, A329, Movimientos!C:C, "Ajuste", Movimientos!F:F, "G1000")),"")</f>
        <v/>
      </c>
      <c r="G329" s="6" t="str">
        <f aca="false">IFERROR(IF(A329="","",SUMIFS(Movimientos!E:E, Movimientos!D:D, A329, Movimientos!C:C, "Ingreso", Movimientos!G:G, "G710")+SUMIFS(Movimientos!E:E, Movimientos!D:D, A329, Movimientos!C:C, "Traslado", Movimientos!G:G, "G710")-SUMIFS(Movimientos!E:E, Movimientos!D:D, A329, Movimientos!C:C, "Traslado", Movimientos!F:F, "G710")-SUMIFS(Movimientos!E:E, Movimientos!D:D, A329, Movimientos!C:C, "Egreso", Movimientos!F:F, "G710")+SUMIFS(Movimientos!E:E, Movimientos!D:D, A329, Movimientos!C:C, "Ajuste", Movimientos!F:F, "G710")),"")</f>
        <v/>
      </c>
      <c r="H329" s="6" t="str">
        <f aca="false">IFERROR(IF(A329="","",SUMIFS(Movimientos!E:E, Movimientos!D:D, A329, Movimientos!C:C, "Ingreso", Movimientos!G:G, "G5000")+SUMIFS(Movimientos!E:E, Movimientos!D:D, A329, Movimientos!C:C, "Traslado", Movimientos!G:G, "G5000")-SUMIFS(Movimientos!E:E, Movimientos!D:D, A329, Movimientos!C:C, "Traslado", Movimientos!F:F, "G5000")-SUMIFS(Movimientos!E:E, Movimientos!D:D, A329, Movimientos!C:C, "Egreso", Movimientos!F:F, "G5000")+SUMIFS(Movimientos!E:E, Movimientos!D:D, A329, Movimientos!C:C, "Ajuste", Movimientos!F:F, "G5000")),"")</f>
        <v/>
      </c>
      <c r="I329" s="6" t="str">
        <f aca="false">IFERROR(IF(A329="","",SUMIFS(Movimientos!E:E, Movimientos!D:D, A329, Movimientos!C:C, "Ingreso", Movimientos!G:G, "G3")+SUMIFS(Movimientos!E:E, Movimientos!D:D, A329, Movimientos!C:C, "Traslado", Movimientos!G:G, "G3")-SUMIFS(Movimientos!E:E, Movimientos!D:D, A329, Movimientos!C:C, "Traslado", Movimientos!F:F, "G3")-SUMIFS(Movimientos!E:E, Movimientos!D:D, A329, Movimientos!C:C, "Egreso", Movimientos!F:F, "G3")+SUMIFS(Movimientos!E:E, Movimientos!D:D, A329, Movimientos!C:C, "Ajuste", Movimientos!F:F, "G3")),"")</f>
        <v/>
      </c>
      <c r="J329" s="6" t="str">
        <f aca="false">IFERROR(IF(A329="","",SUM(E329:I329)),"")</f>
        <v/>
      </c>
      <c r="K329" s="6" t="str">
        <f aca="false">IFERROR(IF(A329="","",SUMIFS(Movimientos!E:E, Movimientos!D:D, A329, Movimientos!C:C, "Reserva")-SUMIFS(Movimientos!E:E, Movimientos!D:D, A329, Movimientos!C:C, "Libera_Reserva")),"")</f>
        <v/>
      </c>
      <c r="L329" s="6" t="str">
        <f aca="false">IFERROR(IF(A329="","",J329-K329),"")</f>
        <v/>
      </c>
      <c r="M329" s="6" t="str">
        <f aca="false">IFERROR(IF(Productos!A329="","",Productos!G329),"")</f>
        <v/>
      </c>
      <c r="N329" s="6" t="str">
        <f aca="false">IFERROR(IF(A329="","",IF(L329&lt;M329,"BAJO STOCK","OK")),"")</f>
        <v/>
      </c>
    </row>
    <row r="330" customFormat="false" ht="15" hidden="false" customHeight="false" outlineLevel="0" collapsed="false">
      <c r="A330" s="0" t="str">
        <f aca="false">IFERROR(IF(Productos!A330="","",Productos!A330),"")</f>
        <v/>
      </c>
      <c r="B330" s="0" t="str">
        <f aca="false">IFERROR(IF(Productos!A330="","",Productos!B330),"")</f>
        <v/>
      </c>
      <c r="C330" s="0" t="str">
        <f aca="false">IFERROR(IF(Productos!A330="","",Productos!C330),"")</f>
        <v/>
      </c>
      <c r="D330" s="0" t="str">
        <f aca="false">IFERROR(IF(Productos!A330="","",Productos!E330),"")</f>
        <v/>
      </c>
      <c r="E330" s="6" t="str">
        <f aca="false">IFERROR(IF(A330="","",SUMIFS(Movimientos!E:E, Movimientos!D:D, A330, Movimientos!C:C, "Ingreso", Movimientos!G:G, "TIN")+SUMIFS(Movimientos!E:E, Movimientos!D:D, A330, Movimientos!C:C, "Traslado", Movimientos!G:G, "TIN")-SUMIFS(Movimientos!E:E, Movimientos!D:D, A330, Movimientos!C:C, "Traslado", Movimientos!F:F, "TIN")-SUMIFS(Movimientos!E:E, Movimientos!D:D, A330, Movimientos!C:C, "Egreso", Movimientos!F:F, "TIN")+SUMIFS(Movimientos!E:E, Movimientos!D:D, A330, Movimientos!C:C, "Ajuste", Movimientos!F:F, "TIN")),"")</f>
        <v/>
      </c>
      <c r="F330" s="6" t="str">
        <f aca="false">IFERROR(IF(A330="","",SUMIFS(Movimientos!E:E, Movimientos!D:D, A330, Movimientos!C:C, "Ingreso", Movimientos!G:G, "G1000")+SUMIFS(Movimientos!E:E, Movimientos!D:D, A330, Movimientos!C:C, "Traslado", Movimientos!G:G, "G1000")-SUMIFS(Movimientos!E:E, Movimientos!D:D, A330, Movimientos!C:C, "Traslado", Movimientos!F:F, "G1000")-SUMIFS(Movimientos!E:E, Movimientos!D:D, A330, Movimientos!C:C, "Egreso", Movimientos!F:F, "G1000")+SUMIFS(Movimientos!E:E, Movimientos!D:D, A330, Movimientos!C:C, "Ajuste", Movimientos!F:F, "G1000")),"")</f>
        <v/>
      </c>
      <c r="G330" s="6" t="str">
        <f aca="false">IFERROR(IF(A330="","",SUMIFS(Movimientos!E:E, Movimientos!D:D, A330, Movimientos!C:C, "Ingreso", Movimientos!G:G, "G710")+SUMIFS(Movimientos!E:E, Movimientos!D:D, A330, Movimientos!C:C, "Traslado", Movimientos!G:G, "G710")-SUMIFS(Movimientos!E:E, Movimientos!D:D, A330, Movimientos!C:C, "Traslado", Movimientos!F:F, "G710")-SUMIFS(Movimientos!E:E, Movimientos!D:D, A330, Movimientos!C:C, "Egreso", Movimientos!F:F, "G710")+SUMIFS(Movimientos!E:E, Movimientos!D:D, A330, Movimientos!C:C, "Ajuste", Movimientos!F:F, "G710")),"")</f>
        <v/>
      </c>
      <c r="H330" s="6" t="str">
        <f aca="false">IFERROR(IF(A330="","",SUMIFS(Movimientos!E:E, Movimientos!D:D, A330, Movimientos!C:C, "Ingreso", Movimientos!G:G, "G5000")+SUMIFS(Movimientos!E:E, Movimientos!D:D, A330, Movimientos!C:C, "Traslado", Movimientos!G:G, "G5000")-SUMIFS(Movimientos!E:E, Movimientos!D:D, A330, Movimientos!C:C, "Traslado", Movimientos!F:F, "G5000")-SUMIFS(Movimientos!E:E, Movimientos!D:D, A330, Movimientos!C:C, "Egreso", Movimientos!F:F, "G5000")+SUMIFS(Movimientos!E:E, Movimientos!D:D, A330, Movimientos!C:C, "Ajuste", Movimientos!F:F, "G5000")),"")</f>
        <v/>
      </c>
      <c r="I330" s="6" t="str">
        <f aca="false">IFERROR(IF(A330="","",SUMIFS(Movimientos!E:E, Movimientos!D:D, A330, Movimientos!C:C, "Ingreso", Movimientos!G:G, "G3")+SUMIFS(Movimientos!E:E, Movimientos!D:D, A330, Movimientos!C:C, "Traslado", Movimientos!G:G, "G3")-SUMIFS(Movimientos!E:E, Movimientos!D:D, A330, Movimientos!C:C, "Traslado", Movimientos!F:F, "G3")-SUMIFS(Movimientos!E:E, Movimientos!D:D, A330, Movimientos!C:C, "Egreso", Movimientos!F:F, "G3")+SUMIFS(Movimientos!E:E, Movimientos!D:D, A330, Movimientos!C:C, "Ajuste", Movimientos!F:F, "G3")),"")</f>
        <v/>
      </c>
      <c r="J330" s="6" t="str">
        <f aca="false">IFERROR(IF(A330="","",SUM(E330:I330)),"")</f>
        <v/>
      </c>
      <c r="K330" s="6" t="str">
        <f aca="false">IFERROR(IF(A330="","",SUMIFS(Movimientos!E:E, Movimientos!D:D, A330, Movimientos!C:C, "Reserva")-SUMIFS(Movimientos!E:E, Movimientos!D:D, A330, Movimientos!C:C, "Libera_Reserva")),"")</f>
        <v/>
      </c>
      <c r="L330" s="6" t="str">
        <f aca="false">IFERROR(IF(A330="","",J330-K330),"")</f>
        <v/>
      </c>
      <c r="M330" s="6" t="str">
        <f aca="false">IFERROR(IF(Productos!A330="","",Productos!G330),"")</f>
        <v/>
      </c>
      <c r="N330" s="6" t="str">
        <f aca="false">IFERROR(IF(A330="","",IF(L330&lt;M330,"BAJO STOCK","OK")),"")</f>
        <v/>
      </c>
    </row>
    <row r="331" customFormat="false" ht="15" hidden="false" customHeight="false" outlineLevel="0" collapsed="false">
      <c r="A331" s="0" t="str">
        <f aca="false">IFERROR(IF(Productos!A331="","",Productos!A331),"")</f>
        <v/>
      </c>
      <c r="B331" s="0" t="str">
        <f aca="false">IFERROR(IF(Productos!A331="","",Productos!B331),"")</f>
        <v/>
      </c>
      <c r="C331" s="0" t="str">
        <f aca="false">IFERROR(IF(Productos!A331="","",Productos!C331),"")</f>
        <v/>
      </c>
      <c r="D331" s="0" t="str">
        <f aca="false">IFERROR(IF(Productos!A331="","",Productos!E331),"")</f>
        <v/>
      </c>
      <c r="E331" s="6" t="str">
        <f aca="false">IFERROR(IF(A331="","",SUMIFS(Movimientos!E:E, Movimientos!D:D, A331, Movimientos!C:C, "Ingreso", Movimientos!G:G, "TIN")+SUMIFS(Movimientos!E:E, Movimientos!D:D, A331, Movimientos!C:C, "Traslado", Movimientos!G:G, "TIN")-SUMIFS(Movimientos!E:E, Movimientos!D:D, A331, Movimientos!C:C, "Traslado", Movimientos!F:F, "TIN")-SUMIFS(Movimientos!E:E, Movimientos!D:D, A331, Movimientos!C:C, "Egreso", Movimientos!F:F, "TIN")+SUMIFS(Movimientos!E:E, Movimientos!D:D, A331, Movimientos!C:C, "Ajuste", Movimientos!F:F, "TIN")),"")</f>
        <v/>
      </c>
      <c r="F331" s="6" t="str">
        <f aca="false">IFERROR(IF(A331="","",SUMIFS(Movimientos!E:E, Movimientos!D:D, A331, Movimientos!C:C, "Ingreso", Movimientos!G:G, "G1000")+SUMIFS(Movimientos!E:E, Movimientos!D:D, A331, Movimientos!C:C, "Traslado", Movimientos!G:G, "G1000")-SUMIFS(Movimientos!E:E, Movimientos!D:D, A331, Movimientos!C:C, "Traslado", Movimientos!F:F, "G1000")-SUMIFS(Movimientos!E:E, Movimientos!D:D, A331, Movimientos!C:C, "Egreso", Movimientos!F:F, "G1000")+SUMIFS(Movimientos!E:E, Movimientos!D:D, A331, Movimientos!C:C, "Ajuste", Movimientos!F:F, "G1000")),"")</f>
        <v/>
      </c>
      <c r="G331" s="6" t="str">
        <f aca="false">IFERROR(IF(A331="","",SUMIFS(Movimientos!E:E, Movimientos!D:D, A331, Movimientos!C:C, "Ingreso", Movimientos!G:G, "G710")+SUMIFS(Movimientos!E:E, Movimientos!D:D, A331, Movimientos!C:C, "Traslado", Movimientos!G:G, "G710")-SUMIFS(Movimientos!E:E, Movimientos!D:D, A331, Movimientos!C:C, "Traslado", Movimientos!F:F, "G710")-SUMIFS(Movimientos!E:E, Movimientos!D:D, A331, Movimientos!C:C, "Egreso", Movimientos!F:F, "G710")+SUMIFS(Movimientos!E:E, Movimientos!D:D, A331, Movimientos!C:C, "Ajuste", Movimientos!F:F, "G710")),"")</f>
        <v/>
      </c>
      <c r="H331" s="6" t="str">
        <f aca="false">IFERROR(IF(A331="","",SUMIFS(Movimientos!E:E, Movimientos!D:D, A331, Movimientos!C:C, "Ingreso", Movimientos!G:G, "G5000")+SUMIFS(Movimientos!E:E, Movimientos!D:D, A331, Movimientos!C:C, "Traslado", Movimientos!G:G, "G5000")-SUMIFS(Movimientos!E:E, Movimientos!D:D, A331, Movimientos!C:C, "Traslado", Movimientos!F:F, "G5000")-SUMIFS(Movimientos!E:E, Movimientos!D:D, A331, Movimientos!C:C, "Egreso", Movimientos!F:F, "G5000")+SUMIFS(Movimientos!E:E, Movimientos!D:D, A331, Movimientos!C:C, "Ajuste", Movimientos!F:F, "G5000")),"")</f>
        <v/>
      </c>
      <c r="I331" s="6" t="str">
        <f aca="false">IFERROR(IF(A331="","",SUMIFS(Movimientos!E:E, Movimientos!D:D, A331, Movimientos!C:C, "Ingreso", Movimientos!G:G, "G3")+SUMIFS(Movimientos!E:E, Movimientos!D:D, A331, Movimientos!C:C, "Traslado", Movimientos!G:G, "G3")-SUMIFS(Movimientos!E:E, Movimientos!D:D, A331, Movimientos!C:C, "Traslado", Movimientos!F:F, "G3")-SUMIFS(Movimientos!E:E, Movimientos!D:D, A331, Movimientos!C:C, "Egreso", Movimientos!F:F, "G3")+SUMIFS(Movimientos!E:E, Movimientos!D:D, A331, Movimientos!C:C, "Ajuste", Movimientos!F:F, "G3")),"")</f>
        <v/>
      </c>
      <c r="J331" s="6" t="str">
        <f aca="false">IFERROR(IF(A331="","",SUM(E331:I331)),"")</f>
        <v/>
      </c>
      <c r="K331" s="6" t="str">
        <f aca="false">IFERROR(IF(A331="","",SUMIFS(Movimientos!E:E, Movimientos!D:D, A331, Movimientos!C:C, "Reserva")-SUMIFS(Movimientos!E:E, Movimientos!D:D, A331, Movimientos!C:C, "Libera_Reserva")),"")</f>
        <v/>
      </c>
      <c r="L331" s="6" t="str">
        <f aca="false">IFERROR(IF(A331="","",J331-K331),"")</f>
        <v/>
      </c>
      <c r="M331" s="6" t="str">
        <f aca="false">IFERROR(IF(Productos!A331="","",Productos!G331),"")</f>
        <v/>
      </c>
      <c r="N331" s="6" t="str">
        <f aca="false">IFERROR(IF(A331="","",IF(L331&lt;M331,"BAJO STOCK","OK")),"")</f>
        <v/>
      </c>
    </row>
    <row r="332" customFormat="false" ht="15" hidden="false" customHeight="false" outlineLevel="0" collapsed="false">
      <c r="A332" s="0" t="str">
        <f aca="false">IFERROR(IF(Productos!A332="","",Productos!A332),"")</f>
        <v/>
      </c>
      <c r="B332" s="0" t="str">
        <f aca="false">IFERROR(IF(Productos!A332="","",Productos!B332),"")</f>
        <v/>
      </c>
      <c r="C332" s="0" t="str">
        <f aca="false">IFERROR(IF(Productos!A332="","",Productos!C332),"")</f>
        <v/>
      </c>
      <c r="D332" s="0" t="str">
        <f aca="false">IFERROR(IF(Productos!A332="","",Productos!E332),"")</f>
        <v/>
      </c>
      <c r="E332" s="6" t="str">
        <f aca="false">IFERROR(IF(A332="","",SUMIFS(Movimientos!E:E, Movimientos!D:D, A332, Movimientos!C:C, "Ingreso", Movimientos!G:G, "TIN")+SUMIFS(Movimientos!E:E, Movimientos!D:D, A332, Movimientos!C:C, "Traslado", Movimientos!G:G, "TIN")-SUMIFS(Movimientos!E:E, Movimientos!D:D, A332, Movimientos!C:C, "Traslado", Movimientos!F:F, "TIN")-SUMIFS(Movimientos!E:E, Movimientos!D:D, A332, Movimientos!C:C, "Egreso", Movimientos!F:F, "TIN")+SUMIFS(Movimientos!E:E, Movimientos!D:D, A332, Movimientos!C:C, "Ajuste", Movimientos!F:F, "TIN")),"")</f>
        <v/>
      </c>
      <c r="F332" s="6" t="str">
        <f aca="false">IFERROR(IF(A332="","",SUMIFS(Movimientos!E:E, Movimientos!D:D, A332, Movimientos!C:C, "Ingreso", Movimientos!G:G, "G1000")+SUMIFS(Movimientos!E:E, Movimientos!D:D, A332, Movimientos!C:C, "Traslado", Movimientos!G:G, "G1000")-SUMIFS(Movimientos!E:E, Movimientos!D:D, A332, Movimientos!C:C, "Traslado", Movimientos!F:F, "G1000")-SUMIFS(Movimientos!E:E, Movimientos!D:D, A332, Movimientos!C:C, "Egreso", Movimientos!F:F, "G1000")+SUMIFS(Movimientos!E:E, Movimientos!D:D, A332, Movimientos!C:C, "Ajuste", Movimientos!F:F, "G1000")),"")</f>
        <v/>
      </c>
      <c r="G332" s="6" t="str">
        <f aca="false">IFERROR(IF(A332="","",SUMIFS(Movimientos!E:E, Movimientos!D:D, A332, Movimientos!C:C, "Ingreso", Movimientos!G:G, "G710")+SUMIFS(Movimientos!E:E, Movimientos!D:D, A332, Movimientos!C:C, "Traslado", Movimientos!G:G, "G710")-SUMIFS(Movimientos!E:E, Movimientos!D:D, A332, Movimientos!C:C, "Traslado", Movimientos!F:F, "G710")-SUMIFS(Movimientos!E:E, Movimientos!D:D, A332, Movimientos!C:C, "Egreso", Movimientos!F:F, "G710")+SUMIFS(Movimientos!E:E, Movimientos!D:D, A332, Movimientos!C:C, "Ajuste", Movimientos!F:F, "G710")),"")</f>
        <v/>
      </c>
      <c r="H332" s="6" t="str">
        <f aca="false">IFERROR(IF(A332="","",SUMIFS(Movimientos!E:E, Movimientos!D:D, A332, Movimientos!C:C, "Ingreso", Movimientos!G:G, "G5000")+SUMIFS(Movimientos!E:E, Movimientos!D:D, A332, Movimientos!C:C, "Traslado", Movimientos!G:G, "G5000")-SUMIFS(Movimientos!E:E, Movimientos!D:D, A332, Movimientos!C:C, "Traslado", Movimientos!F:F, "G5000")-SUMIFS(Movimientos!E:E, Movimientos!D:D, A332, Movimientos!C:C, "Egreso", Movimientos!F:F, "G5000")+SUMIFS(Movimientos!E:E, Movimientos!D:D, A332, Movimientos!C:C, "Ajuste", Movimientos!F:F, "G5000")),"")</f>
        <v/>
      </c>
      <c r="I332" s="6" t="str">
        <f aca="false">IFERROR(IF(A332="","",SUMIFS(Movimientos!E:E, Movimientos!D:D, A332, Movimientos!C:C, "Ingreso", Movimientos!G:G, "G3")+SUMIFS(Movimientos!E:E, Movimientos!D:D, A332, Movimientos!C:C, "Traslado", Movimientos!G:G, "G3")-SUMIFS(Movimientos!E:E, Movimientos!D:D, A332, Movimientos!C:C, "Traslado", Movimientos!F:F, "G3")-SUMIFS(Movimientos!E:E, Movimientos!D:D, A332, Movimientos!C:C, "Egreso", Movimientos!F:F, "G3")+SUMIFS(Movimientos!E:E, Movimientos!D:D, A332, Movimientos!C:C, "Ajuste", Movimientos!F:F, "G3")),"")</f>
        <v/>
      </c>
      <c r="J332" s="6" t="str">
        <f aca="false">IFERROR(IF(A332="","",SUM(E332:I332)),"")</f>
        <v/>
      </c>
      <c r="K332" s="6" t="str">
        <f aca="false">IFERROR(IF(A332="","",SUMIFS(Movimientos!E:E, Movimientos!D:D, A332, Movimientos!C:C, "Reserva")-SUMIFS(Movimientos!E:E, Movimientos!D:D, A332, Movimientos!C:C, "Libera_Reserva")),"")</f>
        <v/>
      </c>
      <c r="L332" s="6" t="str">
        <f aca="false">IFERROR(IF(A332="","",J332-K332),"")</f>
        <v/>
      </c>
      <c r="M332" s="6" t="str">
        <f aca="false">IFERROR(IF(Productos!A332="","",Productos!G332),"")</f>
        <v/>
      </c>
      <c r="N332" s="6" t="str">
        <f aca="false">IFERROR(IF(A332="","",IF(L332&lt;M332,"BAJO STOCK","OK")),"")</f>
        <v/>
      </c>
    </row>
    <row r="333" customFormat="false" ht="15" hidden="false" customHeight="false" outlineLevel="0" collapsed="false">
      <c r="A333" s="0" t="str">
        <f aca="false">IFERROR(IF(Productos!A333="","",Productos!A333),"")</f>
        <v/>
      </c>
      <c r="B333" s="0" t="str">
        <f aca="false">IFERROR(IF(Productos!A333="","",Productos!B333),"")</f>
        <v/>
      </c>
      <c r="C333" s="0" t="str">
        <f aca="false">IFERROR(IF(Productos!A333="","",Productos!C333),"")</f>
        <v/>
      </c>
      <c r="D333" s="0" t="str">
        <f aca="false">IFERROR(IF(Productos!A333="","",Productos!E333),"")</f>
        <v/>
      </c>
      <c r="E333" s="6" t="str">
        <f aca="false">IFERROR(IF(A333="","",SUMIFS(Movimientos!E:E, Movimientos!D:D, A333, Movimientos!C:C, "Ingreso", Movimientos!G:G, "TIN")+SUMIFS(Movimientos!E:E, Movimientos!D:D, A333, Movimientos!C:C, "Traslado", Movimientos!G:G, "TIN")-SUMIFS(Movimientos!E:E, Movimientos!D:D, A333, Movimientos!C:C, "Traslado", Movimientos!F:F, "TIN")-SUMIFS(Movimientos!E:E, Movimientos!D:D, A333, Movimientos!C:C, "Egreso", Movimientos!F:F, "TIN")+SUMIFS(Movimientos!E:E, Movimientos!D:D, A333, Movimientos!C:C, "Ajuste", Movimientos!F:F, "TIN")),"")</f>
        <v/>
      </c>
      <c r="F333" s="6" t="str">
        <f aca="false">IFERROR(IF(A333="","",SUMIFS(Movimientos!E:E, Movimientos!D:D, A333, Movimientos!C:C, "Ingreso", Movimientos!G:G, "G1000")+SUMIFS(Movimientos!E:E, Movimientos!D:D, A333, Movimientos!C:C, "Traslado", Movimientos!G:G, "G1000")-SUMIFS(Movimientos!E:E, Movimientos!D:D, A333, Movimientos!C:C, "Traslado", Movimientos!F:F, "G1000")-SUMIFS(Movimientos!E:E, Movimientos!D:D, A333, Movimientos!C:C, "Egreso", Movimientos!F:F, "G1000")+SUMIFS(Movimientos!E:E, Movimientos!D:D, A333, Movimientos!C:C, "Ajuste", Movimientos!F:F, "G1000")),"")</f>
        <v/>
      </c>
      <c r="G333" s="6" t="str">
        <f aca="false">IFERROR(IF(A333="","",SUMIFS(Movimientos!E:E, Movimientos!D:D, A333, Movimientos!C:C, "Ingreso", Movimientos!G:G, "G710")+SUMIFS(Movimientos!E:E, Movimientos!D:D, A333, Movimientos!C:C, "Traslado", Movimientos!G:G, "G710")-SUMIFS(Movimientos!E:E, Movimientos!D:D, A333, Movimientos!C:C, "Traslado", Movimientos!F:F, "G710")-SUMIFS(Movimientos!E:E, Movimientos!D:D, A333, Movimientos!C:C, "Egreso", Movimientos!F:F, "G710")+SUMIFS(Movimientos!E:E, Movimientos!D:D, A333, Movimientos!C:C, "Ajuste", Movimientos!F:F, "G710")),"")</f>
        <v/>
      </c>
      <c r="H333" s="6" t="str">
        <f aca="false">IFERROR(IF(A333="","",SUMIFS(Movimientos!E:E, Movimientos!D:D, A333, Movimientos!C:C, "Ingreso", Movimientos!G:G, "G5000")+SUMIFS(Movimientos!E:E, Movimientos!D:D, A333, Movimientos!C:C, "Traslado", Movimientos!G:G, "G5000")-SUMIFS(Movimientos!E:E, Movimientos!D:D, A333, Movimientos!C:C, "Traslado", Movimientos!F:F, "G5000")-SUMIFS(Movimientos!E:E, Movimientos!D:D, A333, Movimientos!C:C, "Egreso", Movimientos!F:F, "G5000")+SUMIFS(Movimientos!E:E, Movimientos!D:D, A333, Movimientos!C:C, "Ajuste", Movimientos!F:F, "G5000")),"")</f>
        <v/>
      </c>
      <c r="I333" s="6" t="str">
        <f aca="false">IFERROR(IF(A333="","",SUMIFS(Movimientos!E:E, Movimientos!D:D, A333, Movimientos!C:C, "Ingreso", Movimientos!G:G, "G3")+SUMIFS(Movimientos!E:E, Movimientos!D:D, A333, Movimientos!C:C, "Traslado", Movimientos!G:G, "G3")-SUMIFS(Movimientos!E:E, Movimientos!D:D, A333, Movimientos!C:C, "Traslado", Movimientos!F:F, "G3")-SUMIFS(Movimientos!E:E, Movimientos!D:D, A333, Movimientos!C:C, "Egreso", Movimientos!F:F, "G3")+SUMIFS(Movimientos!E:E, Movimientos!D:D, A333, Movimientos!C:C, "Ajuste", Movimientos!F:F, "G3")),"")</f>
        <v/>
      </c>
      <c r="J333" s="6" t="str">
        <f aca="false">IFERROR(IF(A333="","",SUM(E333:I333)),"")</f>
        <v/>
      </c>
      <c r="K333" s="6" t="str">
        <f aca="false">IFERROR(IF(A333="","",SUMIFS(Movimientos!E:E, Movimientos!D:D, A333, Movimientos!C:C, "Reserva")-SUMIFS(Movimientos!E:E, Movimientos!D:D, A333, Movimientos!C:C, "Libera_Reserva")),"")</f>
        <v/>
      </c>
      <c r="L333" s="6" t="str">
        <f aca="false">IFERROR(IF(A333="","",J333-K333),"")</f>
        <v/>
      </c>
      <c r="M333" s="6" t="str">
        <f aca="false">IFERROR(IF(Productos!A333="","",Productos!G333),"")</f>
        <v/>
      </c>
      <c r="N333" s="6" t="str">
        <f aca="false">IFERROR(IF(A333="","",IF(L333&lt;M333,"BAJO STOCK","OK")),"")</f>
        <v/>
      </c>
    </row>
    <row r="334" customFormat="false" ht="15" hidden="false" customHeight="false" outlineLevel="0" collapsed="false">
      <c r="A334" s="0" t="str">
        <f aca="false">IFERROR(IF(Productos!A334="","",Productos!A334),"")</f>
        <v/>
      </c>
      <c r="B334" s="0" t="str">
        <f aca="false">IFERROR(IF(Productos!A334="","",Productos!B334),"")</f>
        <v/>
      </c>
      <c r="C334" s="0" t="str">
        <f aca="false">IFERROR(IF(Productos!A334="","",Productos!C334),"")</f>
        <v/>
      </c>
      <c r="D334" s="0" t="str">
        <f aca="false">IFERROR(IF(Productos!A334="","",Productos!E334),"")</f>
        <v/>
      </c>
      <c r="E334" s="6" t="str">
        <f aca="false">IFERROR(IF(A334="","",SUMIFS(Movimientos!E:E, Movimientos!D:D, A334, Movimientos!C:C, "Ingreso", Movimientos!G:G, "TIN")+SUMIFS(Movimientos!E:E, Movimientos!D:D, A334, Movimientos!C:C, "Traslado", Movimientos!G:G, "TIN")-SUMIFS(Movimientos!E:E, Movimientos!D:D, A334, Movimientos!C:C, "Traslado", Movimientos!F:F, "TIN")-SUMIFS(Movimientos!E:E, Movimientos!D:D, A334, Movimientos!C:C, "Egreso", Movimientos!F:F, "TIN")+SUMIFS(Movimientos!E:E, Movimientos!D:D, A334, Movimientos!C:C, "Ajuste", Movimientos!F:F, "TIN")),"")</f>
        <v/>
      </c>
      <c r="F334" s="6" t="str">
        <f aca="false">IFERROR(IF(A334="","",SUMIFS(Movimientos!E:E, Movimientos!D:D, A334, Movimientos!C:C, "Ingreso", Movimientos!G:G, "G1000")+SUMIFS(Movimientos!E:E, Movimientos!D:D, A334, Movimientos!C:C, "Traslado", Movimientos!G:G, "G1000")-SUMIFS(Movimientos!E:E, Movimientos!D:D, A334, Movimientos!C:C, "Traslado", Movimientos!F:F, "G1000")-SUMIFS(Movimientos!E:E, Movimientos!D:D, A334, Movimientos!C:C, "Egreso", Movimientos!F:F, "G1000")+SUMIFS(Movimientos!E:E, Movimientos!D:D, A334, Movimientos!C:C, "Ajuste", Movimientos!F:F, "G1000")),"")</f>
        <v/>
      </c>
      <c r="G334" s="6" t="str">
        <f aca="false">IFERROR(IF(A334="","",SUMIFS(Movimientos!E:E, Movimientos!D:D, A334, Movimientos!C:C, "Ingreso", Movimientos!G:G, "G710")+SUMIFS(Movimientos!E:E, Movimientos!D:D, A334, Movimientos!C:C, "Traslado", Movimientos!G:G, "G710")-SUMIFS(Movimientos!E:E, Movimientos!D:D, A334, Movimientos!C:C, "Traslado", Movimientos!F:F, "G710")-SUMIFS(Movimientos!E:E, Movimientos!D:D, A334, Movimientos!C:C, "Egreso", Movimientos!F:F, "G710")+SUMIFS(Movimientos!E:E, Movimientos!D:D, A334, Movimientos!C:C, "Ajuste", Movimientos!F:F, "G710")),"")</f>
        <v/>
      </c>
      <c r="H334" s="6" t="str">
        <f aca="false">IFERROR(IF(A334="","",SUMIFS(Movimientos!E:E, Movimientos!D:D, A334, Movimientos!C:C, "Ingreso", Movimientos!G:G, "G5000")+SUMIFS(Movimientos!E:E, Movimientos!D:D, A334, Movimientos!C:C, "Traslado", Movimientos!G:G, "G5000")-SUMIFS(Movimientos!E:E, Movimientos!D:D, A334, Movimientos!C:C, "Traslado", Movimientos!F:F, "G5000")-SUMIFS(Movimientos!E:E, Movimientos!D:D, A334, Movimientos!C:C, "Egreso", Movimientos!F:F, "G5000")+SUMIFS(Movimientos!E:E, Movimientos!D:D, A334, Movimientos!C:C, "Ajuste", Movimientos!F:F, "G5000")),"")</f>
        <v/>
      </c>
      <c r="I334" s="6" t="str">
        <f aca="false">IFERROR(IF(A334="","",SUMIFS(Movimientos!E:E, Movimientos!D:D, A334, Movimientos!C:C, "Ingreso", Movimientos!G:G, "G3")+SUMIFS(Movimientos!E:E, Movimientos!D:D, A334, Movimientos!C:C, "Traslado", Movimientos!G:G, "G3")-SUMIFS(Movimientos!E:E, Movimientos!D:D, A334, Movimientos!C:C, "Traslado", Movimientos!F:F, "G3")-SUMIFS(Movimientos!E:E, Movimientos!D:D, A334, Movimientos!C:C, "Egreso", Movimientos!F:F, "G3")+SUMIFS(Movimientos!E:E, Movimientos!D:D, A334, Movimientos!C:C, "Ajuste", Movimientos!F:F, "G3")),"")</f>
        <v/>
      </c>
      <c r="J334" s="6" t="str">
        <f aca="false">IFERROR(IF(A334="","",SUM(E334:I334)),"")</f>
        <v/>
      </c>
      <c r="K334" s="6" t="str">
        <f aca="false">IFERROR(IF(A334="","",SUMIFS(Movimientos!E:E, Movimientos!D:D, A334, Movimientos!C:C, "Reserva")-SUMIFS(Movimientos!E:E, Movimientos!D:D, A334, Movimientos!C:C, "Libera_Reserva")),"")</f>
        <v/>
      </c>
      <c r="L334" s="6" t="str">
        <f aca="false">IFERROR(IF(A334="","",J334-K334),"")</f>
        <v/>
      </c>
      <c r="M334" s="6" t="str">
        <f aca="false">IFERROR(IF(Productos!A334="","",Productos!G334),"")</f>
        <v/>
      </c>
      <c r="N334" s="6" t="str">
        <f aca="false">IFERROR(IF(A334="","",IF(L334&lt;M334,"BAJO STOCK","OK")),"")</f>
        <v/>
      </c>
    </row>
    <row r="335" customFormat="false" ht="15" hidden="false" customHeight="false" outlineLevel="0" collapsed="false">
      <c r="A335" s="0" t="str">
        <f aca="false">IFERROR(IF(Productos!A335="","",Productos!A335),"")</f>
        <v/>
      </c>
      <c r="B335" s="0" t="str">
        <f aca="false">IFERROR(IF(Productos!A335="","",Productos!B335),"")</f>
        <v/>
      </c>
      <c r="C335" s="0" t="str">
        <f aca="false">IFERROR(IF(Productos!A335="","",Productos!C335),"")</f>
        <v/>
      </c>
      <c r="D335" s="0" t="str">
        <f aca="false">IFERROR(IF(Productos!A335="","",Productos!E335),"")</f>
        <v/>
      </c>
      <c r="E335" s="6" t="str">
        <f aca="false">IFERROR(IF(A335="","",SUMIFS(Movimientos!E:E, Movimientos!D:D, A335, Movimientos!C:C, "Ingreso", Movimientos!G:G, "TIN")+SUMIFS(Movimientos!E:E, Movimientos!D:D, A335, Movimientos!C:C, "Traslado", Movimientos!G:G, "TIN")-SUMIFS(Movimientos!E:E, Movimientos!D:D, A335, Movimientos!C:C, "Traslado", Movimientos!F:F, "TIN")-SUMIFS(Movimientos!E:E, Movimientos!D:D, A335, Movimientos!C:C, "Egreso", Movimientos!F:F, "TIN")+SUMIFS(Movimientos!E:E, Movimientos!D:D, A335, Movimientos!C:C, "Ajuste", Movimientos!F:F, "TIN")),"")</f>
        <v/>
      </c>
      <c r="F335" s="6" t="str">
        <f aca="false">IFERROR(IF(A335="","",SUMIFS(Movimientos!E:E, Movimientos!D:D, A335, Movimientos!C:C, "Ingreso", Movimientos!G:G, "G1000")+SUMIFS(Movimientos!E:E, Movimientos!D:D, A335, Movimientos!C:C, "Traslado", Movimientos!G:G, "G1000")-SUMIFS(Movimientos!E:E, Movimientos!D:D, A335, Movimientos!C:C, "Traslado", Movimientos!F:F, "G1000")-SUMIFS(Movimientos!E:E, Movimientos!D:D, A335, Movimientos!C:C, "Egreso", Movimientos!F:F, "G1000")+SUMIFS(Movimientos!E:E, Movimientos!D:D, A335, Movimientos!C:C, "Ajuste", Movimientos!F:F, "G1000")),"")</f>
        <v/>
      </c>
      <c r="G335" s="6" t="str">
        <f aca="false">IFERROR(IF(A335="","",SUMIFS(Movimientos!E:E, Movimientos!D:D, A335, Movimientos!C:C, "Ingreso", Movimientos!G:G, "G710")+SUMIFS(Movimientos!E:E, Movimientos!D:D, A335, Movimientos!C:C, "Traslado", Movimientos!G:G, "G710")-SUMIFS(Movimientos!E:E, Movimientos!D:D, A335, Movimientos!C:C, "Traslado", Movimientos!F:F, "G710")-SUMIFS(Movimientos!E:E, Movimientos!D:D, A335, Movimientos!C:C, "Egreso", Movimientos!F:F, "G710")+SUMIFS(Movimientos!E:E, Movimientos!D:D, A335, Movimientos!C:C, "Ajuste", Movimientos!F:F, "G710")),"")</f>
        <v/>
      </c>
      <c r="H335" s="6" t="str">
        <f aca="false">IFERROR(IF(A335="","",SUMIFS(Movimientos!E:E, Movimientos!D:D, A335, Movimientos!C:C, "Ingreso", Movimientos!G:G, "G5000")+SUMIFS(Movimientos!E:E, Movimientos!D:D, A335, Movimientos!C:C, "Traslado", Movimientos!G:G, "G5000")-SUMIFS(Movimientos!E:E, Movimientos!D:D, A335, Movimientos!C:C, "Traslado", Movimientos!F:F, "G5000")-SUMIFS(Movimientos!E:E, Movimientos!D:D, A335, Movimientos!C:C, "Egreso", Movimientos!F:F, "G5000")+SUMIFS(Movimientos!E:E, Movimientos!D:D, A335, Movimientos!C:C, "Ajuste", Movimientos!F:F, "G5000")),"")</f>
        <v/>
      </c>
      <c r="I335" s="6" t="str">
        <f aca="false">IFERROR(IF(A335="","",SUMIFS(Movimientos!E:E, Movimientos!D:D, A335, Movimientos!C:C, "Ingreso", Movimientos!G:G, "G3")+SUMIFS(Movimientos!E:E, Movimientos!D:D, A335, Movimientos!C:C, "Traslado", Movimientos!G:G, "G3")-SUMIFS(Movimientos!E:E, Movimientos!D:D, A335, Movimientos!C:C, "Traslado", Movimientos!F:F, "G3")-SUMIFS(Movimientos!E:E, Movimientos!D:D, A335, Movimientos!C:C, "Egreso", Movimientos!F:F, "G3")+SUMIFS(Movimientos!E:E, Movimientos!D:D, A335, Movimientos!C:C, "Ajuste", Movimientos!F:F, "G3")),"")</f>
        <v/>
      </c>
      <c r="J335" s="6" t="str">
        <f aca="false">IFERROR(IF(A335="","",SUM(E335:I335)),"")</f>
        <v/>
      </c>
      <c r="K335" s="6" t="str">
        <f aca="false">IFERROR(IF(A335="","",SUMIFS(Movimientos!E:E, Movimientos!D:D, A335, Movimientos!C:C, "Reserva")-SUMIFS(Movimientos!E:E, Movimientos!D:D, A335, Movimientos!C:C, "Libera_Reserva")),"")</f>
        <v/>
      </c>
      <c r="L335" s="6" t="str">
        <f aca="false">IFERROR(IF(A335="","",J335-K335),"")</f>
        <v/>
      </c>
      <c r="M335" s="6" t="str">
        <f aca="false">IFERROR(IF(Productos!A335="","",Productos!G335),"")</f>
        <v/>
      </c>
      <c r="N335" s="6" t="str">
        <f aca="false">IFERROR(IF(A335="","",IF(L335&lt;M335,"BAJO STOCK","OK")),"")</f>
        <v/>
      </c>
    </row>
    <row r="336" customFormat="false" ht="15" hidden="false" customHeight="false" outlineLevel="0" collapsed="false">
      <c r="A336" s="0" t="str">
        <f aca="false">IFERROR(IF(Productos!A336="","",Productos!A336),"")</f>
        <v/>
      </c>
      <c r="B336" s="0" t="str">
        <f aca="false">IFERROR(IF(Productos!A336="","",Productos!B336),"")</f>
        <v/>
      </c>
      <c r="C336" s="0" t="str">
        <f aca="false">IFERROR(IF(Productos!A336="","",Productos!C336),"")</f>
        <v/>
      </c>
      <c r="D336" s="0" t="str">
        <f aca="false">IFERROR(IF(Productos!A336="","",Productos!E336),"")</f>
        <v/>
      </c>
      <c r="E336" s="6" t="str">
        <f aca="false">IFERROR(IF(A336="","",SUMIFS(Movimientos!E:E, Movimientos!D:D, A336, Movimientos!C:C, "Ingreso", Movimientos!G:G, "TIN")+SUMIFS(Movimientos!E:E, Movimientos!D:D, A336, Movimientos!C:C, "Traslado", Movimientos!G:G, "TIN")-SUMIFS(Movimientos!E:E, Movimientos!D:D, A336, Movimientos!C:C, "Traslado", Movimientos!F:F, "TIN")-SUMIFS(Movimientos!E:E, Movimientos!D:D, A336, Movimientos!C:C, "Egreso", Movimientos!F:F, "TIN")+SUMIFS(Movimientos!E:E, Movimientos!D:D, A336, Movimientos!C:C, "Ajuste", Movimientos!F:F, "TIN")),"")</f>
        <v/>
      </c>
      <c r="F336" s="6" t="str">
        <f aca="false">IFERROR(IF(A336="","",SUMIFS(Movimientos!E:E, Movimientos!D:D, A336, Movimientos!C:C, "Ingreso", Movimientos!G:G, "G1000")+SUMIFS(Movimientos!E:E, Movimientos!D:D, A336, Movimientos!C:C, "Traslado", Movimientos!G:G, "G1000")-SUMIFS(Movimientos!E:E, Movimientos!D:D, A336, Movimientos!C:C, "Traslado", Movimientos!F:F, "G1000")-SUMIFS(Movimientos!E:E, Movimientos!D:D, A336, Movimientos!C:C, "Egreso", Movimientos!F:F, "G1000")+SUMIFS(Movimientos!E:E, Movimientos!D:D, A336, Movimientos!C:C, "Ajuste", Movimientos!F:F, "G1000")),"")</f>
        <v/>
      </c>
      <c r="G336" s="6" t="str">
        <f aca="false">IFERROR(IF(A336="","",SUMIFS(Movimientos!E:E, Movimientos!D:D, A336, Movimientos!C:C, "Ingreso", Movimientos!G:G, "G710")+SUMIFS(Movimientos!E:E, Movimientos!D:D, A336, Movimientos!C:C, "Traslado", Movimientos!G:G, "G710")-SUMIFS(Movimientos!E:E, Movimientos!D:D, A336, Movimientos!C:C, "Traslado", Movimientos!F:F, "G710")-SUMIFS(Movimientos!E:E, Movimientos!D:D, A336, Movimientos!C:C, "Egreso", Movimientos!F:F, "G710")+SUMIFS(Movimientos!E:E, Movimientos!D:D, A336, Movimientos!C:C, "Ajuste", Movimientos!F:F, "G710")),"")</f>
        <v/>
      </c>
      <c r="H336" s="6" t="str">
        <f aca="false">IFERROR(IF(A336="","",SUMIFS(Movimientos!E:E, Movimientos!D:D, A336, Movimientos!C:C, "Ingreso", Movimientos!G:G, "G5000")+SUMIFS(Movimientos!E:E, Movimientos!D:D, A336, Movimientos!C:C, "Traslado", Movimientos!G:G, "G5000")-SUMIFS(Movimientos!E:E, Movimientos!D:D, A336, Movimientos!C:C, "Traslado", Movimientos!F:F, "G5000")-SUMIFS(Movimientos!E:E, Movimientos!D:D, A336, Movimientos!C:C, "Egreso", Movimientos!F:F, "G5000")+SUMIFS(Movimientos!E:E, Movimientos!D:D, A336, Movimientos!C:C, "Ajuste", Movimientos!F:F, "G5000")),"")</f>
        <v/>
      </c>
      <c r="I336" s="6" t="str">
        <f aca="false">IFERROR(IF(A336="","",SUMIFS(Movimientos!E:E, Movimientos!D:D, A336, Movimientos!C:C, "Ingreso", Movimientos!G:G, "G3")+SUMIFS(Movimientos!E:E, Movimientos!D:D, A336, Movimientos!C:C, "Traslado", Movimientos!G:G, "G3")-SUMIFS(Movimientos!E:E, Movimientos!D:D, A336, Movimientos!C:C, "Traslado", Movimientos!F:F, "G3")-SUMIFS(Movimientos!E:E, Movimientos!D:D, A336, Movimientos!C:C, "Egreso", Movimientos!F:F, "G3")+SUMIFS(Movimientos!E:E, Movimientos!D:D, A336, Movimientos!C:C, "Ajuste", Movimientos!F:F, "G3")),"")</f>
        <v/>
      </c>
      <c r="J336" s="6" t="str">
        <f aca="false">IFERROR(IF(A336="","",SUM(E336:I336)),"")</f>
        <v/>
      </c>
      <c r="K336" s="6" t="str">
        <f aca="false">IFERROR(IF(A336="","",SUMIFS(Movimientos!E:E, Movimientos!D:D, A336, Movimientos!C:C, "Reserva")-SUMIFS(Movimientos!E:E, Movimientos!D:D, A336, Movimientos!C:C, "Libera_Reserva")),"")</f>
        <v/>
      </c>
      <c r="L336" s="6" t="str">
        <f aca="false">IFERROR(IF(A336="","",J336-K336),"")</f>
        <v/>
      </c>
      <c r="M336" s="6" t="str">
        <f aca="false">IFERROR(IF(Productos!A336="","",Productos!G336),"")</f>
        <v/>
      </c>
      <c r="N336" s="6" t="str">
        <f aca="false">IFERROR(IF(A336="","",IF(L336&lt;M336,"BAJO STOCK","OK")),"")</f>
        <v/>
      </c>
    </row>
    <row r="337" customFormat="false" ht="15" hidden="false" customHeight="false" outlineLevel="0" collapsed="false">
      <c r="A337" s="0" t="str">
        <f aca="false">IFERROR(IF(Productos!A337="","",Productos!A337),"")</f>
        <v/>
      </c>
      <c r="B337" s="0" t="str">
        <f aca="false">IFERROR(IF(Productos!A337="","",Productos!B337),"")</f>
        <v/>
      </c>
      <c r="C337" s="0" t="str">
        <f aca="false">IFERROR(IF(Productos!A337="","",Productos!C337),"")</f>
        <v/>
      </c>
      <c r="D337" s="0" t="str">
        <f aca="false">IFERROR(IF(Productos!A337="","",Productos!E337),"")</f>
        <v/>
      </c>
      <c r="E337" s="6" t="str">
        <f aca="false">IFERROR(IF(A337="","",SUMIFS(Movimientos!E:E, Movimientos!D:D, A337, Movimientos!C:C, "Ingreso", Movimientos!G:G, "TIN")+SUMIFS(Movimientos!E:E, Movimientos!D:D, A337, Movimientos!C:C, "Traslado", Movimientos!G:G, "TIN")-SUMIFS(Movimientos!E:E, Movimientos!D:D, A337, Movimientos!C:C, "Traslado", Movimientos!F:F, "TIN")-SUMIFS(Movimientos!E:E, Movimientos!D:D, A337, Movimientos!C:C, "Egreso", Movimientos!F:F, "TIN")+SUMIFS(Movimientos!E:E, Movimientos!D:D, A337, Movimientos!C:C, "Ajuste", Movimientos!F:F, "TIN")),"")</f>
        <v/>
      </c>
      <c r="F337" s="6" t="str">
        <f aca="false">IFERROR(IF(A337="","",SUMIFS(Movimientos!E:E, Movimientos!D:D, A337, Movimientos!C:C, "Ingreso", Movimientos!G:G, "G1000")+SUMIFS(Movimientos!E:E, Movimientos!D:D, A337, Movimientos!C:C, "Traslado", Movimientos!G:G, "G1000")-SUMIFS(Movimientos!E:E, Movimientos!D:D, A337, Movimientos!C:C, "Traslado", Movimientos!F:F, "G1000")-SUMIFS(Movimientos!E:E, Movimientos!D:D, A337, Movimientos!C:C, "Egreso", Movimientos!F:F, "G1000")+SUMIFS(Movimientos!E:E, Movimientos!D:D, A337, Movimientos!C:C, "Ajuste", Movimientos!F:F, "G1000")),"")</f>
        <v/>
      </c>
      <c r="G337" s="6" t="str">
        <f aca="false">IFERROR(IF(A337="","",SUMIFS(Movimientos!E:E, Movimientos!D:D, A337, Movimientos!C:C, "Ingreso", Movimientos!G:G, "G710")+SUMIFS(Movimientos!E:E, Movimientos!D:D, A337, Movimientos!C:C, "Traslado", Movimientos!G:G, "G710")-SUMIFS(Movimientos!E:E, Movimientos!D:D, A337, Movimientos!C:C, "Traslado", Movimientos!F:F, "G710")-SUMIFS(Movimientos!E:E, Movimientos!D:D, A337, Movimientos!C:C, "Egreso", Movimientos!F:F, "G710")+SUMIFS(Movimientos!E:E, Movimientos!D:D, A337, Movimientos!C:C, "Ajuste", Movimientos!F:F, "G710")),"")</f>
        <v/>
      </c>
      <c r="H337" s="6" t="str">
        <f aca="false">IFERROR(IF(A337="","",SUMIFS(Movimientos!E:E, Movimientos!D:D, A337, Movimientos!C:C, "Ingreso", Movimientos!G:G, "G5000")+SUMIFS(Movimientos!E:E, Movimientos!D:D, A337, Movimientos!C:C, "Traslado", Movimientos!G:G, "G5000")-SUMIFS(Movimientos!E:E, Movimientos!D:D, A337, Movimientos!C:C, "Traslado", Movimientos!F:F, "G5000")-SUMIFS(Movimientos!E:E, Movimientos!D:D, A337, Movimientos!C:C, "Egreso", Movimientos!F:F, "G5000")+SUMIFS(Movimientos!E:E, Movimientos!D:D, A337, Movimientos!C:C, "Ajuste", Movimientos!F:F, "G5000")),"")</f>
        <v/>
      </c>
      <c r="I337" s="6" t="str">
        <f aca="false">IFERROR(IF(A337="","",SUMIFS(Movimientos!E:E, Movimientos!D:D, A337, Movimientos!C:C, "Ingreso", Movimientos!G:G, "G3")+SUMIFS(Movimientos!E:E, Movimientos!D:D, A337, Movimientos!C:C, "Traslado", Movimientos!G:G, "G3")-SUMIFS(Movimientos!E:E, Movimientos!D:D, A337, Movimientos!C:C, "Traslado", Movimientos!F:F, "G3")-SUMIFS(Movimientos!E:E, Movimientos!D:D, A337, Movimientos!C:C, "Egreso", Movimientos!F:F, "G3")+SUMIFS(Movimientos!E:E, Movimientos!D:D, A337, Movimientos!C:C, "Ajuste", Movimientos!F:F, "G3")),"")</f>
        <v/>
      </c>
      <c r="J337" s="6" t="str">
        <f aca="false">IFERROR(IF(A337="","",SUM(E337:I337)),"")</f>
        <v/>
      </c>
      <c r="K337" s="6" t="str">
        <f aca="false">IFERROR(IF(A337="","",SUMIFS(Movimientos!E:E, Movimientos!D:D, A337, Movimientos!C:C, "Reserva")-SUMIFS(Movimientos!E:E, Movimientos!D:D, A337, Movimientos!C:C, "Libera_Reserva")),"")</f>
        <v/>
      </c>
      <c r="L337" s="6" t="str">
        <f aca="false">IFERROR(IF(A337="","",J337-K337),"")</f>
        <v/>
      </c>
      <c r="M337" s="6" t="str">
        <f aca="false">IFERROR(IF(Productos!A337="","",Productos!G337),"")</f>
        <v/>
      </c>
      <c r="N337" s="6" t="str">
        <f aca="false">IFERROR(IF(A337="","",IF(L337&lt;M337,"BAJO STOCK","OK")),"")</f>
        <v/>
      </c>
    </row>
    <row r="338" customFormat="false" ht="15" hidden="false" customHeight="false" outlineLevel="0" collapsed="false">
      <c r="A338" s="0" t="str">
        <f aca="false">IFERROR(IF(Productos!A338="","",Productos!A338),"")</f>
        <v/>
      </c>
      <c r="B338" s="0" t="str">
        <f aca="false">IFERROR(IF(Productos!A338="","",Productos!B338),"")</f>
        <v/>
      </c>
      <c r="C338" s="0" t="str">
        <f aca="false">IFERROR(IF(Productos!A338="","",Productos!C338),"")</f>
        <v/>
      </c>
      <c r="D338" s="0" t="str">
        <f aca="false">IFERROR(IF(Productos!A338="","",Productos!E338),"")</f>
        <v/>
      </c>
      <c r="E338" s="6" t="str">
        <f aca="false">IFERROR(IF(A338="","",SUMIFS(Movimientos!E:E, Movimientos!D:D, A338, Movimientos!C:C, "Ingreso", Movimientos!G:G, "TIN")+SUMIFS(Movimientos!E:E, Movimientos!D:D, A338, Movimientos!C:C, "Traslado", Movimientos!G:G, "TIN")-SUMIFS(Movimientos!E:E, Movimientos!D:D, A338, Movimientos!C:C, "Traslado", Movimientos!F:F, "TIN")-SUMIFS(Movimientos!E:E, Movimientos!D:D, A338, Movimientos!C:C, "Egreso", Movimientos!F:F, "TIN")+SUMIFS(Movimientos!E:E, Movimientos!D:D, A338, Movimientos!C:C, "Ajuste", Movimientos!F:F, "TIN")),"")</f>
        <v/>
      </c>
      <c r="F338" s="6" t="str">
        <f aca="false">IFERROR(IF(A338="","",SUMIFS(Movimientos!E:E, Movimientos!D:D, A338, Movimientos!C:C, "Ingreso", Movimientos!G:G, "G1000")+SUMIFS(Movimientos!E:E, Movimientos!D:D, A338, Movimientos!C:C, "Traslado", Movimientos!G:G, "G1000")-SUMIFS(Movimientos!E:E, Movimientos!D:D, A338, Movimientos!C:C, "Traslado", Movimientos!F:F, "G1000")-SUMIFS(Movimientos!E:E, Movimientos!D:D, A338, Movimientos!C:C, "Egreso", Movimientos!F:F, "G1000")+SUMIFS(Movimientos!E:E, Movimientos!D:D, A338, Movimientos!C:C, "Ajuste", Movimientos!F:F, "G1000")),"")</f>
        <v/>
      </c>
      <c r="G338" s="6" t="str">
        <f aca="false">IFERROR(IF(A338="","",SUMIFS(Movimientos!E:E, Movimientos!D:D, A338, Movimientos!C:C, "Ingreso", Movimientos!G:G, "G710")+SUMIFS(Movimientos!E:E, Movimientos!D:D, A338, Movimientos!C:C, "Traslado", Movimientos!G:G, "G710")-SUMIFS(Movimientos!E:E, Movimientos!D:D, A338, Movimientos!C:C, "Traslado", Movimientos!F:F, "G710")-SUMIFS(Movimientos!E:E, Movimientos!D:D, A338, Movimientos!C:C, "Egreso", Movimientos!F:F, "G710")+SUMIFS(Movimientos!E:E, Movimientos!D:D, A338, Movimientos!C:C, "Ajuste", Movimientos!F:F, "G710")),"")</f>
        <v/>
      </c>
      <c r="H338" s="6" t="str">
        <f aca="false">IFERROR(IF(A338="","",SUMIFS(Movimientos!E:E, Movimientos!D:D, A338, Movimientos!C:C, "Ingreso", Movimientos!G:G, "G5000")+SUMIFS(Movimientos!E:E, Movimientos!D:D, A338, Movimientos!C:C, "Traslado", Movimientos!G:G, "G5000")-SUMIFS(Movimientos!E:E, Movimientos!D:D, A338, Movimientos!C:C, "Traslado", Movimientos!F:F, "G5000")-SUMIFS(Movimientos!E:E, Movimientos!D:D, A338, Movimientos!C:C, "Egreso", Movimientos!F:F, "G5000")+SUMIFS(Movimientos!E:E, Movimientos!D:D, A338, Movimientos!C:C, "Ajuste", Movimientos!F:F, "G5000")),"")</f>
        <v/>
      </c>
      <c r="I338" s="6" t="str">
        <f aca="false">IFERROR(IF(A338="","",SUMIFS(Movimientos!E:E, Movimientos!D:D, A338, Movimientos!C:C, "Ingreso", Movimientos!G:G, "G3")+SUMIFS(Movimientos!E:E, Movimientos!D:D, A338, Movimientos!C:C, "Traslado", Movimientos!G:G, "G3")-SUMIFS(Movimientos!E:E, Movimientos!D:D, A338, Movimientos!C:C, "Traslado", Movimientos!F:F, "G3")-SUMIFS(Movimientos!E:E, Movimientos!D:D, A338, Movimientos!C:C, "Egreso", Movimientos!F:F, "G3")+SUMIFS(Movimientos!E:E, Movimientos!D:D, A338, Movimientos!C:C, "Ajuste", Movimientos!F:F, "G3")),"")</f>
        <v/>
      </c>
      <c r="J338" s="6" t="str">
        <f aca="false">IFERROR(IF(A338="","",SUM(E338:I338)),"")</f>
        <v/>
      </c>
      <c r="K338" s="6" t="str">
        <f aca="false">IFERROR(IF(A338="","",SUMIFS(Movimientos!E:E, Movimientos!D:D, A338, Movimientos!C:C, "Reserva")-SUMIFS(Movimientos!E:E, Movimientos!D:D, A338, Movimientos!C:C, "Libera_Reserva")),"")</f>
        <v/>
      </c>
      <c r="L338" s="6" t="str">
        <f aca="false">IFERROR(IF(A338="","",J338-K338),"")</f>
        <v/>
      </c>
      <c r="M338" s="6" t="str">
        <f aca="false">IFERROR(IF(Productos!A338="","",Productos!G338),"")</f>
        <v/>
      </c>
      <c r="N338" s="6" t="str">
        <f aca="false">IFERROR(IF(A338="","",IF(L338&lt;M338,"BAJO STOCK","OK")),"")</f>
        <v/>
      </c>
    </row>
    <row r="339" customFormat="false" ht="15" hidden="false" customHeight="false" outlineLevel="0" collapsed="false">
      <c r="A339" s="0" t="str">
        <f aca="false">IFERROR(IF(Productos!A339="","",Productos!A339),"")</f>
        <v/>
      </c>
      <c r="B339" s="0" t="str">
        <f aca="false">IFERROR(IF(Productos!A339="","",Productos!B339),"")</f>
        <v/>
      </c>
      <c r="C339" s="0" t="str">
        <f aca="false">IFERROR(IF(Productos!A339="","",Productos!C339),"")</f>
        <v/>
      </c>
      <c r="D339" s="0" t="str">
        <f aca="false">IFERROR(IF(Productos!A339="","",Productos!E339),"")</f>
        <v/>
      </c>
      <c r="E339" s="6" t="str">
        <f aca="false">IFERROR(IF(A339="","",SUMIFS(Movimientos!E:E, Movimientos!D:D, A339, Movimientos!C:C, "Ingreso", Movimientos!G:G, "TIN")+SUMIFS(Movimientos!E:E, Movimientos!D:D, A339, Movimientos!C:C, "Traslado", Movimientos!G:G, "TIN")-SUMIFS(Movimientos!E:E, Movimientos!D:D, A339, Movimientos!C:C, "Traslado", Movimientos!F:F, "TIN")-SUMIFS(Movimientos!E:E, Movimientos!D:D, A339, Movimientos!C:C, "Egreso", Movimientos!F:F, "TIN")+SUMIFS(Movimientos!E:E, Movimientos!D:D, A339, Movimientos!C:C, "Ajuste", Movimientos!F:F, "TIN")),"")</f>
        <v/>
      </c>
      <c r="F339" s="6" t="str">
        <f aca="false">IFERROR(IF(A339="","",SUMIFS(Movimientos!E:E, Movimientos!D:D, A339, Movimientos!C:C, "Ingreso", Movimientos!G:G, "G1000")+SUMIFS(Movimientos!E:E, Movimientos!D:D, A339, Movimientos!C:C, "Traslado", Movimientos!G:G, "G1000")-SUMIFS(Movimientos!E:E, Movimientos!D:D, A339, Movimientos!C:C, "Traslado", Movimientos!F:F, "G1000")-SUMIFS(Movimientos!E:E, Movimientos!D:D, A339, Movimientos!C:C, "Egreso", Movimientos!F:F, "G1000")+SUMIFS(Movimientos!E:E, Movimientos!D:D, A339, Movimientos!C:C, "Ajuste", Movimientos!F:F, "G1000")),"")</f>
        <v/>
      </c>
      <c r="G339" s="6" t="str">
        <f aca="false">IFERROR(IF(A339="","",SUMIFS(Movimientos!E:E, Movimientos!D:D, A339, Movimientos!C:C, "Ingreso", Movimientos!G:G, "G710")+SUMIFS(Movimientos!E:E, Movimientos!D:D, A339, Movimientos!C:C, "Traslado", Movimientos!G:G, "G710")-SUMIFS(Movimientos!E:E, Movimientos!D:D, A339, Movimientos!C:C, "Traslado", Movimientos!F:F, "G710")-SUMIFS(Movimientos!E:E, Movimientos!D:D, A339, Movimientos!C:C, "Egreso", Movimientos!F:F, "G710")+SUMIFS(Movimientos!E:E, Movimientos!D:D, A339, Movimientos!C:C, "Ajuste", Movimientos!F:F, "G710")),"")</f>
        <v/>
      </c>
      <c r="H339" s="6" t="str">
        <f aca="false">IFERROR(IF(A339="","",SUMIFS(Movimientos!E:E, Movimientos!D:D, A339, Movimientos!C:C, "Ingreso", Movimientos!G:G, "G5000")+SUMIFS(Movimientos!E:E, Movimientos!D:D, A339, Movimientos!C:C, "Traslado", Movimientos!G:G, "G5000")-SUMIFS(Movimientos!E:E, Movimientos!D:D, A339, Movimientos!C:C, "Traslado", Movimientos!F:F, "G5000")-SUMIFS(Movimientos!E:E, Movimientos!D:D, A339, Movimientos!C:C, "Egreso", Movimientos!F:F, "G5000")+SUMIFS(Movimientos!E:E, Movimientos!D:D, A339, Movimientos!C:C, "Ajuste", Movimientos!F:F, "G5000")),"")</f>
        <v/>
      </c>
      <c r="I339" s="6" t="str">
        <f aca="false">IFERROR(IF(A339="","",SUMIFS(Movimientos!E:E, Movimientos!D:D, A339, Movimientos!C:C, "Ingreso", Movimientos!G:G, "G3")+SUMIFS(Movimientos!E:E, Movimientos!D:D, A339, Movimientos!C:C, "Traslado", Movimientos!G:G, "G3")-SUMIFS(Movimientos!E:E, Movimientos!D:D, A339, Movimientos!C:C, "Traslado", Movimientos!F:F, "G3")-SUMIFS(Movimientos!E:E, Movimientos!D:D, A339, Movimientos!C:C, "Egreso", Movimientos!F:F, "G3")+SUMIFS(Movimientos!E:E, Movimientos!D:D, A339, Movimientos!C:C, "Ajuste", Movimientos!F:F, "G3")),"")</f>
        <v/>
      </c>
      <c r="J339" s="6" t="str">
        <f aca="false">IFERROR(IF(A339="","",SUM(E339:I339)),"")</f>
        <v/>
      </c>
      <c r="K339" s="6" t="str">
        <f aca="false">IFERROR(IF(A339="","",SUMIFS(Movimientos!E:E, Movimientos!D:D, A339, Movimientos!C:C, "Reserva")-SUMIFS(Movimientos!E:E, Movimientos!D:D, A339, Movimientos!C:C, "Libera_Reserva")),"")</f>
        <v/>
      </c>
      <c r="L339" s="6" t="str">
        <f aca="false">IFERROR(IF(A339="","",J339-K339),"")</f>
        <v/>
      </c>
      <c r="M339" s="6" t="str">
        <f aca="false">IFERROR(IF(Productos!A339="","",Productos!G339),"")</f>
        <v/>
      </c>
      <c r="N339" s="6" t="str">
        <f aca="false">IFERROR(IF(A339="","",IF(L339&lt;M339,"BAJO STOCK","OK")),"")</f>
        <v/>
      </c>
    </row>
    <row r="340" customFormat="false" ht="15" hidden="false" customHeight="false" outlineLevel="0" collapsed="false">
      <c r="A340" s="0" t="str">
        <f aca="false">IFERROR(IF(Productos!A340="","",Productos!A340),"")</f>
        <v/>
      </c>
      <c r="B340" s="0" t="str">
        <f aca="false">IFERROR(IF(Productos!A340="","",Productos!B340),"")</f>
        <v/>
      </c>
      <c r="C340" s="0" t="str">
        <f aca="false">IFERROR(IF(Productos!A340="","",Productos!C340),"")</f>
        <v/>
      </c>
      <c r="D340" s="0" t="str">
        <f aca="false">IFERROR(IF(Productos!A340="","",Productos!E340),"")</f>
        <v/>
      </c>
      <c r="E340" s="6" t="str">
        <f aca="false">IFERROR(IF(A340="","",SUMIFS(Movimientos!E:E, Movimientos!D:D, A340, Movimientos!C:C, "Ingreso", Movimientos!G:G, "TIN")+SUMIFS(Movimientos!E:E, Movimientos!D:D, A340, Movimientos!C:C, "Traslado", Movimientos!G:G, "TIN")-SUMIFS(Movimientos!E:E, Movimientos!D:D, A340, Movimientos!C:C, "Traslado", Movimientos!F:F, "TIN")-SUMIFS(Movimientos!E:E, Movimientos!D:D, A340, Movimientos!C:C, "Egreso", Movimientos!F:F, "TIN")+SUMIFS(Movimientos!E:E, Movimientos!D:D, A340, Movimientos!C:C, "Ajuste", Movimientos!F:F, "TIN")),"")</f>
        <v/>
      </c>
      <c r="F340" s="6" t="str">
        <f aca="false">IFERROR(IF(A340="","",SUMIFS(Movimientos!E:E, Movimientos!D:D, A340, Movimientos!C:C, "Ingreso", Movimientos!G:G, "G1000")+SUMIFS(Movimientos!E:E, Movimientos!D:D, A340, Movimientos!C:C, "Traslado", Movimientos!G:G, "G1000")-SUMIFS(Movimientos!E:E, Movimientos!D:D, A340, Movimientos!C:C, "Traslado", Movimientos!F:F, "G1000")-SUMIFS(Movimientos!E:E, Movimientos!D:D, A340, Movimientos!C:C, "Egreso", Movimientos!F:F, "G1000")+SUMIFS(Movimientos!E:E, Movimientos!D:D, A340, Movimientos!C:C, "Ajuste", Movimientos!F:F, "G1000")),"")</f>
        <v/>
      </c>
      <c r="G340" s="6" t="str">
        <f aca="false">IFERROR(IF(A340="","",SUMIFS(Movimientos!E:E, Movimientos!D:D, A340, Movimientos!C:C, "Ingreso", Movimientos!G:G, "G710")+SUMIFS(Movimientos!E:E, Movimientos!D:D, A340, Movimientos!C:C, "Traslado", Movimientos!G:G, "G710")-SUMIFS(Movimientos!E:E, Movimientos!D:D, A340, Movimientos!C:C, "Traslado", Movimientos!F:F, "G710")-SUMIFS(Movimientos!E:E, Movimientos!D:D, A340, Movimientos!C:C, "Egreso", Movimientos!F:F, "G710")+SUMIFS(Movimientos!E:E, Movimientos!D:D, A340, Movimientos!C:C, "Ajuste", Movimientos!F:F, "G710")),"")</f>
        <v/>
      </c>
      <c r="H340" s="6" t="str">
        <f aca="false">IFERROR(IF(A340="","",SUMIFS(Movimientos!E:E, Movimientos!D:D, A340, Movimientos!C:C, "Ingreso", Movimientos!G:G, "G5000")+SUMIFS(Movimientos!E:E, Movimientos!D:D, A340, Movimientos!C:C, "Traslado", Movimientos!G:G, "G5000")-SUMIFS(Movimientos!E:E, Movimientos!D:D, A340, Movimientos!C:C, "Traslado", Movimientos!F:F, "G5000")-SUMIFS(Movimientos!E:E, Movimientos!D:D, A340, Movimientos!C:C, "Egreso", Movimientos!F:F, "G5000")+SUMIFS(Movimientos!E:E, Movimientos!D:D, A340, Movimientos!C:C, "Ajuste", Movimientos!F:F, "G5000")),"")</f>
        <v/>
      </c>
      <c r="I340" s="6" t="str">
        <f aca="false">IFERROR(IF(A340="","",SUMIFS(Movimientos!E:E, Movimientos!D:D, A340, Movimientos!C:C, "Ingreso", Movimientos!G:G, "G3")+SUMIFS(Movimientos!E:E, Movimientos!D:D, A340, Movimientos!C:C, "Traslado", Movimientos!G:G, "G3")-SUMIFS(Movimientos!E:E, Movimientos!D:D, A340, Movimientos!C:C, "Traslado", Movimientos!F:F, "G3")-SUMIFS(Movimientos!E:E, Movimientos!D:D, A340, Movimientos!C:C, "Egreso", Movimientos!F:F, "G3")+SUMIFS(Movimientos!E:E, Movimientos!D:D, A340, Movimientos!C:C, "Ajuste", Movimientos!F:F, "G3")),"")</f>
        <v/>
      </c>
      <c r="J340" s="6" t="str">
        <f aca="false">IFERROR(IF(A340="","",SUM(E340:I340)),"")</f>
        <v/>
      </c>
      <c r="K340" s="6" t="str">
        <f aca="false">IFERROR(IF(A340="","",SUMIFS(Movimientos!E:E, Movimientos!D:D, A340, Movimientos!C:C, "Reserva")-SUMIFS(Movimientos!E:E, Movimientos!D:D, A340, Movimientos!C:C, "Libera_Reserva")),"")</f>
        <v/>
      </c>
      <c r="L340" s="6" t="str">
        <f aca="false">IFERROR(IF(A340="","",J340-K340),"")</f>
        <v/>
      </c>
      <c r="M340" s="6" t="str">
        <f aca="false">IFERROR(IF(Productos!A340="","",Productos!G340),"")</f>
        <v/>
      </c>
      <c r="N340" s="6" t="str">
        <f aca="false">IFERROR(IF(A340="","",IF(L340&lt;M340,"BAJO STOCK","OK")),"")</f>
        <v/>
      </c>
    </row>
    <row r="341" customFormat="false" ht="15" hidden="false" customHeight="false" outlineLevel="0" collapsed="false">
      <c r="A341" s="0" t="str">
        <f aca="false">IFERROR(IF(Productos!A341="","",Productos!A341),"")</f>
        <v/>
      </c>
      <c r="B341" s="0" t="str">
        <f aca="false">IFERROR(IF(Productos!A341="","",Productos!B341),"")</f>
        <v/>
      </c>
      <c r="C341" s="0" t="str">
        <f aca="false">IFERROR(IF(Productos!A341="","",Productos!C341),"")</f>
        <v/>
      </c>
      <c r="D341" s="0" t="str">
        <f aca="false">IFERROR(IF(Productos!A341="","",Productos!E341),"")</f>
        <v/>
      </c>
      <c r="E341" s="6" t="str">
        <f aca="false">IFERROR(IF(A341="","",SUMIFS(Movimientos!E:E, Movimientos!D:D, A341, Movimientos!C:C, "Ingreso", Movimientos!G:G, "TIN")+SUMIFS(Movimientos!E:E, Movimientos!D:D, A341, Movimientos!C:C, "Traslado", Movimientos!G:G, "TIN")-SUMIFS(Movimientos!E:E, Movimientos!D:D, A341, Movimientos!C:C, "Traslado", Movimientos!F:F, "TIN")-SUMIFS(Movimientos!E:E, Movimientos!D:D, A341, Movimientos!C:C, "Egreso", Movimientos!F:F, "TIN")+SUMIFS(Movimientos!E:E, Movimientos!D:D, A341, Movimientos!C:C, "Ajuste", Movimientos!F:F, "TIN")),"")</f>
        <v/>
      </c>
      <c r="F341" s="6" t="str">
        <f aca="false">IFERROR(IF(A341="","",SUMIFS(Movimientos!E:E, Movimientos!D:D, A341, Movimientos!C:C, "Ingreso", Movimientos!G:G, "G1000")+SUMIFS(Movimientos!E:E, Movimientos!D:D, A341, Movimientos!C:C, "Traslado", Movimientos!G:G, "G1000")-SUMIFS(Movimientos!E:E, Movimientos!D:D, A341, Movimientos!C:C, "Traslado", Movimientos!F:F, "G1000")-SUMIFS(Movimientos!E:E, Movimientos!D:D, A341, Movimientos!C:C, "Egreso", Movimientos!F:F, "G1000")+SUMIFS(Movimientos!E:E, Movimientos!D:D, A341, Movimientos!C:C, "Ajuste", Movimientos!F:F, "G1000")),"")</f>
        <v/>
      </c>
      <c r="G341" s="6" t="str">
        <f aca="false">IFERROR(IF(A341="","",SUMIFS(Movimientos!E:E, Movimientos!D:D, A341, Movimientos!C:C, "Ingreso", Movimientos!G:G, "G710")+SUMIFS(Movimientos!E:E, Movimientos!D:D, A341, Movimientos!C:C, "Traslado", Movimientos!G:G, "G710")-SUMIFS(Movimientos!E:E, Movimientos!D:D, A341, Movimientos!C:C, "Traslado", Movimientos!F:F, "G710")-SUMIFS(Movimientos!E:E, Movimientos!D:D, A341, Movimientos!C:C, "Egreso", Movimientos!F:F, "G710")+SUMIFS(Movimientos!E:E, Movimientos!D:D, A341, Movimientos!C:C, "Ajuste", Movimientos!F:F, "G710")),"")</f>
        <v/>
      </c>
      <c r="H341" s="6" t="str">
        <f aca="false">IFERROR(IF(A341="","",SUMIFS(Movimientos!E:E, Movimientos!D:D, A341, Movimientos!C:C, "Ingreso", Movimientos!G:G, "G5000")+SUMIFS(Movimientos!E:E, Movimientos!D:D, A341, Movimientos!C:C, "Traslado", Movimientos!G:G, "G5000")-SUMIFS(Movimientos!E:E, Movimientos!D:D, A341, Movimientos!C:C, "Traslado", Movimientos!F:F, "G5000")-SUMIFS(Movimientos!E:E, Movimientos!D:D, A341, Movimientos!C:C, "Egreso", Movimientos!F:F, "G5000")+SUMIFS(Movimientos!E:E, Movimientos!D:D, A341, Movimientos!C:C, "Ajuste", Movimientos!F:F, "G5000")),"")</f>
        <v/>
      </c>
      <c r="I341" s="6" t="str">
        <f aca="false">IFERROR(IF(A341="","",SUMIFS(Movimientos!E:E, Movimientos!D:D, A341, Movimientos!C:C, "Ingreso", Movimientos!G:G, "G3")+SUMIFS(Movimientos!E:E, Movimientos!D:D, A341, Movimientos!C:C, "Traslado", Movimientos!G:G, "G3")-SUMIFS(Movimientos!E:E, Movimientos!D:D, A341, Movimientos!C:C, "Traslado", Movimientos!F:F, "G3")-SUMIFS(Movimientos!E:E, Movimientos!D:D, A341, Movimientos!C:C, "Egreso", Movimientos!F:F, "G3")+SUMIFS(Movimientos!E:E, Movimientos!D:D, A341, Movimientos!C:C, "Ajuste", Movimientos!F:F, "G3")),"")</f>
        <v/>
      </c>
      <c r="J341" s="6" t="str">
        <f aca="false">IFERROR(IF(A341="","",SUM(E341:I341)),"")</f>
        <v/>
      </c>
      <c r="K341" s="6" t="str">
        <f aca="false">IFERROR(IF(A341="","",SUMIFS(Movimientos!E:E, Movimientos!D:D, A341, Movimientos!C:C, "Reserva")-SUMIFS(Movimientos!E:E, Movimientos!D:D, A341, Movimientos!C:C, "Libera_Reserva")),"")</f>
        <v/>
      </c>
      <c r="L341" s="6" t="str">
        <f aca="false">IFERROR(IF(A341="","",J341-K341),"")</f>
        <v/>
      </c>
      <c r="M341" s="6" t="str">
        <f aca="false">IFERROR(IF(Productos!A341="","",Productos!G341),"")</f>
        <v/>
      </c>
      <c r="N341" s="6" t="str">
        <f aca="false">IFERROR(IF(A341="","",IF(L341&lt;M341,"BAJO STOCK","OK")),"")</f>
        <v/>
      </c>
    </row>
    <row r="342" customFormat="false" ht="15" hidden="false" customHeight="false" outlineLevel="0" collapsed="false">
      <c r="A342" s="0" t="str">
        <f aca="false">IFERROR(IF(Productos!A342="","",Productos!A342),"")</f>
        <v/>
      </c>
      <c r="B342" s="0" t="str">
        <f aca="false">IFERROR(IF(Productos!A342="","",Productos!B342),"")</f>
        <v/>
      </c>
      <c r="C342" s="0" t="str">
        <f aca="false">IFERROR(IF(Productos!A342="","",Productos!C342),"")</f>
        <v/>
      </c>
      <c r="D342" s="0" t="str">
        <f aca="false">IFERROR(IF(Productos!A342="","",Productos!E342),"")</f>
        <v/>
      </c>
      <c r="E342" s="6" t="str">
        <f aca="false">IFERROR(IF(A342="","",SUMIFS(Movimientos!E:E, Movimientos!D:D, A342, Movimientos!C:C, "Ingreso", Movimientos!G:G, "TIN")+SUMIFS(Movimientos!E:E, Movimientos!D:D, A342, Movimientos!C:C, "Traslado", Movimientos!G:G, "TIN")-SUMIFS(Movimientos!E:E, Movimientos!D:D, A342, Movimientos!C:C, "Traslado", Movimientos!F:F, "TIN")-SUMIFS(Movimientos!E:E, Movimientos!D:D, A342, Movimientos!C:C, "Egreso", Movimientos!F:F, "TIN")+SUMIFS(Movimientos!E:E, Movimientos!D:D, A342, Movimientos!C:C, "Ajuste", Movimientos!F:F, "TIN")),"")</f>
        <v/>
      </c>
      <c r="F342" s="6" t="str">
        <f aca="false">IFERROR(IF(A342="","",SUMIFS(Movimientos!E:E, Movimientos!D:D, A342, Movimientos!C:C, "Ingreso", Movimientos!G:G, "G1000")+SUMIFS(Movimientos!E:E, Movimientos!D:D, A342, Movimientos!C:C, "Traslado", Movimientos!G:G, "G1000")-SUMIFS(Movimientos!E:E, Movimientos!D:D, A342, Movimientos!C:C, "Traslado", Movimientos!F:F, "G1000")-SUMIFS(Movimientos!E:E, Movimientos!D:D, A342, Movimientos!C:C, "Egreso", Movimientos!F:F, "G1000")+SUMIFS(Movimientos!E:E, Movimientos!D:D, A342, Movimientos!C:C, "Ajuste", Movimientos!F:F, "G1000")),"")</f>
        <v/>
      </c>
      <c r="G342" s="6" t="str">
        <f aca="false">IFERROR(IF(A342="","",SUMIFS(Movimientos!E:E, Movimientos!D:D, A342, Movimientos!C:C, "Ingreso", Movimientos!G:G, "G710")+SUMIFS(Movimientos!E:E, Movimientos!D:D, A342, Movimientos!C:C, "Traslado", Movimientos!G:G, "G710")-SUMIFS(Movimientos!E:E, Movimientos!D:D, A342, Movimientos!C:C, "Traslado", Movimientos!F:F, "G710")-SUMIFS(Movimientos!E:E, Movimientos!D:D, A342, Movimientos!C:C, "Egreso", Movimientos!F:F, "G710")+SUMIFS(Movimientos!E:E, Movimientos!D:D, A342, Movimientos!C:C, "Ajuste", Movimientos!F:F, "G710")),"")</f>
        <v/>
      </c>
      <c r="H342" s="6" t="str">
        <f aca="false">IFERROR(IF(A342="","",SUMIFS(Movimientos!E:E, Movimientos!D:D, A342, Movimientos!C:C, "Ingreso", Movimientos!G:G, "G5000")+SUMIFS(Movimientos!E:E, Movimientos!D:D, A342, Movimientos!C:C, "Traslado", Movimientos!G:G, "G5000")-SUMIFS(Movimientos!E:E, Movimientos!D:D, A342, Movimientos!C:C, "Traslado", Movimientos!F:F, "G5000")-SUMIFS(Movimientos!E:E, Movimientos!D:D, A342, Movimientos!C:C, "Egreso", Movimientos!F:F, "G5000")+SUMIFS(Movimientos!E:E, Movimientos!D:D, A342, Movimientos!C:C, "Ajuste", Movimientos!F:F, "G5000")),"")</f>
        <v/>
      </c>
      <c r="I342" s="6" t="str">
        <f aca="false">IFERROR(IF(A342="","",SUMIFS(Movimientos!E:E, Movimientos!D:D, A342, Movimientos!C:C, "Ingreso", Movimientos!G:G, "G3")+SUMIFS(Movimientos!E:E, Movimientos!D:D, A342, Movimientos!C:C, "Traslado", Movimientos!G:G, "G3")-SUMIFS(Movimientos!E:E, Movimientos!D:D, A342, Movimientos!C:C, "Traslado", Movimientos!F:F, "G3")-SUMIFS(Movimientos!E:E, Movimientos!D:D, A342, Movimientos!C:C, "Egreso", Movimientos!F:F, "G3")+SUMIFS(Movimientos!E:E, Movimientos!D:D, A342, Movimientos!C:C, "Ajuste", Movimientos!F:F, "G3")),"")</f>
        <v/>
      </c>
      <c r="J342" s="6" t="str">
        <f aca="false">IFERROR(IF(A342="","",SUM(E342:I342)),"")</f>
        <v/>
      </c>
      <c r="K342" s="6" t="str">
        <f aca="false">IFERROR(IF(A342="","",SUMIFS(Movimientos!E:E, Movimientos!D:D, A342, Movimientos!C:C, "Reserva")-SUMIFS(Movimientos!E:E, Movimientos!D:D, A342, Movimientos!C:C, "Libera_Reserva")),"")</f>
        <v/>
      </c>
      <c r="L342" s="6" t="str">
        <f aca="false">IFERROR(IF(A342="","",J342-K342),"")</f>
        <v/>
      </c>
      <c r="M342" s="6" t="str">
        <f aca="false">IFERROR(IF(Productos!A342="","",Productos!G342),"")</f>
        <v/>
      </c>
      <c r="N342" s="6" t="str">
        <f aca="false">IFERROR(IF(A342="","",IF(L342&lt;M342,"BAJO STOCK","OK")),"")</f>
        <v/>
      </c>
    </row>
    <row r="343" customFormat="false" ht="15" hidden="false" customHeight="false" outlineLevel="0" collapsed="false">
      <c r="A343" s="0" t="str">
        <f aca="false">IFERROR(IF(Productos!A343="","",Productos!A343),"")</f>
        <v/>
      </c>
      <c r="B343" s="0" t="str">
        <f aca="false">IFERROR(IF(Productos!A343="","",Productos!B343),"")</f>
        <v/>
      </c>
      <c r="C343" s="0" t="str">
        <f aca="false">IFERROR(IF(Productos!A343="","",Productos!C343),"")</f>
        <v/>
      </c>
      <c r="D343" s="0" t="str">
        <f aca="false">IFERROR(IF(Productos!A343="","",Productos!E343),"")</f>
        <v/>
      </c>
      <c r="E343" s="6" t="str">
        <f aca="false">IFERROR(IF(A343="","",SUMIFS(Movimientos!E:E, Movimientos!D:D, A343, Movimientos!C:C, "Ingreso", Movimientos!G:G, "TIN")+SUMIFS(Movimientos!E:E, Movimientos!D:D, A343, Movimientos!C:C, "Traslado", Movimientos!G:G, "TIN")-SUMIFS(Movimientos!E:E, Movimientos!D:D, A343, Movimientos!C:C, "Traslado", Movimientos!F:F, "TIN")-SUMIFS(Movimientos!E:E, Movimientos!D:D, A343, Movimientos!C:C, "Egreso", Movimientos!F:F, "TIN")+SUMIFS(Movimientos!E:E, Movimientos!D:D, A343, Movimientos!C:C, "Ajuste", Movimientos!F:F, "TIN")),"")</f>
        <v/>
      </c>
      <c r="F343" s="6" t="str">
        <f aca="false">IFERROR(IF(A343="","",SUMIFS(Movimientos!E:E, Movimientos!D:D, A343, Movimientos!C:C, "Ingreso", Movimientos!G:G, "G1000")+SUMIFS(Movimientos!E:E, Movimientos!D:D, A343, Movimientos!C:C, "Traslado", Movimientos!G:G, "G1000")-SUMIFS(Movimientos!E:E, Movimientos!D:D, A343, Movimientos!C:C, "Traslado", Movimientos!F:F, "G1000")-SUMIFS(Movimientos!E:E, Movimientos!D:D, A343, Movimientos!C:C, "Egreso", Movimientos!F:F, "G1000")+SUMIFS(Movimientos!E:E, Movimientos!D:D, A343, Movimientos!C:C, "Ajuste", Movimientos!F:F, "G1000")),"")</f>
        <v/>
      </c>
      <c r="G343" s="6" t="str">
        <f aca="false">IFERROR(IF(A343="","",SUMIFS(Movimientos!E:E, Movimientos!D:D, A343, Movimientos!C:C, "Ingreso", Movimientos!G:G, "G710")+SUMIFS(Movimientos!E:E, Movimientos!D:D, A343, Movimientos!C:C, "Traslado", Movimientos!G:G, "G710")-SUMIFS(Movimientos!E:E, Movimientos!D:D, A343, Movimientos!C:C, "Traslado", Movimientos!F:F, "G710")-SUMIFS(Movimientos!E:E, Movimientos!D:D, A343, Movimientos!C:C, "Egreso", Movimientos!F:F, "G710")+SUMIFS(Movimientos!E:E, Movimientos!D:D, A343, Movimientos!C:C, "Ajuste", Movimientos!F:F, "G710")),"")</f>
        <v/>
      </c>
      <c r="H343" s="6" t="str">
        <f aca="false">IFERROR(IF(A343="","",SUMIFS(Movimientos!E:E, Movimientos!D:D, A343, Movimientos!C:C, "Ingreso", Movimientos!G:G, "G5000")+SUMIFS(Movimientos!E:E, Movimientos!D:D, A343, Movimientos!C:C, "Traslado", Movimientos!G:G, "G5000")-SUMIFS(Movimientos!E:E, Movimientos!D:D, A343, Movimientos!C:C, "Traslado", Movimientos!F:F, "G5000")-SUMIFS(Movimientos!E:E, Movimientos!D:D, A343, Movimientos!C:C, "Egreso", Movimientos!F:F, "G5000")+SUMIFS(Movimientos!E:E, Movimientos!D:D, A343, Movimientos!C:C, "Ajuste", Movimientos!F:F, "G5000")),"")</f>
        <v/>
      </c>
      <c r="I343" s="6" t="str">
        <f aca="false">IFERROR(IF(A343="","",SUMIFS(Movimientos!E:E, Movimientos!D:D, A343, Movimientos!C:C, "Ingreso", Movimientos!G:G, "G3")+SUMIFS(Movimientos!E:E, Movimientos!D:D, A343, Movimientos!C:C, "Traslado", Movimientos!G:G, "G3")-SUMIFS(Movimientos!E:E, Movimientos!D:D, A343, Movimientos!C:C, "Traslado", Movimientos!F:F, "G3")-SUMIFS(Movimientos!E:E, Movimientos!D:D, A343, Movimientos!C:C, "Egreso", Movimientos!F:F, "G3")+SUMIFS(Movimientos!E:E, Movimientos!D:D, A343, Movimientos!C:C, "Ajuste", Movimientos!F:F, "G3")),"")</f>
        <v/>
      </c>
      <c r="J343" s="6" t="str">
        <f aca="false">IFERROR(IF(A343="","",SUM(E343:I343)),"")</f>
        <v/>
      </c>
      <c r="K343" s="6" t="str">
        <f aca="false">IFERROR(IF(A343="","",SUMIFS(Movimientos!E:E, Movimientos!D:D, A343, Movimientos!C:C, "Reserva")-SUMIFS(Movimientos!E:E, Movimientos!D:D, A343, Movimientos!C:C, "Libera_Reserva")),"")</f>
        <v/>
      </c>
      <c r="L343" s="6" t="str">
        <f aca="false">IFERROR(IF(A343="","",J343-K343),"")</f>
        <v/>
      </c>
      <c r="M343" s="6" t="str">
        <f aca="false">IFERROR(IF(Productos!A343="","",Productos!G343),"")</f>
        <v/>
      </c>
      <c r="N343" s="6" t="str">
        <f aca="false">IFERROR(IF(A343="","",IF(L343&lt;M343,"BAJO STOCK","OK")),"")</f>
        <v/>
      </c>
    </row>
    <row r="344" customFormat="false" ht="15" hidden="false" customHeight="false" outlineLevel="0" collapsed="false">
      <c r="A344" s="0" t="str">
        <f aca="false">IFERROR(IF(Productos!A344="","",Productos!A344),"")</f>
        <v/>
      </c>
      <c r="B344" s="0" t="str">
        <f aca="false">IFERROR(IF(Productos!A344="","",Productos!B344),"")</f>
        <v/>
      </c>
      <c r="C344" s="0" t="str">
        <f aca="false">IFERROR(IF(Productos!A344="","",Productos!C344),"")</f>
        <v/>
      </c>
      <c r="D344" s="0" t="str">
        <f aca="false">IFERROR(IF(Productos!A344="","",Productos!E344),"")</f>
        <v/>
      </c>
      <c r="E344" s="6" t="str">
        <f aca="false">IFERROR(IF(A344="","",SUMIFS(Movimientos!E:E, Movimientos!D:D, A344, Movimientos!C:C, "Ingreso", Movimientos!G:G, "TIN")+SUMIFS(Movimientos!E:E, Movimientos!D:D, A344, Movimientos!C:C, "Traslado", Movimientos!G:G, "TIN")-SUMIFS(Movimientos!E:E, Movimientos!D:D, A344, Movimientos!C:C, "Traslado", Movimientos!F:F, "TIN")-SUMIFS(Movimientos!E:E, Movimientos!D:D, A344, Movimientos!C:C, "Egreso", Movimientos!F:F, "TIN")+SUMIFS(Movimientos!E:E, Movimientos!D:D, A344, Movimientos!C:C, "Ajuste", Movimientos!F:F, "TIN")),"")</f>
        <v/>
      </c>
      <c r="F344" s="6" t="str">
        <f aca="false">IFERROR(IF(A344="","",SUMIFS(Movimientos!E:E, Movimientos!D:D, A344, Movimientos!C:C, "Ingreso", Movimientos!G:G, "G1000")+SUMIFS(Movimientos!E:E, Movimientos!D:D, A344, Movimientos!C:C, "Traslado", Movimientos!G:G, "G1000")-SUMIFS(Movimientos!E:E, Movimientos!D:D, A344, Movimientos!C:C, "Traslado", Movimientos!F:F, "G1000")-SUMIFS(Movimientos!E:E, Movimientos!D:D, A344, Movimientos!C:C, "Egreso", Movimientos!F:F, "G1000")+SUMIFS(Movimientos!E:E, Movimientos!D:D, A344, Movimientos!C:C, "Ajuste", Movimientos!F:F, "G1000")),"")</f>
        <v/>
      </c>
      <c r="G344" s="6" t="str">
        <f aca="false">IFERROR(IF(A344="","",SUMIFS(Movimientos!E:E, Movimientos!D:D, A344, Movimientos!C:C, "Ingreso", Movimientos!G:G, "G710")+SUMIFS(Movimientos!E:E, Movimientos!D:D, A344, Movimientos!C:C, "Traslado", Movimientos!G:G, "G710")-SUMIFS(Movimientos!E:E, Movimientos!D:D, A344, Movimientos!C:C, "Traslado", Movimientos!F:F, "G710")-SUMIFS(Movimientos!E:E, Movimientos!D:D, A344, Movimientos!C:C, "Egreso", Movimientos!F:F, "G710")+SUMIFS(Movimientos!E:E, Movimientos!D:D, A344, Movimientos!C:C, "Ajuste", Movimientos!F:F, "G710")),"")</f>
        <v/>
      </c>
      <c r="H344" s="6" t="str">
        <f aca="false">IFERROR(IF(A344="","",SUMIFS(Movimientos!E:E, Movimientos!D:D, A344, Movimientos!C:C, "Ingreso", Movimientos!G:G, "G5000")+SUMIFS(Movimientos!E:E, Movimientos!D:D, A344, Movimientos!C:C, "Traslado", Movimientos!G:G, "G5000")-SUMIFS(Movimientos!E:E, Movimientos!D:D, A344, Movimientos!C:C, "Traslado", Movimientos!F:F, "G5000")-SUMIFS(Movimientos!E:E, Movimientos!D:D, A344, Movimientos!C:C, "Egreso", Movimientos!F:F, "G5000")+SUMIFS(Movimientos!E:E, Movimientos!D:D, A344, Movimientos!C:C, "Ajuste", Movimientos!F:F, "G5000")),"")</f>
        <v/>
      </c>
      <c r="I344" s="6" t="str">
        <f aca="false">IFERROR(IF(A344="","",SUMIFS(Movimientos!E:E, Movimientos!D:D, A344, Movimientos!C:C, "Ingreso", Movimientos!G:G, "G3")+SUMIFS(Movimientos!E:E, Movimientos!D:D, A344, Movimientos!C:C, "Traslado", Movimientos!G:G, "G3")-SUMIFS(Movimientos!E:E, Movimientos!D:D, A344, Movimientos!C:C, "Traslado", Movimientos!F:F, "G3")-SUMIFS(Movimientos!E:E, Movimientos!D:D, A344, Movimientos!C:C, "Egreso", Movimientos!F:F, "G3")+SUMIFS(Movimientos!E:E, Movimientos!D:D, A344, Movimientos!C:C, "Ajuste", Movimientos!F:F, "G3")),"")</f>
        <v/>
      </c>
      <c r="J344" s="6" t="str">
        <f aca="false">IFERROR(IF(A344="","",SUM(E344:I344)),"")</f>
        <v/>
      </c>
      <c r="K344" s="6" t="str">
        <f aca="false">IFERROR(IF(A344="","",SUMIFS(Movimientos!E:E, Movimientos!D:D, A344, Movimientos!C:C, "Reserva")-SUMIFS(Movimientos!E:E, Movimientos!D:D, A344, Movimientos!C:C, "Libera_Reserva")),"")</f>
        <v/>
      </c>
      <c r="L344" s="6" t="str">
        <f aca="false">IFERROR(IF(A344="","",J344-K344),"")</f>
        <v/>
      </c>
      <c r="M344" s="6" t="str">
        <f aca="false">IFERROR(IF(Productos!A344="","",Productos!G344),"")</f>
        <v/>
      </c>
      <c r="N344" s="6" t="str">
        <f aca="false">IFERROR(IF(A344="","",IF(L344&lt;M344,"BAJO STOCK","OK")),"")</f>
        <v/>
      </c>
    </row>
    <row r="345" customFormat="false" ht="15" hidden="false" customHeight="false" outlineLevel="0" collapsed="false">
      <c r="A345" s="0" t="str">
        <f aca="false">IFERROR(IF(Productos!A345="","",Productos!A345),"")</f>
        <v/>
      </c>
      <c r="B345" s="0" t="str">
        <f aca="false">IFERROR(IF(Productos!A345="","",Productos!B345),"")</f>
        <v/>
      </c>
      <c r="C345" s="0" t="str">
        <f aca="false">IFERROR(IF(Productos!A345="","",Productos!C345),"")</f>
        <v/>
      </c>
      <c r="D345" s="0" t="str">
        <f aca="false">IFERROR(IF(Productos!A345="","",Productos!E345),"")</f>
        <v/>
      </c>
      <c r="E345" s="6" t="str">
        <f aca="false">IFERROR(IF(A345="","",SUMIFS(Movimientos!E:E, Movimientos!D:D, A345, Movimientos!C:C, "Ingreso", Movimientos!G:G, "TIN")+SUMIFS(Movimientos!E:E, Movimientos!D:D, A345, Movimientos!C:C, "Traslado", Movimientos!G:G, "TIN")-SUMIFS(Movimientos!E:E, Movimientos!D:D, A345, Movimientos!C:C, "Traslado", Movimientos!F:F, "TIN")-SUMIFS(Movimientos!E:E, Movimientos!D:D, A345, Movimientos!C:C, "Egreso", Movimientos!F:F, "TIN")+SUMIFS(Movimientos!E:E, Movimientos!D:D, A345, Movimientos!C:C, "Ajuste", Movimientos!F:F, "TIN")),"")</f>
        <v/>
      </c>
      <c r="F345" s="6" t="str">
        <f aca="false">IFERROR(IF(A345="","",SUMIFS(Movimientos!E:E, Movimientos!D:D, A345, Movimientos!C:C, "Ingreso", Movimientos!G:G, "G1000")+SUMIFS(Movimientos!E:E, Movimientos!D:D, A345, Movimientos!C:C, "Traslado", Movimientos!G:G, "G1000")-SUMIFS(Movimientos!E:E, Movimientos!D:D, A345, Movimientos!C:C, "Traslado", Movimientos!F:F, "G1000")-SUMIFS(Movimientos!E:E, Movimientos!D:D, A345, Movimientos!C:C, "Egreso", Movimientos!F:F, "G1000")+SUMIFS(Movimientos!E:E, Movimientos!D:D, A345, Movimientos!C:C, "Ajuste", Movimientos!F:F, "G1000")),"")</f>
        <v/>
      </c>
      <c r="G345" s="6" t="str">
        <f aca="false">IFERROR(IF(A345="","",SUMIFS(Movimientos!E:E, Movimientos!D:D, A345, Movimientos!C:C, "Ingreso", Movimientos!G:G, "G710")+SUMIFS(Movimientos!E:E, Movimientos!D:D, A345, Movimientos!C:C, "Traslado", Movimientos!G:G, "G710")-SUMIFS(Movimientos!E:E, Movimientos!D:D, A345, Movimientos!C:C, "Traslado", Movimientos!F:F, "G710")-SUMIFS(Movimientos!E:E, Movimientos!D:D, A345, Movimientos!C:C, "Egreso", Movimientos!F:F, "G710")+SUMIFS(Movimientos!E:E, Movimientos!D:D, A345, Movimientos!C:C, "Ajuste", Movimientos!F:F, "G710")),"")</f>
        <v/>
      </c>
      <c r="H345" s="6" t="str">
        <f aca="false">IFERROR(IF(A345="","",SUMIFS(Movimientos!E:E, Movimientos!D:D, A345, Movimientos!C:C, "Ingreso", Movimientos!G:G, "G5000")+SUMIFS(Movimientos!E:E, Movimientos!D:D, A345, Movimientos!C:C, "Traslado", Movimientos!G:G, "G5000")-SUMIFS(Movimientos!E:E, Movimientos!D:D, A345, Movimientos!C:C, "Traslado", Movimientos!F:F, "G5000")-SUMIFS(Movimientos!E:E, Movimientos!D:D, A345, Movimientos!C:C, "Egreso", Movimientos!F:F, "G5000")+SUMIFS(Movimientos!E:E, Movimientos!D:D, A345, Movimientos!C:C, "Ajuste", Movimientos!F:F, "G5000")),"")</f>
        <v/>
      </c>
      <c r="I345" s="6" t="str">
        <f aca="false">IFERROR(IF(A345="","",SUMIFS(Movimientos!E:E, Movimientos!D:D, A345, Movimientos!C:C, "Ingreso", Movimientos!G:G, "G3")+SUMIFS(Movimientos!E:E, Movimientos!D:D, A345, Movimientos!C:C, "Traslado", Movimientos!G:G, "G3")-SUMIFS(Movimientos!E:E, Movimientos!D:D, A345, Movimientos!C:C, "Traslado", Movimientos!F:F, "G3")-SUMIFS(Movimientos!E:E, Movimientos!D:D, A345, Movimientos!C:C, "Egreso", Movimientos!F:F, "G3")+SUMIFS(Movimientos!E:E, Movimientos!D:D, A345, Movimientos!C:C, "Ajuste", Movimientos!F:F, "G3")),"")</f>
        <v/>
      </c>
      <c r="J345" s="6" t="str">
        <f aca="false">IFERROR(IF(A345="","",SUM(E345:I345)),"")</f>
        <v/>
      </c>
      <c r="K345" s="6" t="str">
        <f aca="false">IFERROR(IF(A345="","",SUMIFS(Movimientos!E:E, Movimientos!D:D, A345, Movimientos!C:C, "Reserva")-SUMIFS(Movimientos!E:E, Movimientos!D:D, A345, Movimientos!C:C, "Libera_Reserva")),"")</f>
        <v/>
      </c>
      <c r="L345" s="6" t="str">
        <f aca="false">IFERROR(IF(A345="","",J345-K345),"")</f>
        <v/>
      </c>
      <c r="M345" s="6" t="str">
        <f aca="false">IFERROR(IF(Productos!A345="","",Productos!G345),"")</f>
        <v/>
      </c>
      <c r="N345" s="6" t="str">
        <f aca="false">IFERROR(IF(A345="","",IF(L345&lt;M345,"BAJO STOCK","OK")),"")</f>
        <v/>
      </c>
    </row>
    <row r="346" customFormat="false" ht="15" hidden="false" customHeight="false" outlineLevel="0" collapsed="false">
      <c r="A346" s="0" t="str">
        <f aca="false">IFERROR(IF(Productos!A346="","",Productos!A346),"")</f>
        <v/>
      </c>
      <c r="B346" s="0" t="str">
        <f aca="false">IFERROR(IF(Productos!A346="","",Productos!B346),"")</f>
        <v/>
      </c>
      <c r="C346" s="0" t="str">
        <f aca="false">IFERROR(IF(Productos!A346="","",Productos!C346),"")</f>
        <v/>
      </c>
      <c r="D346" s="0" t="str">
        <f aca="false">IFERROR(IF(Productos!A346="","",Productos!E346),"")</f>
        <v/>
      </c>
      <c r="E346" s="6" t="str">
        <f aca="false">IFERROR(IF(A346="","",SUMIFS(Movimientos!E:E, Movimientos!D:D, A346, Movimientos!C:C, "Ingreso", Movimientos!G:G, "TIN")+SUMIFS(Movimientos!E:E, Movimientos!D:D, A346, Movimientos!C:C, "Traslado", Movimientos!G:G, "TIN")-SUMIFS(Movimientos!E:E, Movimientos!D:D, A346, Movimientos!C:C, "Traslado", Movimientos!F:F, "TIN")-SUMIFS(Movimientos!E:E, Movimientos!D:D, A346, Movimientos!C:C, "Egreso", Movimientos!F:F, "TIN")+SUMIFS(Movimientos!E:E, Movimientos!D:D, A346, Movimientos!C:C, "Ajuste", Movimientos!F:F, "TIN")),"")</f>
        <v/>
      </c>
      <c r="F346" s="6" t="str">
        <f aca="false">IFERROR(IF(A346="","",SUMIFS(Movimientos!E:E, Movimientos!D:D, A346, Movimientos!C:C, "Ingreso", Movimientos!G:G, "G1000")+SUMIFS(Movimientos!E:E, Movimientos!D:D, A346, Movimientos!C:C, "Traslado", Movimientos!G:G, "G1000")-SUMIFS(Movimientos!E:E, Movimientos!D:D, A346, Movimientos!C:C, "Traslado", Movimientos!F:F, "G1000")-SUMIFS(Movimientos!E:E, Movimientos!D:D, A346, Movimientos!C:C, "Egreso", Movimientos!F:F, "G1000")+SUMIFS(Movimientos!E:E, Movimientos!D:D, A346, Movimientos!C:C, "Ajuste", Movimientos!F:F, "G1000")),"")</f>
        <v/>
      </c>
      <c r="G346" s="6" t="str">
        <f aca="false">IFERROR(IF(A346="","",SUMIFS(Movimientos!E:E, Movimientos!D:D, A346, Movimientos!C:C, "Ingreso", Movimientos!G:G, "G710")+SUMIFS(Movimientos!E:E, Movimientos!D:D, A346, Movimientos!C:C, "Traslado", Movimientos!G:G, "G710")-SUMIFS(Movimientos!E:E, Movimientos!D:D, A346, Movimientos!C:C, "Traslado", Movimientos!F:F, "G710")-SUMIFS(Movimientos!E:E, Movimientos!D:D, A346, Movimientos!C:C, "Egreso", Movimientos!F:F, "G710")+SUMIFS(Movimientos!E:E, Movimientos!D:D, A346, Movimientos!C:C, "Ajuste", Movimientos!F:F, "G710")),"")</f>
        <v/>
      </c>
      <c r="H346" s="6" t="str">
        <f aca="false">IFERROR(IF(A346="","",SUMIFS(Movimientos!E:E, Movimientos!D:D, A346, Movimientos!C:C, "Ingreso", Movimientos!G:G, "G5000")+SUMIFS(Movimientos!E:E, Movimientos!D:D, A346, Movimientos!C:C, "Traslado", Movimientos!G:G, "G5000")-SUMIFS(Movimientos!E:E, Movimientos!D:D, A346, Movimientos!C:C, "Traslado", Movimientos!F:F, "G5000")-SUMIFS(Movimientos!E:E, Movimientos!D:D, A346, Movimientos!C:C, "Egreso", Movimientos!F:F, "G5000")+SUMIFS(Movimientos!E:E, Movimientos!D:D, A346, Movimientos!C:C, "Ajuste", Movimientos!F:F, "G5000")),"")</f>
        <v/>
      </c>
      <c r="I346" s="6" t="str">
        <f aca="false">IFERROR(IF(A346="","",SUMIFS(Movimientos!E:E, Movimientos!D:D, A346, Movimientos!C:C, "Ingreso", Movimientos!G:G, "G3")+SUMIFS(Movimientos!E:E, Movimientos!D:D, A346, Movimientos!C:C, "Traslado", Movimientos!G:G, "G3")-SUMIFS(Movimientos!E:E, Movimientos!D:D, A346, Movimientos!C:C, "Traslado", Movimientos!F:F, "G3")-SUMIFS(Movimientos!E:E, Movimientos!D:D, A346, Movimientos!C:C, "Egreso", Movimientos!F:F, "G3")+SUMIFS(Movimientos!E:E, Movimientos!D:D, A346, Movimientos!C:C, "Ajuste", Movimientos!F:F, "G3")),"")</f>
        <v/>
      </c>
      <c r="J346" s="6" t="str">
        <f aca="false">IFERROR(IF(A346="","",SUM(E346:I346)),"")</f>
        <v/>
      </c>
      <c r="K346" s="6" t="str">
        <f aca="false">IFERROR(IF(A346="","",SUMIFS(Movimientos!E:E, Movimientos!D:D, A346, Movimientos!C:C, "Reserva")-SUMIFS(Movimientos!E:E, Movimientos!D:D, A346, Movimientos!C:C, "Libera_Reserva")),"")</f>
        <v/>
      </c>
      <c r="L346" s="6" t="str">
        <f aca="false">IFERROR(IF(A346="","",J346-K346),"")</f>
        <v/>
      </c>
      <c r="M346" s="6" t="str">
        <f aca="false">IFERROR(IF(Productos!A346="","",Productos!G346),"")</f>
        <v/>
      </c>
      <c r="N346" s="6" t="str">
        <f aca="false">IFERROR(IF(A346="","",IF(L346&lt;M346,"BAJO STOCK","OK")),"")</f>
        <v/>
      </c>
    </row>
    <row r="347" customFormat="false" ht="15" hidden="false" customHeight="false" outlineLevel="0" collapsed="false">
      <c r="A347" s="0" t="str">
        <f aca="false">IFERROR(IF(Productos!A347="","",Productos!A347),"")</f>
        <v/>
      </c>
      <c r="B347" s="0" t="str">
        <f aca="false">IFERROR(IF(Productos!A347="","",Productos!B347),"")</f>
        <v/>
      </c>
      <c r="C347" s="0" t="str">
        <f aca="false">IFERROR(IF(Productos!A347="","",Productos!C347),"")</f>
        <v/>
      </c>
      <c r="D347" s="0" t="str">
        <f aca="false">IFERROR(IF(Productos!A347="","",Productos!E347),"")</f>
        <v/>
      </c>
      <c r="E347" s="6" t="str">
        <f aca="false">IFERROR(IF(A347="","",SUMIFS(Movimientos!E:E, Movimientos!D:D, A347, Movimientos!C:C, "Ingreso", Movimientos!G:G, "TIN")+SUMIFS(Movimientos!E:E, Movimientos!D:D, A347, Movimientos!C:C, "Traslado", Movimientos!G:G, "TIN")-SUMIFS(Movimientos!E:E, Movimientos!D:D, A347, Movimientos!C:C, "Traslado", Movimientos!F:F, "TIN")-SUMIFS(Movimientos!E:E, Movimientos!D:D, A347, Movimientos!C:C, "Egreso", Movimientos!F:F, "TIN")+SUMIFS(Movimientos!E:E, Movimientos!D:D, A347, Movimientos!C:C, "Ajuste", Movimientos!F:F, "TIN")),"")</f>
        <v/>
      </c>
      <c r="F347" s="6" t="str">
        <f aca="false">IFERROR(IF(A347="","",SUMIFS(Movimientos!E:E, Movimientos!D:D, A347, Movimientos!C:C, "Ingreso", Movimientos!G:G, "G1000")+SUMIFS(Movimientos!E:E, Movimientos!D:D, A347, Movimientos!C:C, "Traslado", Movimientos!G:G, "G1000")-SUMIFS(Movimientos!E:E, Movimientos!D:D, A347, Movimientos!C:C, "Traslado", Movimientos!F:F, "G1000")-SUMIFS(Movimientos!E:E, Movimientos!D:D, A347, Movimientos!C:C, "Egreso", Movimientos!F:F, "G1000")+SUMIFS(Movimientos!E:E, Movimientos!D:D, A347, Movimientos!C:C, "Ajuste", Movimientos!F:F, "G1000")),"")</f>
        <v/>
      </c>
      <c r="G347" s="6" t="str">
        <f aca="false">IFERROR(IF(A347="","",SUMIFS(Movimientos!E:E, Movimientos!D:D, A347, Movimientos!C:C, "Ingreso", Movimientos!G:G, "G710")+SUMIFS(Movimientos!E:E, Movimientos!D:D, A347, Movimientos!C:C, "Traslado", Movimientos!G:G, "G710")-SUMIFS(Movimientos!E:E, Movimientos!D:D, A347, Movimientos!C:C, "Traslado", Movimientos!F:F, "G710")-SUMIFS(Movimientos!E:E, Movimientos!D:D, A347, Movimientos!C:C, "Egreso", Movimientos!F:F, "G710")+SUMIFS(Movimientos!E:E, Movimientos!D:D, A347, Movimientos!C:C, "Ajuste", Movimientos!F:F, "G710")),"")</f>
        <v/>
      </c>
      <c r="H347" s="6" t="str">
        <f aca="false">IFERROR(IF(A347="","",SUMIFS(Movimientos!E:E, Movimientos!D:D, A347, Movimientos!C:C, "Ingreso", Movimientos!G:G, "G5000")+SUMIFS(Movimientos!E:E, Movimientos!D:D, A347, Movimientos!C:C, "Traslado", Movimientos!G:G, "G5000")-SUMIFS(Movimientos!E:E, Movimientos!D:D, A347, Movimientos!C:C, "Traslado", Movimientos!F:F, "G5000")-SUMIFS(Movimientos!E:E, Movimientos!D:D, A347, Movimientos!C:C, "Egreso", Movimientos!F:F, "G5000")+SUMIFS(Movimientos!E:E, Movimientos!D:D, A347, Movimientos!C:C, "Ajuste", Movimientos!F:F, "G5000")),"")</f>
        <v/>
      </c>
      <c r="I347" s="6" t="str">
        <f aca="false">IFERROR(IF(A347="","",SUMIFS(Movimientos!E:E, Movimientos!D:D, A347, Movimientos!C:C, "Ingreso", Movimientos!G:G, "G3")+SUMIFS(Movimientos!E:E, Movimientos!D:D, A347, Movimientos!C:C, "Traslado", Movimientos!G:G, "G3")-SUMIFS(Movimientos!E:E, Movimientos!D:D, A347, Movimientos!C:C, "Traslado", Movimientos!F:F, "G3")-SUMIFS(Movimientos!E:E, Movimientos!D:D, A347, Movimientos!C:C, "Egreso", Movimientos!F:F, "G3")+SUMIFS(Movimientos!E:E, Movimientos!D:D, A347, Movimientos!C:C, "Ajuste", Movimientos!F:F, "G3")),"")</f>
        <v/>
      </c>
      <c r="J347" s="6" t="str">
        <f aca="false">IFERROR(IF(A347="","",SUM(E347:I347)),"")</f>
        <v/>
      </c>
      <c r="K347" s="6" t="str">
        <f aca="false">IFERROR(IF(A347="","",SUMIFS(Movimientos!E:E, Movimientos!D:D, A347, Movimientos!C:C, "Reserva")-SUMIFS(Movimientos!E:E, Movimientos!D:D, A347, Movimientos!C:C, "Libera_Reserva")),"")</f>
        <v/>
      </c>
      <c r="L347" s="6" t="str">
        <f aca="false">IFERROR(IF(A347="","",J347-K347),"")</f>
        <v/>
      </c>
      <c r="M347" s="6" t="str">
        <f aca="false">IFERROR(IF(Productos!A347="","",Productos!G347),"")</f>
        <v/>
      </c>
      <c r="N347" s="6" t="str">
        <f aca="false">IFERROR(IF(A347="","",IF(L347&lt;M347,"BAJO STOCK","OK")),"")</f>
        <v/>
      </c>
    </row>
    <row r="348" customFormat="false" ht="15" hidden="false" customHeight="false" outlineLevel="0" collapsed="false">
      <c r="A348" s="0" t="str">
        <f aca="false">IFERROR(IF(Productos!A348="","",Productos!A348),"")</f>
        <v/>
      </c>
      <c r="B348" s="0" t="str">
        <f aca="false">IFERROR(IF(Productos!A348="","",Productos!B348),"")</f>
        <v/>
      </c>
      <c r="C348" s="0" t="str">
        <f aca="false">IFERROR(IF(Productos!A348="","",Productos!C348),"")</f>
        <v/>
      </c>
      <c r="D348" s="0" t="str">
        <f aca="false">IFERROR(IF(Productos!A348="","",Productos!E348),"")</f>
        <v/>
      </c>
      <c r="E348" s="6" t="str">
        <f aca="false">IFERROR(IF(A348="","",SUMIFS(Movimientos!E:E, Movimientos!D:D, A348, Movimientos!C:C, "Ingreso", Movimientos!G:G, "TIN")+SUMIFS(Movimientos!E:E, Movimientos!D:D, A348, Movimientos!C:C, "Traslado", Movimientos!G:G, "TIN")-SUMIFS(Movimientos!E:E, Movimientos!D:D, A348, Movimientos!C:C, "Traslado", Movimientos!F:F, "TIN")-SUMIFS(Movimientos!E:E, Movimientos!D:D, A348, Movimientos!C:C, "Egreso", Movimientos!F:F, "TIN")+SUMIFS(Movimientos!E:E, Movimientos!D:D, A348, Movimientos!C:C, "Ajuste", Movimientos!F:F, "TIN")),"")</f>
        <v/>
      </c>
      <c r="F348" s="6" t="str">
        <f aca="false">IFERROR(IF(A348="","",SUMIFS(Movimientos!E:E, Movimientos!D:D, A348, Movimientos!C:C, "Ingreso", Movimientos!G:G, "G1000")+SUMIFS(Movimientos!E:E, Movimientos!D:D, A348, Movimientos!C:C, "Traslado", Movimientos!G:G, "G1000")-SUMIFS(Movimientos!E:E, Movimientos!D:D, A348, Movimientos!C:C, "Traslado", Movimientos!F:F, "G1000")-SUMIFS(Movimientos!E:E, Movimientos!D:D, A348, Movimientos!C:C, "Egreso", Movimientos!F:F, "G1000")+SUMIFS(Movimientos!E:E, Movimientos!D:D, A348, Movimientos!C:C, "Ajuste", Movimientos!F:F, "G1000")),"")</f>
        <v/>
      </c>
      <c r="G348" s="6" t="str">
        <f aca="false">IFERROR(IF(A348="","",SUMIFS(Movimientos!E:E, Movimientos!D:D, A348, Movimientos!C:C, "Ingreso", Movimientos!G:G, "G710")+SUMIFS(Movimientos!E:E, Movimientos!D:D, A348, Movimientos!C:C, "Traslado", Movimientos!G:G, "G710")-SUMIFS(Movimientos!E:E, Movimientos!D:D, A348, Movimientos!C:C, "Traslado", Movimientos!F:F, "G710")-SUMIFS(Movimientos!E:E, Movimientos!D:D, A348, Movimientos!C:C, "Egreso", Movimientos!F:F, "G710")+SUMIFS(Movimientos!E:E, Movimientos!D:D, A348, Movimientos!C:C, "Ajuste", Movimientos!F:F, "G710")),"")</f>
        <v/>
      </c>
      <c r="H348" s="6" t="str">
        <f aca="false">IFERROR(IF(A348="","",SUMIFS(Movimientos!E:E, Movimientos!D:D, A348, Movimientos!C:C, "Ingreso", Movimientos!G:G, "G5000")+SUMIFS(Movimientos!E:E, Movimientos!D:D, A348, Movimientos!C:C, "Traslado", Movimientos!G:G, "G5000")-SUMIFS(Movimientos!E:E, Movimientos!D:D, A348, Movimientos!C:C, "Traslado", Movimientos!F:F, "G5000")-SUMIFS(Movimientos!E:E, Movimientos!D:D, A348, Movimientos!C:C, "Egreso", Movimientos!F:F, "G5000")+SUMIFS(Movimientos!E:E, Movimientos!D:D, A348, Movimientos!C:C, "Ajuste", Movimientos!F:F, "G5000")),"")</f>
        <v/>
      </c>
      <c r="I348" s="6" t="str">
        <f aca="false">IFERROR(IF(A348="","",SUMIFS(Movimientos!E:E, Movimientos!D:D, A348, Movimientos!C:C, "Ingreso", Movimientos!G:G, "G3")+SUMIFS(Movimientos!E:E, Movimientos!D:D, A348, Movimientos!C:C, "Traslado", Movimientos!G:G, "G3")-SUMIFS(Movimientos!E:E, Movimientos!D:D, A348, Movimientos!C:C, "Traslado", Movimientos!F:F, "G3")-SUMIFS(Movimientos!E:E, Movimientos!D:D, A348, Movimientos!C:C, "Egreso", Movimientos!F:F, "G3")+SUMIFS(Movimientos!E:E, Movimientos!D:D, A348, Movimientos!C:C, "Ajuste", Movimientos!F:F, "G3")),"")</f>
        <v/>
      </c>
      <c r="J348" s="6" t="str">
        <f aca="false">IFERROR(IF(A348="","",SUM(E348:I348)),"")</f>
        <v/>
      </c>
      <c r="K348" s="6" t="str">
        <f aca="false">IFERROR(IF(A348="","",SUMIFS(Movimientos!E:E, Movimientos!D:D, A348, Movimientos!C:C, "Reserva")-SUMIFS(Movimientos!E:E, Movimientos!D:D, A348, Movimientos!C:C, "Libera_Reserva")),"")</f>
        <v/>
      </c>
      <c r="L348" s="6" t="str">
        <f aca="false">IFERROR(IF(A348="","",J348-K348),"")</f>
        <v/>
      </c>
      <c r="M348" s="6" t="str">
        <f aca="false">IFERROR(IF(Productos!A348="","",Productos!G348),"")</f>
        <v/>
      </c>
      <c r="N348" s="6" t="str">
        <f aca="false">IFERROR(IF(A348="","",IF(L348&lt;M348,"BAJO STOCK","OK")),"")</f>
        <v/>
      </c>
    </row>
    <row r="349" customFormat="false" ht="15" hidden="false" customHeight="false" outlineLevel="0" collapsed="false">
      <c r="A349" s="0" t="str">
        <f aca="false">IFERROR(IF(Productos!A349="","",Productos!A349),"")</f>
        <v/>
      </c>
      <c r="B349" s="0" t="str">
        <f aca="false">IFERROR(IF(Productos!A349="","",Productos!B349),"")</f>
        <v/>
      </c>
      <c r="C349" s="0" t="str">
        <f aca="false">IFERROR(IF(Productos!A349="","",Productos!C349),"")</f>
        <v/>
      </c>
      <c r="D349" s="0" t="str">
        <f aca="false">IFERROR(IF(Productos!A349="","",Productos!E349),"")</f>
        <v/>
      </c>
      <c r="E349" s="6" t="str">
        <f aca="false">IFERROR(IF(A349="","",SUMIFS(Movimientos!E:E, Movimientos!D:D, A349, Movimientos!C:C, "Ingreso", Movimientos!G:G, "TIN")+SUMIFS(Movimientos!E:E, Movimientos!D:D, A349, Movimientos!C:C, "Traslado", Movimientos!G:G, "TIN")-SUMIFS(Movimientos!E:E, Movimientos!D:D, A349, Movimientos!C:C, "Traslado", Movimientos!F:F, "TIN")-SUMIFS(Movimientos!E:E, Movimientos!D:D, A349, Movimientos!C:C, "Egreso", Movimientos!F:F, "TIN")+SUMIFS(Movimientos!E:E, Movimientos!D:D, A349, Movimientos!C:C, "Ajuste", Movimientos!F:F, "TIN")),"")</f>
        <v/>
      </c>
      <c r="F349" s="6" t="str">
        <f aca="false">IFERROR(IF(A349="","",SUMIFS(Movimientos!E:E, Movimientos!D:D, A349, Movimientos!C:C, "Ingreso", Movimientos!G:G, "G1000")+SUMIFS(Movimientos!E:E, Movimientos!D:D, A349, Movimientos!C:C, "Traslado", Movimientos!G:G, "G1000")-SUMIFS(Movimientos!E:E, Movimientos!D:D, A349, Movimientos!C:C, "Traslado", Movimientos!F:F, "G1000")-SUMIFS(Movimientos!E:E, Movimientos!D:D, A349, Movimientos!C:C, "Egreso", Movimientos!F:F, "G1000")+SUMIFS(Movimientos!E:E, Movimientos!D:D, A349, Movimientos!C:C, "Ajuste", Movimientos!F:F, "G1000")),"")</f>
        <v/>
      </c>
      <c r="G349" s="6" t="str">
        <f aca="false">IFERROR(IF(A349="","",SUMIFS(Movimientos!E:E, Movimientos!D:D, A349, Movimientos!C:C, "Ingreso", Movimientos!G:G, "G710")+SUMIFS(Movimientos!E:E, Movimientos!D:D, A349, Movimientos!C:C, "Traslado", Movimientos!G:G, "G710")-SUMIFS(Movimientos!E:E, Movimientos!D:D, A349, Movimientos!C:C, "Traslado", Movimientos!F:F, "G710")-SUMIFS(Movimientos!E:E, Movimientos!D:D, A349, Movimientos!C:C, "Egreso", Movimientos!F:F, "G710")+SUMIFS(Movimientos!E:E, Movimientos!D:D, A349, Movimientos!C:C, "Ajuste", Movimientos!F:F, "G710")),"")</f>
        <v/>
      </c>
      <c r="H349" s="6" t="str">
        <f aca="false">IFERROR(IF(A349="","",SUMIFS(Movimientos!E:E, Movimientos!D:D, A349, Movimientos!C:C, "Ingreso", Movimientos!G:G, "G5000")+SUMIFS(Movimientos!E:E, Movimientos!D:D, A349, Movimientos!C:C, "Traslado", Movimientos!G:G, "G5000")-SUMIFS(Movimientos!E:E, Movimientos!D:D, A349, Movimientos!C:C, "Traslado", Movimientos!F:F, "G5000")-SUMIFS(Movimientos!E:E, Movimientos!D:D, A349, Movimientos!C:C, "Egreso", Movimientos!F:F, "G5000")+SUMIFS(Movimientos!E:E, Movimientos!D:D, A349, Movimientos!C:C, "Ajuste", Movimientos!F:F, "G5000")),"")</f>
        <v/>
      </c>
      <c r="I349" s="6" t="str">
        <f aca="false">IFERROR(IF(A349="","",SUMIFS(Movimientos!E:E, Movimientos!D:D, A349, Movimientos!C:C, "Ingreso", Movimientos!G:G, "G3")+SUMIFS(Movimientos!E:E, Movimientos!D:D, A349, Movimientos!C:C, "Traslado", Movimientos!G:G, "G3")-SUMIFS(Movimientos!E:E, Movimientos!D:D, A349, Movimientos!C:C, "Traslado", Movimientos!F:F, "G3")-SUMIFS(Movimientos!E:E, Movimientos!D:D, A349, Movimientos!C:C, "Egreso", Movimientos!F:F, "G3")+SUMIFS(Movimientos!E:E, Movimientos!D:D, A349, Movimientos!C:C, "Ajuste", Movimientos!F:F, "G3")),"")</f>
        <v/>
      </c>
      <c r="J349" s="6" t="str">
        <f aca="false">IFERROR(IF(A349="","",SUM(E349:I349)),"")</f>
        <v/>
      </c>
      <c r="K349" s="6" t="str">
        <f aca="false">IFERROR(IF(A349="","",SUMIFS(Movimientos!E:E, Movimientos!D:D, A349, Movimientos!C:C, "Reserva")-SUMIFS(Movimientos!E:E, Movimientos!D:D, A349, Movimientos!C:C, "Libera_Reserva")),"")</f>
        <v/>
      </c>
      <c r="L349" s="6" t="str">
        <f aca="false">IFERROR(IF(A349="","",J349-K349),"")</f>
        <v/>
      </c>
      <c r="M349" s="6" t="str">
        <f aca="false">IFERROR(IF(Productos!A349="","",Productos!G349),"")</f>
        <v/>
      </c>
      <c r="N349" s="6" t="str">
        <f aca="false">IFERROR(IF(A349="","",IF(L349&lt;M349,"BAJO STOCK","OK")),"")</f>
        <v/>
      </c>
    </row>
    <row r="350" customFormat="false" ht="15" hidden="false" customHeight="false" outlineLevel="0" collapsed="false">
      <c r="A350" s="0" t="str">
        <f aca="false">IFERROR(IF(Productos!A350="","",Productos!A350),"")</f>
        <v/>
      </c>
      <c r="B350" s="0" t="str">
        <f aca="false">IFERROR(IF(Productos!A350="","",Productos!B350),"")</f>
        <v/>
      </c>
      <c r="C350" s="0" t="str">
        <f aca="false">IFERROR(IF(Productos!A350="","",Productos!C350),"")</f>
        <v/>
      </c>
      <c r="D350" s="0" t="str">
        <f aca="false">IFERROR(IF(Productos!A350="","",Productos!E350),"")</f>
        <v/>
      </c>
      <c r="E350" s="6" t="str">
        <f aca="false">IFERROR(IF(A350="","",SUMIFS(Movimientos!E:E, Movimientos!D:D, A350, Movimientos!C:C, "Ingreso", Movimientos!G:G, "TIN")+SUMIFS(Movimientos!E:E, Movimientos!D:D, A350, Movimientos!C:C, "Traslado", Movimientos!G:G, "TIN")-SUMIFS(Movimientos!E:E, Movimientos!D:D, A350, Movimientos!C:C, "Traslado", Movimientos!F:F, "TIN")-SUMIFS(Movimientos!E:E, Movimientos!D:D, A350, Movimientos!C:C, "Egreso", Movimientos!F:F, "TIN")+SUMIFS(Movimientos!E:E, Movimientos!D:D, A350, Movimientos!C:C, "Ajuste", Movimientos!F:F, "TIN")),"")</f>
        <v/>
      </c>
      <c r="F350" s="6" t="str">
        <f aca="false">IFERROR(IF(A350="","",SUMIFS(Movimientos!E:E, Movimientos!D:D, A350, Movimientos!C:C, "Ingreso", Movimientos!G:G, "G1000")+SUMIFS(Movimientos!E:E, Movimientos!D:D, A350, Movimientos!C:C, "Traslado", Movimientos!G:G, "G1000")-SUMIFS(Movimientos!E:E, Movimientos!D:D, A350, Movimientos!C:C, "Traslado", Movimientos!F:F, "G1000")-SUMIFS(Movimientos!E:E, Movimientos!D:D, A350, Movimientos!C:C, "Egreso", Movimientos!F:F, "G1000")+SUMIFS(Movimientos!E:E, Movimientos!D:D, A350, Movimientos!C:C, "Ajuste", Movimientos!F:F, "G1000")),"")</f>
        <v/>
      </c>
      <c r="G350" s="6" t="str">
        <f aca="false">IFERROR(IF(A350="","",SUMIFS(Movimientos!E:E, Movimientos!D:D, A350, Movimientos!C:C, "Ingreso", Movimientos!G:G, "G710")+SUMIFS(Movimientos!E:E, Movimientos!D:D, A350, Movimientos!C:C, "Traslado", Movimientos!G:G, "G710")-SUMIFS(Movimientos!E:E, Movimientos!D:D, A350, Movimientos!C:C, "Traslado", Movimientos!F:F, "G710")-SUMIFS(Movimientos!E:E, Movimientos!D:D, A350, Movimientos!C:C, "Egreso", Movimientos!F:F, "G710")+SUMIFS(Movimientos!E:E, Movimientos!D:D, A350, Movimientos!C:C, "Ajuste", Movimientos!F:F, "G710")),"")</f>
        <v/>
      </c>
      <c r="H350" s="6" t="str">
        <f aca="false">IFERROR(IF(A350="","",SUMIFS(Movimientos!E:E, Movimientos!D:D, A350, Movimientos!C:C, "Ingreso", Movimientos!G:G, "G5000")+SUMIFS(Movimientos!E:E, Movimientos!D:D, A350, Movimientos!C:C, "Traslado", Movimientos!G:G, "G5000")-SUMIFS(Movimientos!E:E, Movimientos!D:D, A350, Movimientos!C:C, "Traslado", Movimientos!F:F, "G5000")-SUMIFS(Movimientos!E:E, Movimientos!D:D, A350, Movimientos!C:C, "Egreso", Movimientos!F:F, "G5000")+SUMIFS(Movimientos!E:E, Movimientos!D:D, A350, Movimientos!C:C, "Ajuste", Movimientos!F:F, "G5000")),"")</f>
        <v/>
      </c>
      <c r="I350" s="6" t="str">
        <f aca="false">IFERROR(IF(A350="","",SUMIFS(Movimientos!E:E, Movimientos!D:D, A350, Movimientos!C:C, "Ingreso", Movimientos!G:G, "G3")+SUMIFS(Movimientos!E:E, Movimientos!D:D, A350, Movimientos!C:C, "Traslado", Movimientos!G:G, "G3")-SUMIFS(Movimientos!E:E, Movimientos!D:D, A350, Movimientos!C:C, "Traslado", Movimientos!F:F, "G3")-SUMIFS(Movimientos!E:E, Movimientos!D:D, A350, Movimientos!C:C, "Egreso", Movimientos!F:F, "G3")+SUMIFS(Movimientos!E:E, Movimientos!D:D, A350, Movimientos!C:C, "Ajuste", Movimientos!F:F, "G3")),"")</f>
        <v/>
      </c>
      <c r="J350" s="6" t="str">
        <f aca="false">IFERROR(IF(A350="","",SUM(E350:I350)),"")</f>
        <v/>
      </c>
      <c r="K350" s="6" t="str">
        <f aca="false">IFERROR(IF(A350="","",SUMIFS(Movimientos!E:E, Movimientos!D:D, A350, Movimientos!C:C, "Reserva")-SUMIFS(Movimientos!E:E, Movimientos!D:D, A350, Movimientos!C:C, "Libera_Reserva")),"")</f>
        <v/>
      </c>
      <c r="L350" s="6" t="str">
        <f aca="false">IFERROR(IF(A350="","",J350-K350),"")</f>
        <v/>
      </c>
      <c r="M350" s="6" t="str">
        <f aca="false">IFERROR(IF(Productos!A350="","",Productos!G350),"")</f>
        <v/>
      </c>
      <c r="N350" s="6" t="str">
        <f aca="false">IFERROR(IF(A350="","",IF(L350&lt;M350,"BAJO STOCK","OK")),"")</f>
        <v/>
      </c>
    </row>
    <row r="351" customFormat="false" ht="15" hidden="false" customHeight="false" outlineLevel="0" collapsed="false">
      <c r="A351" s="0" t="str">
        <f aca="false">IFERROR(IF(Productos!A351="","",Productos!A351),"")</f>
        <v/>
      </c>
      <c r="B351" s="0" t="str">
        <f aca="false">IFERROR(IF(Productos!A351="","",Productos!B351),"")</f>
        <v/>
      </c>
      <c r="C351" s="0" t="str">
        <f aca="false">IFERROR(IF(Productos!A351="","",Productos!C351),"")</f>
        <v/>
      </c>
      <c r="D351" s="0" t="str">
        <f aca="false">IFERROR(IF(Productos!A351="","",Productos!E351),"")</f>
        <v/>
      </c>
      <c r="E351" s="6" t="str">
        <f aca="false">IFERROR(IF(A351="","",SUMIFS(Movimientos!E:E, Movimientos!D:D, A351, Movimientos!C:C, "Ingreso", Movimientos!G:G, "TIN")+SUMIFS(Movimientos!E:E, Movimientos!D:D, A351, Movimientos!C:C, "Traslado", Movimientos!G:G, "TIN")-SUMIFS(Movimientos!E:E, Movimientos!D:D, A351, Movimientos!C:C, "Traslado", Movimientos!F:F, "TIN")-SUMIFS(Movimientos!E:E, Movimientos!D:D, A351, Movimientos!C:C, "Egreso", Movimientos!F:F, "TIN")+SUMIFS(Movimientos!E:E, Movimientos!D:D, A351, Movimientos!C:C, "Ajuste", Movimientos!F:F, "TIN")),"")</f>
        <v/>
      </c>
      <c r="F351" s="6" t="str">
        <f aca="false">IFERROR(IF(A351="","",SUMIFS(Movimientos!E:E, Movimientos!D:D, A351, Movimientos!C:C, "Ingreso", Movimientos!G:G, "G1000")+SUMIFS(Movimientos!E:E, Movimientos!D:D, A351, Movimientos!C:C, "Traslado", Movimientos!G:G, "G1000")-SUMIFS(Movimientos!E:E, Movimientos!D:D, A351, Movimientos!C:C, "Traslado", Movimientos!F:F, "G1000")-SUMIFS(Movimientos!E:E, Movimientos!D:D, A351, Movimientos!C:C, "Egreso", Movimientos!F:F, "G1000")+SUMIFS(Movimientos!E:E, Movimientos!D:D, A351, Movimientos!C:C, "Ajuste", Movimientos!F:F, "G1000")),"")</f>
        <v/>
      </c>
      <c r="G351" s="6" t="str">
        <f aca="false">IFERROR(IF(A351="","",SUMIFS(Movimientos!E:E, Movimientos!D:D, A351, Movimientos!C:C, "Ingreso", Movimientos!G:G, "G710")+SUMIFS(Movimientos!E:E, Movimientos!D:D, A351, Movimientos!C:C, "Traslado", Movimientos!G:G, "G710")-SUMIFS(Movimientos!E:E, Movimientos!D:D, A351, Movimientos!C:C, "Traslado", Movimientos!F:F, "G710")-SUMIFS(Movimientos!E:E, Movimientos!D:D, A351, Movimientos!C:C, "Egreso", Movimientos!F:F, "G710")+SUMIFS(Movimientos!E:E, Movimientos!D:D, A351, Movimientos!C:C, "Ajuste", Movimientos!F:F, "G710")),"")</f>
        <v/>
      </c>
      <c r="H351" s="6" t="str">
        <f aca="false">IFERROR(IF(A351="","",SUMIFS(Movimientos!E:E, Movimientos!D:D, A351, Movimientos!C:C, "Ingreso", Movimientos!G:G, "G5000")+SUMIFS(Movimientos!E:E, Movimientos!D:D, A351, Movimientos!C:C, "Traslado", Movimientos!G:G, "G5000")-SUMIFS(Movimientos!E:E, Movimientos!D:D, A351, Movimientos!C:C, "Traslado", Movimientos!F:F, "G5000")-SUMIFS(Movimientos!E:E, Movimientos!D:D, A351, Movimientos!C:C, "Egreso", Movimientos!F:F, "G5000")+SUMIFS(Movimientos!E:E, Movimientos!D:D, A351, Movimientos!C:C, "Ajuste", Movimientos!F:F, "G5000")),"")</f>
        <v/>
      </c>
      <c r="I351" s="6" t="str">
        <f aca="false">IFERROR(IF(A351="","",SUMIFS(Movimientos!E:E, Movimientos!D:D, A351, Movimientos!C:C, "Ingreso", Movimientos!G:G, "G3")+SUMIFS(Movimientos!E:E, Movimientos!D:D, A351, Movimientos!C:C, "Traslado", Movimientos!G:G, "G3")-SUMIFS(Movimientos!E:E, Movimientos!D:D, A351, Movimientos!C:C, "Traslado", Movimientos!F:F, "G3")-SUMIFS(Movimientos!E:E, Movimientos!D:D, A351, Movimientos!C:C, "Egreso", Movimientos!F:F, "G3")+SUMIFS(Movimientos!E:E, Movimientos!D:D, A351, Movimientos!C:C, "Ajuste", Movimientos!F:F, "G3")),"")</f>
        <v/>
      </c>
      <c r="J351" s="6" t="str">
        <f aca="false">IFERROR(IF(A351="","",SUM(E351:I351)),"")</f>
        <v/>
      </c>
      <c r="K351" s="6" t="str">
        <f aca="false">IFERROR(IF(A351="","",SUMIFS(Movimientos!E:E, Movimientos!D:D, A351, Movimientos!C:C, "Reserva")-SUMIFS(Movimientos!E:E, Movimientos!D:D, A351, Movimientos!C:C, "Libera_Reserva")),"")</f>
        <v/>
      </c>
      <c r="L351" s="6" t="str">
        <f aca="false">IFERROR(IF(A351="","",J351-K351),"")</f>
        <v/>
      </c>
      <c r="M351" s="6" t="str">
        <f aca="false">IFERROR(IF(Productos!A351="","",Productos!G351),"")</f>
        <v/>
      </c>
      <c r="N351" s="6" t="str">
        <f aca="false">IFERROR(IF(A351="","",IF(L351&lt;M351,"BAJO STOCK","OK")),"")</f>
        <v/>
      </c>
    </row>
    <row r="352" customFormat="false" ht="15" hidden="false" customHeight="false" outlineLevel="0" collapsed="false">
      <c r="A352" s="0" t="str">
        <f aca="false">IFERROR(IF(Productos!A352="","",Productos!A352),"")</f>
        <v/>
      </c>
      <c r="B352" s="0" t="str">
        <f aca="false">IFERROR(IF(Productos!A352="","",Productos!B352),"")</f>
        <v/>
      </c>
      <c r="C352" s="0" t="str">
        <f aca="false">IFERROR(IF(Productos!A352="","",Productos!C352),"")</f>
        <v/>
      </c>
      <c r="D352" s="0" t="str">
        <f aca="false">IFERROR(IF(Productos!A352="","",Productos!E352),"")</f>
        <v/>
      </c>
      <c r="E352" s="6" t="str">
        <f aca="false">IFERROR(IF(A352="","",SUMIFS(Movimientos!E:E, Movimientos!D:D, A352, Movimientos!C:C, "Ingreso", Movimientos!G:G, "TIN")+SUMIFS(Movimientos!E:E, Movimientos!D:D, A352, Movimientos!C:C, "Traslado", Movimientos!G:G, "TIN")-SUMIFS(Movimientos!E:E, Movimientos!D:D, A352, Movimientos!C:C, "Traslado", Movimientos!F:F, "TIN")-SUMIFS(Movimientos!E:E, Movimientos!D:D, A352, Movimientos!C:C, "Egreso", Movimientos!F:F, "TIN")+SUMIFS(Movimientos!E:E, Movimientos!D:D, A352, Movimientos!C:C, "Ajuste", Movimientos!F:F, "TIN")),"")</f>
        <v/>
      </c>
      <c r="F352" s="6" t="str">
        <f aca="false">IFERROR(IF(A352="","",SUMIFS(Movimientos!E:E, Movimientos!D:D, A352, Movimientos!C:C, "Ingreso", Movimientos!G:G, "G1000")+SUMIFS(Movimientos!E:E, Movimientos!D:D, A352, Movimientos!C:C, "Traslado", Movimientos!G:G, "G1000")-SUMIFS(Movimientos!E:E, Movimientos!D:D, A352, Movimientos!C:C, "Traslado", Movimientos!F:F, "G1000")-SUMIFS(Movimientos!E:E, Movimientos!D:D, A352, Movimientos!C:C, "Egreso", Movimientos!F:F, "G1000")+SUMIFS(Movimientos!E:E, Movimientos!D:D, A352, Movimientos!C:C, "Ajuste", Movimientos!F:F, "G1000")),"")</f>
        <v/>
      </c>
      <c r="G352" s="6" t="str">
        <f aca="false">IFERROR(IF(A352="","",SUMIFS(Movimientos!E:E, Movimientos!D:D, A352, Movimientos!C:C, "Ingreso", Movimientos!G:G, "G710")+SUMIFS(Movimientos!E:E, Movimientos!D:D, A352, Movimientos!C:C, "Traslado", Movimientos!G:G, "G710")-SUMIFS(Movimientos!E:E, Movimientos!D:D, A352, Movimientos!C:C, "Traslado", Movimientos!F:F, "G710")-SUMIFS(Movimientos!E:E, Movimientos!D:D, A352, Movimientos!C:C, "Egreso", Movimientos!F:F, "G710")+SUMIFS(Movimientos!E:E, Movimientos!D:D, A352, Movimientos!C:C, "Ajuste", Movimientos!F:F, "G710")),"")</f>
        <v/>
      </c>
      <c r="H352" s="6" t="str">
        <f aca="false">IFERROR(IF(A352="","",SUMIFS(Movimientos!E:E, Movimientos!D:D, A352, Movimientos!C:C, "Ingreso", Movimientos!G:G, "G5000")+SUMIFS(Movimientos!E:E, Movimientos!D:D, A352, Movimientos!C:C, "Traslado", Movimientos!G:G, "G5000")-SUMIFS(Movimientos!E:E, Movimientos!D:D, A352, Movimientos!C:C, "Traslado", Movimientos!F:F, "G5000")-SUMIFS(Movimientos!E:E, Movimientos!D:D, A352, Movimientos!C:C, "Egreso", Movimientos!F:F, "G5000")+SUMIFS(Movimientos!E:E, Movimientos!D:D, A352, Movimientos!C:C, "Ajuste", Movimientos!F:F, "G5000")),"")</f>
        <v/>
      </c>
      <c r="I352" s="6" t="str">
        <f aca="false">IFERROR(IF(A352="","",SUMIFS(Movimientos!E:E, Movimientos!D:D, A352, Movimientos!C:C, "Ingreso", Movimientos!G:G, "G3")+SUMIFS(Movimientos!E:E, Movimientos!D:D, A352, Movimientos!C:C, "Traslado", Movimientos!G:G, "G3")-SUMIFS(Movimientos!E:E, Movimientos!D:D, A352, Movimientos!C:C, "Traslado", Movimientos!F:F, "G3")-SUMIFS(Movimientos!E:E, Movimientos!D:D, A352, Movimientos!C:C, "Egreso", Movimientos!F:F, "G3")+SUMIFS(Movimientos!E:E, Movimientos!D:D, A352, Movimientos!C:C, "Ajuste", Movimientos!F:F, "G3")),"")</f>
        <v/>
      </c>
      <c r="J352" s="6" t="str">
        <f aca="false">IFERROR(IF(A352="","",SUM(E352:I352)),"")</f>
        <v/>
      </c>
      <c r="K352" s="6" t="str">
        <f aca="false">IFERROR(IF(A352="","",SUMIFS(Movimientos!E:E, Movimientos!D:D, A352, Movimientos!C:C, "Reserva")-SUMIFS(Movimientos!E:E, Movimientos!D:D, A352, Movimientos!C:C, "Libera_Reserva")),"")</f>
        <v/>
      </c>
      <c r="L352" s="6" t="str">
        <f aca="false">IFERROR(IF(A352="","",J352-K352),"")</f>
        <v/>
      </c>
      <c r="M352" s="6" t="str">
        <f aca="false">IFERROR(IF(Productos!A352="","",Productos!G352),"")</f>
        <v/>
      </c>
      <c r="N352" s="6" t="str">
        <f aca="false">IFERROR(IF(A352="","",IF(L352&lt;M352,"BAJO STOCK","OK")),"")</f>
        <v/>
      </c>
    </row>
    <row r="353" customFormat="false" ht="15" hidden="false" customHeight="false" outlineLevel="0" collapsed="false">
      <c r="A353" s="0" t="str">
        <f aca="false">IFERROR(IF(Productos!A353="","",Productos!A353),"")</f>
        <v/>
      </c>
      <c r="B353" s="0" t="str">
        <f aca="false">IFERROR(IF(Productos!A353="","",Productos!B353),"")</f>
        <v/>
      </c>
      <c r="C353" s="0" t="str">
        <f aca="false">IFERROR(IF(Productos!A353="","",Productos!C353),"")</f>
        <v/>
      </c>
      <c r="D353" s="0" t="str">
        <f aca="false">IFERROR(IF(Productos!A353="","",Productos!E353),"")</f>
        <v/>
      </c>
      <c r="E353" s="6" t="str">
        <f aca="false">IFERROR(IF(A353="","",SUMIFS(Movimientos!E:E, Movimientos!D:D, A353, Movimientos!C:C, "Ingreso", Movimientos!G:G, "TIN")+SUMIFS(Movimientos!E:E, Movimientos!D:D, A353, Movimientos!C:C, "Traslado", Movimientos!G:G, "TIN")-SUMIFS(Movimientos!E:E, Movimientos!D:D, A353, Movimientos!C:C, "Traslado", Movimientos!F:F, "TIN")-SUMIFS(Movimientos!E:E, Movimientos!D:D, A353, Movimientos!C:C, "Egreso", Movimientos!F:F, "TIN")+SUMIFS(Movimientos!E:E, Movimientos!D:D, A353, Movimientos!C:C, "Ajuste", Movimientos!F:F, "TIN")),"")</f>
        <v/>
      </c>
      <c r="F353" s="6" t="str">
        <f aca="false">IFERROR(IF(A353="","",SUMIFS(Movimientos!E:E, Movimientos!D:D, A353, Movimientos!C:C, "Ingreso", Movimientos!G:G, "G1000")+SUMIFS(Movimientos!E:E, Movimientos!D:D, A353, Movimientos!C:C, "Traslado", Movimientos!G:G, "G1000")-SUMIFS(Movimientos!E:E, Movimientos!D:D, A353, Movimientos!C:C, "Traslado", Movimientos!F:F, "G1000")-SUMIFS(Movimientos!E:E, Movimientos!D:D, A353, Movimientos!C:C, "Egreso", Movimientos!F:F, "G1000")+SUMIFS(Movimientos!E:E, Movimientos!D:D, A353, Movimientos!C:C, "Ajuste", Movimientos!F:F, "G1000")),"")</f>
        <v/>
      </c>
      <c r="G353" s="6" t="str">
        <f aca="false">IFERROR(IF(A353="","",SUMIFS(Movimientos!E:E, Movimientos!D:D, A353, Movimientos!C:C, "Ingreso", Movimientos!G:G, "G710")+SUMIFS(Movimientos!E:E, Movimientos!D:D, A353, Movimientos!C:C, "Traslado", Movimientos!G:G, "G710")-SUMIFS(Movimientos!E:E, Movimientos!D:D, A353, Movimientos!C:C, "Traslado", Movimientos!F:F, "G710")-SUMIFS(Movimientos!E:E, Movimientos!D:D, A353, Movimientos!C:C, "Egreso", Movimientos!F:F, "G710")+SUMIFS(Movimientos!E:E, Movimientos!D:D, A353, Movimientos!C:C, "Ajuste", Movimientos!F:F, "G710")),"")</f>
        <v/>
      </c>
      <c r="H353" s="6" t="str">
        <f aca="false">IFERROR(IF(A353="","",SUMIFS(Movimientos!E:E, Movimientos!D:D, A353, Movimientos!C:C, "Ingreso", Movimientos!G:G, "G5000")+SUMIFS(Movimientos!E:E, Movimientos!D:D, A353, Movimientos!C:C, "Traslado", Movimientos!G:G, "G5000")-SUMIFS(Movimientos!E:E, Movimientos!D:D, A353, Movimientos!C:C, "Traslado", Movimientos!F:F, "G5000")-SUMIFS(Movimientos!E:E, Movimientos!D:D, A353, Movimientos!C:C, "Egreso", Movimientos!F:F, "G5000")+SUMIFS(Movimientos!E:E, Movimientos!D:D, A353, Movimientos!C:C, "Ajuste", Movimientos!F:F, "G5000")),"")</f>
        <v/>
      </c>
      <c r="I353" s="6" t="str">
        <f aca="false">IFERROR(IF(A353="","",SUMIFS(Movimientos!E:E, Movimientos!D:D, A353, Movimientos!C:C, "Ingreso", Movimientos!G:G, "G3")+SUMIFS(Movimientos!E:E, Movimientos!D:D, A353, Movimientos!C:C, "Traslado", Movimientos!G:G, "G3")-SUMIFS(Movimientos!E:E, Movimientos!D:D, A353, Movimientos!C:C, "Traslado", Movimientos!F:F, "G3")-SUMIFS(Movimientos!E:E, Movimientos!D:D, A353, Movimientos!C:C, "Egreso", Movimientos!F:F, "G3")+SUMIFS(Movimientos!E:E, Movimientos!D:D, A353, Movimientos!C:C, "Ajuste", Movimientos!F:F, "G3")),"")</f>
        <v/>
      </c>
      <c r="J353" s="6" t="str">
        <f aca="false">IFERROR(IF(A353="","",SUM(E353:I353)),"")</f>
        <v/>
      </c>
      <c r="K353" s="6" t="str">
        <f aca="false">IFERROR(IF(A353="","",SUMIFS(Movimientos!E:E, Movimientos!D:D, A353, Movimientos!C:C, "Reserva")-SUMIFS(Movimientos!E:E, Movimientos!D:D, A353, Movimientos!C:C, "Libera_Reserva")),"")</f>
        <v/>
      </c>
      <c r="L353" s="6" t="str">
        <f aca="false">IFERROR(IF(A353="","",J353-K353),"")</f>
        <v/>
      </c>
      <c r="M353" s="6" t="str">
        <f aca="false">IFERROR(IF(Productos!A353="","",Productos!G353),"")</f>
        <v/>
      </c>
      <c r="N353" s="6" t="str">
        <f aca="false">IFERROR(IF(A353="","",IF(L353&lt;M353,"BAJO STOCK","OK")),"")</f>
        <v/>
      </c>
    </row>
    <row r="354" customFormat="false" ht="15" hidden="false" customHeight="false" outlineLevel="0" collapsed="false">
      <c r="A354" s="0" t="str">
        <f aca="false">IFERROR(IF(Productos!A354="","",Productos!A354),"")</f>
        <v/>
      </c>
      <c r="B354" s="0" t="str">
        <f aca="false">IFERROR(IF(Productos!A354="","",Productos!B354),"")</f>
        <v/>
      </c>
      <c r="C354" s="0" t="str">
        <f aca="false">IFERROR(IF(Productos!A354="","",Productos!C354),"")</f>
        <v/>
      </c>
      <c r="D354" s="0" t="str">
        <f aca="false">IFERROR(IF(Productos!A354="","",Productos!E354),"")</f>
        <v/>
      </c>
      <c r="E354" s="6" t="str">
        <f aca="false">IFERROR(IF(A354="","",SUMIFS(Movimientos!E:E, Movimientos!D:D, A354, Movimientos!C:C, "Ingreso", Movimientos!G:G, "TIN")+SUMIFS(Movimientos!E:E, Movimientos!D:D, A354, Movimientos!C:C, "Traslado", Movimientos!G:G, "TIN")-SUMIFS(Movimientos!E:E, Movimientos!D:D, A354, Movimientos!C:C, "Traslado", Movimientos!F:F, "TIN")-SUMIFS(Movimientos!E:E, Movimientos!D:D, A354, Movimientos!C:C, "Egreso", Movimientos!F:F, "TIN")+SUMIFS(Movimientos!E:E, Movimientos!D:D, A354, Movimientos!C:C, "Ajuste", Movimientos!F:F, "TIN")),"")</f>
        <v/>
      </c>
      <c r="F354" s="6" t="str">
        <f aca="false">IFERROR(IF(A354="","",SUMIFS(Movimientos!E:E, Movimientos!D:D, A354, Movimientos!C:C, "Ingreso", Movimientos!G:G, "G1000")+SUMIFS(Movimientos!E:E, Movimientos!D:D, A354, Movimientos!C:C, "Traslado", Movimientos!G:G, "G1000")-SUMIFS(Movimientos!E:E, Movimientos!D:D, A354, Movimientos!C:C, "Traslado", Movimientos!F:F, "G1000")-SUMIFS(Movimientos!E:E, Movimientos!D:D, A354, Movimientos!C:C, "Egreso", Movimientos!F:F, "G1000")+SUMIFS(Movimientos!E:E, Movimientos!D:D, A354, Movimientos!C:C, "Ajuste", Movimientos!F:F, "G1000")),"")</f>
        <v/>
      </c>
      <c r="G354" s="6" t="str">
        <f aca="false">IFERROR(IF(A354="","",SUMIFS(Movimientos!E:E, Movimientos!D:D, A354, Movimientos!C:C, "Ingreso", Movimientos!G:G, "G710")+SUMIFS(Movimientos!E:E, Movimientos!D:D, A354, Movimientos!C:C, "Traslado", Movimientos!G:G, "G710")-SUMIFS(Movimientos!E:E, Movimientos!D:D, A354, Movimientos!C:C, "Traslado", Movimientos!F:F, "G710")-SUMIFS(Movimientos!E:E, Movimientos!D:D, A354, Movimientos!C:C, "Egreso", Movimientos!F:F, "G710")+SUMIFS(Movimientos!E:E, Movimientos!D:D, A354, Movimientos!C:C, "Ajuste", Movimientos!F:F, "G710")),"")</f>
        <v/>
      </c>
      <c r="H354" s="6" t="str">
        <f aca="false">IFERROR(IF(A354="","",SUMIFS(Movimientos!E:E, Movimientos!D:D, A354, Movimientos!C:C, "Ingreso", Movimientos!G:G, "G5000")+SUMIFS(Movimientos!E:E, Movimientos!D:D, A354, Movimientos!C:C, "Traslado", Movimientos!G:G, "G5000")-SUMIFS(Movimientos!E:E, Movimientos!D:D, A354, Movimientos!C:C, "Traslado", Movimientos!F:F, "G5000")-SUMIFS(Movimientos!E:E, Movimientos!D:D, A354, Movimientos!C:C, "Egreso", Movimientos!F:F, "G5000")+SUMIFS(Movimientos!E:E, Movimientos!D:D, A354, Movimientos!C:C, "Ajuste", Movimientos!F:F, "G5000")),"")</f>
        <v/>
      </c>
      <c r="I354" s="6" t="str">
        <f aca="false">IFERROR(IF(A354="","",SUMIFS(Movimientos!E:E, Movimientos!D:D, A354, Movimientos!C:C, "Ingreso", Movimientos!G:G, "G3")+SUMIFS(Movimientos!E:E, Movimientos!D:D, A354, Movimientos!C:C, "Traslado", Movimientos!G:G, "G3")-SUMIFS(Movimientos!E:E, Movimientos!D:D, A354, Movimientos!C:C, "Traslado", Movimientos!F:F, "G3")-SUMIFS(Movimientos!E:E, Movimientos!D:D, A354, Movimientos!C:C, "Egreso", Movimientos!F:F, "G3")+SUMIFS(Movimientos!E:E, Movimientos!D:D, A354, Movimientos!C:C, "Ajuste", Movimientos!F:F, "G3")),"")</f>
        <v/>
      </c>
      <c r="J354" s="6" t="str">
        <f aca="false">IFERROR(IF(A354="","",SUM(E354:I354)),"")</f>
        <v/>
      </c>
      <c r="K354" s="6" t="str">
        <f aca="false">IFERROR(IF(A354="","",SUMIFS(Movimientos!E:E, Movimientos!D:D, A354, Movimientos!C:C, "Reserva")-SUMIFS(Movimientos!E:E, Movimientos!D:D, A354, Movimientos!C:C, "Libera_Reserva")),"")</f>
        <v/>
      </c>
      <c r="L354" s="6" t="str">
        <f aca="false">IFERROR(IF(A354="","",J354-K354),"")</f>
        <v/>
      </c>
      <c r="M354" s="6" t="str">
        <f aca="false">IFERROR(IF(Productos!A354="","",Productos!G354),"")</f>
        <v/>
      </c>
      <c r="N354" s="6" t="str">
        <f aca="false">IFERROR(IF(A354="","",IF(L354&lt;M354,"BAJO STOCK","OK")),"")</f>
        <v/>
      </c>
    </row>
    <row r="355" customFormat="false" ht="15" hidden="false" customHeight="false" outlineLevel="0" collapsed="false">
      <c r="A355" s="0" t="str">
        <f aca="false">IFERROR(IF(Productos!A355="","",Productos!A355),"")</f>
        <v/>
      </c>
      <c r="B355" s="0" t="str">
        <f aca="false">IFERROR(IF(Productos!A355="","",Productos!B355),"")</f>
        <v/>
      </c>
      <c r="C355" s="0" t="str">
        <f aca="false">IFERROR(IF(Productos!A355="","",Productos!C355),"")</f>
        <v/>
      </c>
      <c r="D355" s="0" t="str">
        <f aca="false">IFERROR(IF(Productos!A355="","",Productos!E355),"")</f>
        <v/>
      </c>
      <c r="E355" s="6" t="str">
        <f aca="false">IFERROR(IF(A355="","",SUMIFS(Movimientos!E:E, Movimientos!D:D, A355, Movimientos!C:C, "Ingreso", Movimientos!G:G, "TIN")+SUMIFS(Movimientos!E:E, Movimientos!D:D, A355, Movimientos!C:C, "Traslado", Movimientos!G:G, "TIN")-SUMIFS(Movimientos!E:E, Movimientos!D:D, A355, Movimientos!C:C, "Traslado", Movimientos!F:F, "TIN")-SUMIFS(Movimientos!E:E, Movimientos!D:D, A355, Movimientos!C:C, "Egreso", Movimientos!F:F, "TIN")+SUMIFS(Movimientos!E:E, Movimientos!D:D, A355, Movimientos!C:C, "Ajuste", Movimientos!F:F, "TIN")),"")</f>
        <v/>
      </c>
      <c r="F355" s="6" t="str">
        <f aca="false">IFERROR(IF(A355="","",SUMIFS(Movimientos!E:E, Movimientos!D:D, A355, Movimientos!C:C, "Ingreso", Movimientos!G:G, "G1000")+SUMIFS(Movimientos!E:E, Movimientos!D:D, A355, Movimientos!C:C, "Traslado", Movimientos!G:G, "G1000")-SUMIFS(Movimientos!E:E, Movimientos!D:D, A355, Movimientos!C:C, "Traslado", Movimientos!F:F, "G1000")-SUMIFS(Movimientos!E:E, Movimientos!D:D, A355, Movimientos!C:C, "Egreso", Movimientos!F:F, "G1000")+SUMIFS(Movimientos!E:E, Movimientos!D:D, A355, Movimientos!C:C, "Ajuste", Movimientos!F:F, "G1000")),"")</f>
        <v/>
      </c>
      <c r="G355" s="6" t="str">
        <f aca="false">IFERROR(IF(A355="","",SUMIFS(Movimientos!E:E, Movimientos!D:D, A355, Movimientos!C:C, "Ingreso", Movimientos!G:G, "G710")+SUMIFS(Movimientos!E:E, Movimientos!D:D, A355, Movimientos!C:C, "Traslado", Movimientos!G:G, "G710")-SUMIFS(Movimientos!E:E, Movimientos!D:D, A355, Movimientos!C:C, "Traslado", Movimientos!F:F, "G710")-SUMIFS(Movimientos!E:E, Movimientos!D:D, A355, Movimientos!C:C, "Egreso", Movimientos!F:F, "G710")+SUMIFS(Movimientos!E:E, Movimientos!D:D, A355, Movimientos!C:C, "Ajuste", Movimientos!F:F, "G710")),"")</f>
        <v/>
      </c>
      <c r="H355" s="6" t="str">
        <f aca="false">IFERROR(IF(A355="","",SUMIFS(Movimientos!E:E, Movimientos!D:D, A355, Movimientos!C:C, "Ingreso", Movimientos!G:G, "G5000")+SUMIFS(Movimientos!E:E, Movimientos!D:D, A355, Movimientos!C:C, "Traslado", Movimientos!G:G, "G5000")-SUMIFS(Movimientos!E:E, Movimientos!D:D, A355, Movimientos!C:C, "Traslado", Movimientos!F:F, "G5000")-SUMIFS(Movimientos!E:E, Movimientos!D:D, A355, Movimientos!C:C, "Egreso", Movimientos!F:F, "G5000")+SUMIFS(Movimientos!E:E, Movimientos!D:D, A355, Movimientos!C:C, "Ajuste", Movimientos!F:F, "G5000")),"")</f>
        <v/>
      </c>
      <c r="I355" s="6" t="str">
        <f aca="false">IFERROR(IF(A355="","",SUMIFS(Movimientos!E:E, Movimientos!D:D, A355, Movimientos!C:C, "Ingreso", Movimientos!G:G, "G3")+SUMIFS(Movimientos!E:E, Movimientos!D:D, A355, Movimientos!C:C, "Traslado", Movimientos!G:G, "G3")-SUMIFS(Movimientos!E:E, Movimientos!D:D, A355, Movimientos!C:C, "Traslado", Movimientos!F:F, "G3")-SUMIFS(Movimientos!E:E, Movimientos!D:D, A355, Movimientos!C:C, "Egreso", Movimientos!F:F, "G3")+SUMIFS(Movimientos!E:E, Movimientos!D:D, A355, Movimientos!C:C, "Ajuste", Movimientos!F:F, "G3")),"")</f>
        <v/>
      </c>
      <c r="J355" s="6" t="str">
        <f aca="false">IFERROR(IF(A355="","",SUM(E355:I355)),"")</f>
        <v/>
      </c>
      <c r="K355" s="6" t="str">
        <f aca="false">IFERROR(IF(A355="","",SUMIFS(Movimientos!E:E, Movimientos!D:D, A355, Movimientos!C:C, "Reserva")-SUMIFS(Movimientos!E:E, Movimientos!D:D, A355, Movimientos!C:C, "Libera_Reserva")),"")</f>
        <v/>
      </c>
      <c r="L355" s="6" t="str">
        <f aca="false">IFERROR(IF(A355="","",J355-K355),"")</f>
        <v/>
      </c>
      <c r="M355" s="6" t="str">
        <f aca="false">IFERROR(IF(Productos!A355="","",Productos!G355),"")</f>
        <v/>
      </c>
      <c r="N355" s="6" t="str">
        <f aca="false">IFERROR(IF(A355="","",IF(L355&lt;M355,"BAJO STOCK","OK")),"")</f>
        <v/>
      </c>
    </row>
    <row r="356" customFormat="false" ht="15" hidden="false" customHeight="false" outlineLevel="0" collapsed="false">
      <c r="A356" s="0" t="str">
        <f aca="false">IFERROR(IF(Productos!A356="","",Productos!A356),"")</f>
        <v/>
      </c>
      <c r="B356" s="0" t="str">
        <f aca="false">IFERROR(IF(Productos!A356="","",Productos!B356),"")</f>
        <v/>
      </c>
      <c r="C356" s="0" t="str">
        <f aca="false">IFERROR(IF(Productos!A356="","",Productos!C356),"")</f>
        <v/>
      </c>
      <c r="D356" s="0" t="str">
        <f aca="false">IFERROR(IF(Productos!A356="","",Productos!E356),"")</f>
        <v/>
      </c>
      <c r="E356" s="6" t="str">
        <f aca="false">IFERROR(IF(A356="","",SUMIFS(Movimientos!E:E, Movimientos!D:D, A356, Movimientos!C:C, "Ingreso", Movimientos!G:G, "TIN")+SUMIFS(Movimientos!E:E, Movimientos!D:D, A356, Movimientos!C:C, "Traslado", Movimientos!G:G, "TIN")-SUMIFS(Movimientos!E:E, Movimientos!D:D, A356, Movimientos!C:C, "Traslado", Movimientos!F:F, "TIN")-SUMIFS(Movimientos!E:E, Movimientos!D:D, A356, Movimientos!C:C, "Egreso", Movimientos!F:F, "TIN")+SUMIFS(Movimientos!E:E, Movimientos!D:D, A356, Movimientos!C:C, "Ajuste", Movimientos!F:F, "TIN")),"")</f>
        <v/>
      </c>
      <c r="F356" s="6" t="str">
        <f aca="false">IFERROR(IF(A356="","",SUMIFS(Movimientos!E:E, Movimientos!D:D, A356, Movimientos!C:C, "Ingreso", Movimientos!G:G, "G1000")+SUMIFS(Movimientos!E:E, Movimientos!D:D, A356, Movimientos!C:C, "Traslado", Movimientos!G:G, "G1000")-SUMIFS(Movimientos!E:E, Movimientos!D:D, A356, Movimientos!C:C, "Traslado", Movimientos!F:F, "G1000")-SUMIFS(Movimientos!E:E, Movimientos!D:D, A356, Movimientos!C:C, "Egreso", Movimientos!F:F, "G1000")+SUMIFS(Movimientos!E:E, Movimientos!D:D, A356, Movimientos!C:C, "Ajuste", Movimientos!F:F, "G1000")),"")</f>
        <v/>
      </c>
      <c r="G356" s="6" t="str">
        <f aca="false">IFERROR(IF(A356="","",SUMIFS(Movimientos!E:E, Movimientos!D:D, A356, Movimientos!C:C, "Ingreso", Movimientos!G:G, "G710")+SUMIFS(Movimientos!E:E, Movimientos!D:D, A356, Movimientos!C:C, "Traslado", Movimientos!G:G, "G710")-SUMIFS(Movimientos!E:E, Movimientos!D:D, A356, Movimientos!C:C, "Traslado", Movimientos!F:F, "G710")-SUMIFS(Movimientos!E:E, Movimientos!D:D, A356, Movimientos!C:C, "Egreso", Movimientos!F:F, "G710")+SUMIFS(Movimientos!E:E, Movimientos!D:D, A356, Movimientos!C:C, "Ajuste", Movimientos!F:F, "G710")),"")</f>
        <v/>
      </c>
      <c r="H356" s="6" t="str">
        <f aca="false">IFERROR(IF(A356="","",SUMIFS(Movimientos!E:E, Movimientos!D:D, A356, Movimientos!C:C, "Ingreso", Movimientos!G:G, "G5000")+SUMIFS(Movimientos!E:E, Movimientos!D:D, A356, Movimientos!C:C, "Traslado", Movimientos!G:G, "G5000")-SUMIFS(Movimientos!E:E, Movimientos!D:D, A356, Movimientos!C:C, "Traslado", Movimientos!F:F, "G5000")-SUMIFS(Movimientos!E:E, Movimientos!D:D, A356, Movimientos!C:C, "Egreso", Movimientos!F:F, "G5000")+SUMIFS(Movimientos!E:E, Movimientos!D:D, A356, Movimientos!C:C, "Ajuste", Movimientos!F:F, "G5000")),"")</f>
        <v/>
      </c>
      <c r="I356" s="6" t="str">
        <f aca="false">IFERROR(IF(A356="","",SUMIFS(Movimientos!E:E, Movimientos!D:D, A356, Movimientos!C:C, "Ingreso", Movimientos!G:G, "G3")+SUMIFS(Movimientos!E:E, Movimientos!D:D, A356, Movimientos!C:C, "Traslado", Movimientos!G:G, "G3")-SUMIFS(Movimientos!E:E, Movimientos!D:D, A356, Movimientos!C:C, "Traslado", Movimientos!F:F, "G3")-SUMIFS(Movimientos!E:E, Movimientos!D:D, A356, Movimientos!C:C, "Egreso", Movimientos!F:F, "G3")+SUMIFS(Movimientos!E:E, Movimientos!D:D, A356, Movimientos!C:C, "Ajuste", Movimientos!F:F, "G3")),"")</f>
        <v/>
      </c>
      <c r="J356" s="6" t="str">
        <f aca="false">IFERROR(IF(A356="","",SUM(E356:I356)),"")</f>
        <v/>
      </c>
      <c r="K356" s="6" t="str">
        <f aca="false">IFERROR(IF(A356="","",SUMIFS(Movimientos!E:E, Movimientos!D:D, A356, Movimientos!C:C, "Reserva")-SUMIFS(Movimientos!E:E, Movimientos!D:D, A356, Movimientos!C:C, "Libera_Reserva")),"")</f>
        <v/>
      </c>
      <c r="L356" s="6" t="str">
        <f aca="false">IFERROR(IF(A356="","",J356-K356),"")</f>
        <v/>
      </c>
      <c r="M356" s="6" t="str">
        <f aca="false">IFERROR(IF(Productos!A356="","",Productos!G356),"")</f>
        <v/>
      </c>
      <c r="N356" s="6" t="str">
        <f aca="false">IFERROR(IF(A356="","",IF(L356&lt;M356,"BAJO STOCK","OK")),"")</f>
        <v/>
      </c>
    </row>
    <row r="357" customFormat="false" ht="15" hidden="false" customHeight="false" outlineLevel="0" collapsed="false">
      <c r="A357" s="0" t="str">
        <f aca="false">IFERROR(IF(Productos!A357="","",Productos!A357),"")</f>
        <v/>
      </c>
      <c r="B357" s="0" t="str">
        <f aca="false">IFERROR(IF(Productos!A357="","",Productos!B357),"")</f>
        <v/>
      </c>
      <c r="C357" s="0" t="str">
        <f aca="false">IFERROR(IF(Productos!A357="","",Productos!C357),"")</f>
        <v/>
      </c>
      <c r="D357" s="0" t="str">
        <f aca="false">IFERROR(IF(Productos!A357="","",Productos!E357),"")</f>
        <v/>
      </c>
      <c r="E357" s="6" t="str">
        <f aca="false">IFERROR(IF(A357="","",SUMIFS(Movimientos!E:E, Movimientos!D:D, A357, Movimientos!C:C, "Ingreso", Movimientos!G:G, "TIN")+SUMIFS(Movimientos!E:E, Movimientos!D:D, A357, Movimientos!C:C, "Traslado", Movimientos!G:G, "TIN")-SUMIFS(Movimientos!E:E, Movimientos!D:D, A357, Movimientos!C:C, "Traslado", Movimientos!F:F, "TIN")-SUMIFS(Movimientos!E:E, Movimientos!D:D, A357, Movimientos!C:C, "Egreso", Movimientos!F:F, "TIN")+SUMIFS(Movimientos!E:E, Movimientos!D:D, A357, Movimientos!C:C, "Ajuste", Movimientos!F:F, "TIN")),"")</f>
        <v/>
      </c>
      <c r="F357" s="6" t="str">
        <f aca="false">IFERROR(IF(A357="","",SUMIFS(Movimientos!E:E, Movimientos!D:D, A357, Movimientos!C:C, "Ingreso", Movimientos!G:G, "G1000")+SUMIFS(Movimientos!E:E, Movimientos!D:D, A357, Movimientos!C:C, "Traslado", Movimientos!G:G, "G1000")-SUMIFS(Movimientos!E:E, Movimientos!D:D, A357, Movimientos!C:C, "Traslado", Movimientos!F:F, "G1000")-SUMIFS(Movimientos!E:E, Movimientos!D:D, A357, Movimientos!C:C, "Egreso", Movimientos!F:F, "G1000")+SUMIFS(Movimientos!E:E, Movimientos!D:D, A357, Movimientos!C:C, "Ajuste", Movimientos!F:F, "G1000")),"")</f>
        <v/>
      </c>
      <c r="G357" s="6" t="str">
        <f aca="false">IFERROR(IF(A357="","",SUMIFS(Movimientos!E:E, Movimientos!D:D, A357, Movimientos!C:C, "Ingreso", Movimientos!G:G, "G710")+SUMIFS(Movimientos!E:E, Movimientos!D:D, A357, Movimientos!C:C, "Traslado", Movimientos!G:G, "G710")-SUMIFS(Movimientos!E:E, Movimientos!D:D, A357, Movimientos!C:C, "Traslado", Movimientos!F:F, "G710")-SUMIFS(Movimientos!E:E, Movimientos!D:D, A357, Movimientos!C:C, "Egreso", Movimientos!F:F, "G710")+SUMIFS(Movimientos!E:E, Movimientos!D:D, A357, Movimientos!C:C, "Ajuste", Movimientos!F:F, "G710")),"")</f>
        <v/>
      </c>
      <c r="H357" s="6" t="str">
        <f aca="false">IFERROR(IF(A357="","",SUMIFS(Movimientos!E:E, Movimientos!D:D, A357, Movimientos!C:C, "Ingreso", Movimientos!G:G, "G5000")+SUMIFS(Movimientos!E:E, Movimientos!D:D, A357, Movimientos!C:C, "Traslado", Movimientos!G:G, "G5000")-SUMIFS(Movimientos!E:E, Movimientos!D:D, A357, Movimientos!C:C, "Traslado", Movimientos!F:F, "G5000")-SUMIFS(Movimientos!E:E, Movimientos!D:D, A357, Movimientos!C:C, "Egreso", Movimientos!F:F, "G5000")+SUMIFS(Movimientos!E:E, Movimientos!D:D, A357, Movimientos!C:C, "Ajuste", Movimientos!F:F, "G5000")),"")</f>
        <v/>
      </c>
      <c r="I357" s="6" t="str">
        <f aca="false">IFERROR(IF(A357="","",SUMIFS(Movimientos!E:E, Movimientos!D:D, A357, Movimientos!C:C, "Ingreso", Movimientos!G:G, "G3")+SUMIFS(Movimientos!E:E, Movimientos!D:D, A357, Movimientos!C:C, "Traslado", Movimientos!G:G, "G3")-SUMIFS(Movimientos!E:E, Movimientos!D:D, A357, Movimientos!C:C, "Traslado", Movimientos!F:F, "G3")-SUMIFS(Movimientos!E:E, Movimientos!D:D, A357, Movimientos!C:C, "Egreso", Movimientos!F:F, "G3")+SUMIFS(Movimientos!E:E, Movimientos!D:D, A357, Movimientos!C:C, "Ajuste", Movimientos!F:F, "G3")),"")</f>
        <v/>
      </c>
      <c r="J357" s="6" t="str">
        <f aca="false">IFERROR(IF(A357="","",SUM(E357:I357)),"")</f>
        <v/>
      </c>
      <c r="K357" s="6" t="str">
        <f aca="false">IFERROR(IF(A357="","",SUMIFS(Movimientos!E:E, Movimientos!D:D, A357, Movimientos!C:C, "Reserva")-SUMIFS(Movimientos!E:E, Movimientos!D:D, A357, Movimientos!C:C, "Libera_Reserva")),"")</f>
        <v/>
      </c>
      <c r="L357" s="6" t="str">
        <f aca="false">IFERROR(IF(A357="","",J357-K357),"")</f>
        <v/>
      </c>
      <c r="M357" s="6" t="str">
        <f aca="false">IFERROR(IF(Productos!A357="","",Productos!G357),"")</f>
        <v/>
      </c>
      <c r="N357" s="6" t="str">
        <f aca="false">IFERROR(IF(A357="","",IF(L357&lt;M357,"BAJO STOCK","OK")),"")</f>
        <v/>
      </c>
    </row>
    <row r="358" customFormat="false" ht="15" hidden="false" customHeight="false" outlineLevel="0" collapsed="false">
      <c r="A358" s="0" t="str">
        <f aca="false">IFERROR(IF(Productos!A358="","",Productos!A358),"")</f>
        <v/>
      </c>
      <c r="B358" s="0" t="str">
        <f aca="false">IFERROR(IF(Productos!A358="","",Productos!B358),"")</f>
        <v/>
      </c>
      <c r="C358" s="0" t="str">
        <f aca="false">IFERROR(IF(Productos!A358="","",Productos!C358),"")</f>
        <v/>
      </c>
      <c r="D358" s="0" t="str">
        <f aca="false">IFERROR(IF(Productos!A358="","",Productos!E358),"")</f>
        <v/>
      </c>
      <c r="E358" s="6" t="str">
        <f aca="false">IFERROR(IF(A358="","",SUMIFS(Movimientos!E:E, Movimientos!D:D, A358, Movimientos!C:C, "Ingreso", Movimientos!G:G, "TIN")+SUMIFS(Movimientos!E:E, Movimientos!D:D, A358, Movimientos!C:C, "Traslado", Movimientos!G:G, "TIN")-SUMIFS(Movimientos!E:E, Movimientos!D:D, A358, Movimientos!C:C, "Traslado", Movimientos!F:F, "TIN")-SUMIFS(Movimientos!E:E, Movimientos!D:D, A358, Movimientos!C:C, "Egreso", Movimientos!F:F, "TIN")+SUMIFS(Movimientos!E:E, Movimientos!D:D, A358, Movimientos!C:C, "Ajuste", Movimientos!F:F, "TIN")),"")</f>
        <v/>
      </c>
      <c r="F358" s="6" t="str">
        <f aca="false">IFERROR(IF(A358="","",SUMIFS(Movimientos!E:E, Movimientos!D:D, A358, Movimientos!C:C, "Ingreso", Movimientos!G:G, "G1000")+SUMIFS(Movimientos!E:E, Movimientos!D:D, A358, Movimientos!C:C, "Traslado", Movimientos!G:G, "G1000")-SUMIFS(Movimientos!E:E, Movimientos!D:D, A358, Movimientos!C:C, "Traslado", Movimientos!F:F, "G1000")-SUMIFS(Movimientos!E:E, Movimientos!D:D, A358, Movimientos!C:C, "Egreso", Movimientos!F:F, "G1000")+SUMIFS(Movimientos!E:E, Movimientos!D:D, A358, Movimientos!C:C, "Ajuste", Movimientos!F:F, "G1000")),"")</f>
        <v/>
      </c>
      <c r="G358" s="6" t="str">
        <f aca="false">IFERROR(IF(A358="","",SUMIFS(Movimientos!E:E, Movimientos!D:D, A358, Movimientos!C:C, "Ingreso", Movimientos!G:G, "G710")+SUMIFS(Movimientos!E:E, Movimientos!D:D, A358, Movimientos!C:C, "Traslado", Movimientos!G:G, "G710")-SUMIFS(Movimientos!E:E, Movimientos!D:D, A358, Movimientos!C:C, "Traslado", Movimientos!F:F, "G710")-SUMIFS(Movimientos!E:E, Movimientos!D:D, A358, Movimientos!C:C, "Egreso", Movimientos!F:F, "G710")+SUMIFS(Movimientos!E:E, Movimientos!D:D, A358, Movimientos!C:C, "Ajuste", Movimientos!F:F, "G710")),"")</f>
        <v/>
      </c>
      <c r="H358" s="6" t="str">
        <f aca="false">IFERROR(IF(A358="","",SUMIFS(Movimientos!E:E, Movimientos!D:D, A358, Movimientos!C:C, "Ingreso", Movimientos!G:G, "G5000")+SUMIFS(Movimientos!E:E, Movimientos!D:D, A358, Movimientos!C:C, "Traslado", Movimientos!G:G, "G5000")-SUMIFS(Movimientos!E:E, Movimientos!D:D, A358, Movimientos!C:C, "Traslado", Movimientos!F:F, "G5000")-SUMIFS(Movimientos!E:E, Movimientos!D:D, A358, Movimientos!C:C, "Egreso", Movimientos!F:F, "G5000")+SUMIFS(Movimientos!E:E, Movimientos!D:D, A358, Movimientos!C:C, "Ajuste", Movimientos!F:F, "G5000")),"")</f>
        <v/>
      </c>
      <c r="I358" s="6" t="str">
        <f aca="false">IFERROR(IF(A358="","",SUMIFS(Movimientos!E:E, Movimientos!D:D, A358, Movimientos!C:C, "Ingreso", Movimientos!G:G, "G3")+SUMIFS(Movimientos!E:E, Movimientos!D:D, A358, Movimientos!C:C, "Traslado", Movimientos!G:G, "G3")-SUMIFS(Movimientos!E:E, Movimientos!D:D, A358, Movimientos!C:C, "Traslado", Movimientos!F:F, "G3")-SUMIFS(Movimientos!E:E, Movimientos!D:D, A358, Movimientos!C:C, "Egreso", Movimientos!F:F, "G3")+SUMIFS(Movimientos!E:E, Movimientos!D:D, A358, Movimientos!C:C, "Ajuste", Movimientos!F:F, "G3")),"")</f>
        <v/>
      </c>
      <c r="J358" s="6" t="str">
        <f aca="false">IFERROR(IF(A358="","",SUM(E358:I358)),"")</f>
        <v/>
      </c>
      <c r="K358" s="6" t="str">
        <f aca="false">IFERROR(IF(A358="","",SUMIFS(Movimientos!E:E, Movimientos!D:D, A358, Movimientos!C:C, "Reserva")-SUMIFS(Movimientos!E:E, Movimientos!D:D, A358, Movimientos!C:C, "Libera_Reserva")),"")</f>
        <v/>
      </c>
      <c r="L358" s="6" t="str">
        <f aca="false">IFERROR(IF(A358="","",J358-K358),"")</f>
        <v/>
      </c>
      <c r="M358" s="6" t="str">
        <f aca="false">IFERROR(IF(Productos!A358="","",Productos!G358),"")</f>
        <v/>
      </c>
      <c r="N358" s="6" t="str">
        <f aca="false">IFERROR(IF(A358="","",IF(L358&lt;M358,"BAJO STOCK","OK")),"")</f>
        <v/>
      </c>
    </row>
    <row r="359" customFormat="false" ht="15" hidden="false" customHeight="false" outlineLevel="0" collapsed="false">
      <c r="A359" s="0" t="str">
        <f aca="false">IFERROR(IF(Productos!A359="","",Productos!A359),"")</f>
        <v/>
      </c>
      <c r="B359" s="0" t="str">
        <f aca="false">IFERROR(IF(Productos!A359="","",Productos!B359),"")</f>
        <v/>
      </c>
      <c r="C359" s="0" t="str">
        <f aca="false">IFERROR(IF(Productos!A359="","",Productos!C359),"")</f>
        <v/>
      </c>
      <c r="D359" s="0" t="str">
        <f aca="false">IFERROR(IF(Productos!A359="","",Productos!E359),"")</f>
        <v/>
      </c>
      <c r="E359" s="6" t="str">
        <f aca="false">IFERROR(IF(A359="","",SUMIFS(Movimientos!E:E, Movimientos!D:D, A359, Movimientos!C:C, "Ingreso", Movimientos!G:G, "TIN")+SUMIFS(Movimientos!E:E, Movimientos!D:D, A359, Movimientos!C:C, "Traslado", Movimientos!G:G, "TIN")-SUMIFS(Movimientos!E:E, Movimientos!D:D, A359, Movimientos!C:C, "Traslado", Movimientos!F:F, "TIN")-SUMIFS(Movimientos!E:E, Movimientos!D:D, A359, Movimientos!C:C, "Egreso", Movimientos!F:F, "TIN")+SUMIFS(Movimientos!E:E, Movimientos!D:D, A359, Movimientos!C:C, "Ajuste", Movimientos!F:F, "TIN")),"")</f>
        <v/>
      </c>
      <c r="F359" s="6" t="str">
        <f aca="false">IFERROR(IF(A359="","",SUMIFS(Movimientos!E:E, Movimientos!D:D, A359, Movimientos!C:C, "Ingreso", Movimientos!G:G, "G1000")+SUMIFS(Movimientos!E:E, Movimientos!D:D, A359, Movimientos!C:C, "Traslado", Movimientos!G:G, "G1000")-SUMIFS(Movimientos!E:E, Movimientos!D:D, A359, Movimientos!C:C, "Traslado", Movimientos!F:F, "G1000")-SUMIFS(Movimientos!E:E, Movimientos!D:D, A359, Movimientos!C:C, "Egreso", Movimientos!F:F, "G1000")+SUMIFS(Movimientos!E:E, Movimientos!D:D, A359, Movimientos!C:C, "Ajuste", Movimientos!F:F, "G1000")),"")</f>
        <v/>
      </c>
      <c r="G359" s="6" t="str">
        <f aca="false">IFERROR(IF(A359="","",SUMIFS(Movimientos!E:E, Movimientos!D:D, A359, Movimientos!C:C, "Ingreso", Movimientos!G:G, "G710")+SUMIFS(Movimientos!E:E, Movimientos!D:D, A359, Movimientos!C:C, "Traslado", Movimientos!G:G, "G710")-SUMIFS(Movimientos!E:E, Movimientos!D:D, A359, Movimientos!C:C, "Traslado", Movimientos!F:F, "G710")-SUMIFS(Movimientos!E:E, Movimientos!D:D, A359, Movimientos!C:C, "Egreso", Movimientos!F:F, "G710")+SUMIFS(Movimientos!E:E, Movimientos!D:D, A359, Movimientos!C:C, "Ajuste", Movimientos!F:F, "G710")),"")</f>
        <v/>
      </c>
      <c r="H359" s="6" t="str">
        <f aca="false">IFERROR(IF(A359="","",SUMIFS(Movimientos!E:E, Movimientos!D:D, A359, Movimientos!C:C, "Ingreso", Movimientos!G:G, "G5000")+SUMIFS(Movimientos!E:E, Movimientos!D:D, A359, Movimientos!C:C, "Traslado", Movimientos!G:G, "G5000")-SUMIFS(Movimientos!E:E, Movimientos!D:D, A359, Movimientos!C:C, "Traslado", Movimientos!F:F, "G5000")-SUMIFS(Movimientos!E:E, Movimientos!D:D, A359, Movimientos!C:C, "Egreso", Movimientos!F:F, "G5000")+SUMIFS(Movimientos!E:E, Movimientos!D:D, A359, Movimientos!C:C, "Ajuste", Movimientos!F:F, "G5000")),"")</f>
        <v/>
      </c>
      <c r="I359" s="6" t="str">
        <f aca="false">IFERROR(IF(A359="","",SUMIFS(Movimientos!E:E, Movimientos!D:D, A359, Movimientos!C:C, "Ingreso", Movimientos!G:G, "G3")+SUMIFS(Movimientos!E:E, Movimientos!D:D, A359, Movimientos!C:C, "Traslado", Movimientos!G:G, "G3")-SUMIFS(Movimientos!E:E, Movimientos!D:D, A359, Movimientos!C:C, "Traslado", Movimientos!F:F, "G3")-SUMIFS(Movimientos!E:E, Movimientos!D:D, A359, Movimientos!C:C, "Egreso", Movimientos!F:F, "G3")+SUMIFS(Movimientos!E:E, Movimientos!D:D, A359, Movimientos!C:C, "Ajuste", Movimientos!F:F, "G3")),"")</f>
        <v/>
      </c>
      <c r="J359" s="6" t="str">
        <f aca="false">IFERROR(IF(A359="","",SUM(E359:I359)),"")</f>
        <v/>
      </c>
      <c r="K359" s="6" t="str">
        <f aca="false">IFERROR(IF(A359="","",SUMIFS(Movimientos!E:E, Movimientos!D:D, A359, Movimientos!C:C, "Reserva")-SUMIFS(Movimientos!E:E, Movimientos!D:D, A359, Movimientos!C:C, "Libera_Reserva")),"")</f>
        <v/>
      </c>
      <c r="L359" s="6" t="str">
        <f aca="false">IFERROR(IF(A359="","",J359-K359),"")</f>
        <v/>
      </c>
      <c r="M359" s="6" t="str">
        <f aca="false">IFERROR(IF(Productos!A359="","",Productos!G359),"")</f>
        <v/>
      </c>
      <c r="N359" s="6" t="str">
        <f aca="false">IFERROR(IF(A359="","",IF(L359&lt;M359,"BAJO STOCK","OK")),"")</f>
        <v/>
      </c>
    </row>
    <row r="360" customFormat="false" ht="15" hidden="false" customHeight="false" outlineLevel="0" collapsed="false">
      <c r="A360" s="0" t="str">
        <f aca="false">IFERROR(IF(Productos!A360="","",Productos!A360),"")</f>
        <v/>
      </c>
      <c r="B360" s="0" t="str">
        <f aca="false">IFERROR(IF(Productos!A360="","",Productos!B360),"")</f>
        <v/>
      </c>
      <c r="C360" s="0" t="str">
        <f aca="false">IFERROR(IF(Productos!A360="","",Productos!C360),"")</f>
        <v/>
      </c>
      <c r="D360" s="0" t="str">
        <f aca="false">IFERROR(IF(Productos!A360="","",Productos!E360),"")</f>
        <v/>
      </c>
      <c r="E360" s="6" t="str">
        <f aca="false">IFERROR(IF(A360="","",SUMIFS(Movimientos!E:E, Movimientos!D:D, A360, Movimientos!C:C, "Ingreso", Movimientos!G:G, "TIN")+SUMIFS(Movimientos!E:E, Movimientos!D:D, A360, Movimientos!C:C, "Traslado", Movimientos!G:G, "TIN")-SUMIFS(Movimientos!E:E, Movimientos!D:D, A360, Movimientos!C:C, "Traslado", Movimientos!F:F, "TIN")-SUMIFS(Movimientos!E:E, Movimientos!D:D, A360, Movimientos!C:C, "Egreso", Movimientos!F:F, "TIN")+SUMIFS(Movimientos!E:E, Movimientos!D:D, A360, Movimientos!C:C, "Ajuste", Movimientos!F:F, "TIN")),"")</f>
        <v/>
      </c>
      <c r="F360" s="6" t="str">
        <f aca="false">IFERROR(IF(A360="","",SUMIFS(Movimientos!E:E, Movimientos!D:D, A360, Movimientos!C:C, "Ingreso", Movimientos!G:G, "G1000")+SUMIFS(Movimientos!E:E, Movimientos!D:D, A360, Movimientos!C:C, "Traslado", Movimientos!G:G, "G1000")-SUMIFS(Movimientos!E:E, Movimientos!D:D, A360, Movimientos!C:C, "Traslado", Movimientos!F:F, "G1000")-SUMIFS(Movimientos!E:E, Movimientos!D:D, A360, Movimientos!C:C, "Egreso", Movimientos!F:F, "G1000")+SUMIFS(Movimientos!E:E, Movimientos!D:D, A360, Movimientos!C:C, "Ajuste", Movimientos!F:F, "G1000")),"")</f>
        <v/>
      </c>
      <c r="G360" s="6" t="str">
        <f aca="false">IFERROR(IF(A360="","",SUMIFS(Movimientos!E:E, Movimientos!D:D, A360, Movimientos!C:C, "Ingreso", Movimientos!G:G, "G710")+SUMIFS(Movimientos!E:E, Movimientos!D:D, A360, Movimientos!C:C, "Traslado", Movimientos!G:G, "G710")-SUMIFS(Movimientos!E:E, Movimientos!D:D, A360, Movimientos!C:C, "Traslado", Movimientos!F:F, "G710")-SUMIFS(Movimientos!E:E, Movimientos!D:D, A360, Movimientos!C:C, "Egreso", Movimientos!F:F, "G710")+SUMIFS(Movimientos!E:E, Movimientos!D:D, A360, Movimientos!C:C, "Ajuste", Movimientos!F:F, "G710")),"")</f>
        <v/>
      </c>
      <c r="H360" s="6" t="str">
        <f aca="false">IFERROR(IF(A360="","",SUMIFS(Movimientos!E:E, Movimientos!D:D, A360, Movimientos!C:C, "Ingreso", Movimientos!G:G, "G5000")+SUMIFS(Movimientos!E:E, Movimientos!D:D, A360, Movimientos!C:C, "Traslado", Movimientos!G:G, "G5000")-SUMIFS(Movimientos!E:E, Movimientos!D:D, A360, Movimientos!C:C, "Traslado", Movimientos!F:F, "G5000")-SUMIFS(Movimientos!E:E, Movimientos!D:D, A360, Movimientos!C:C, "Egreso", Movimientos!F:F, "G5000")+SUMIFS(Movimientos!E:E, Movimientos!D:D, A360, Movimientos!C:C, "Ajuste", Movimientos!F:F, "G5000")),"")</f>
        <v/>
      </c>
      <c r="I360" s="6" t="str">
        <f aca="false">IFERROR(IF(A360="","",SUMIFS(Movimientos!E:E, Movimientos!D:D, A360, Movimientos!C:C, "Ingreso", Movimientos!G:G, "G3")+SUMIFS(Movimientos!E:E, Movimientos!D:D, A360, Movimientos!C:C, "Traslado", Movimientos!G:G, "G3")-SUMIFS(Movimientos!E:E, Movimientos!D:D, A360, Movimientos!C:C, "Traslado", Movimientos!F:F, "G3")-SUMIFS(Movimientos!E:E, Movimientos!D:D, A360, Movimientos!C:C, "Egreso", Movimientos!F:F, "G3")+SUMIFS(Movimientos!E:E, Movimientos!D:D, A360, Movimientos!C:C, "Ajuste", Movimientos!F:F, "G3")),"")</f>
        <v/>
      </c>
      <c r="J360" s="6" t="str">
        <f aca="false">IFERROR(IF(A360="","",SUM(E360:I360)),"")</f>
        <v/>
      </c>
      <c r="K360" s="6" t="str">
        <f aca="false">IFERROR(IF(A360="","",SUMIFS(Movimientos!E:E, Movimientos!D:D, A360, Movimientos!C:C, "Reserva")-SUMIFS(Movimientos!E:E, Movimientos!D:D, A360, Movimientos!C:C, "Libera_Reserva")),"")</f>
        <v/>
      </c>
      <c r="L360" s="6" t="str">
        <f aca="false">IFERROR(IF(A360="","",J360-K360),"")</f>
        <v/>
      </c>
      <c r="M360" s="6" t="str">
        <f aca="false">IFERROR(IF(Productos!A360="","",Productos!G360),"")</f>
        <v/>
      </c>
      <c r="N360" s="6" t="str">
        <f aca="false">IFERROR(IF(A360="","",IF(L360&lt;M360,"BAJO STOCK","OK")),"")</f>
        <v/>
      </c>
    </row>
    <row r="361" customFormat="false" ht="15" hidden="false" customHeight="false" outlineLevel="0" collapsed="false">
      <c r="A361" s="0" t="str">
        <f aca="false">IFERROR(IF(Productos!A361="","",Productos!A361),"")</f>
        <v/>
      </c>
      <c r="B361" s="0" t="str">
        <f aca="false">IFERROR(IF(Productos!A361="","",Productos!B361),"")</f>
        <v/>
      </c>
      <c r="C361" s="0" t="str">
        <f aca="false">IFERROR(IF(Productos!A361="","",Productos!C361),"")</f>
        <v/>
      </c>
      <c r="D361" s="0" t="str">
        <f aca="false">IFERROR(IF(Productos!A361="","",Productos!E361),"")</f>
        <v/>
      </c>
      <c r="E361" s="6" t="str">
        <f aca="false">IFERROR(IF(A361="","",SUMIFS(Movimientos!E:E, Movimientos!D:D, A361, Movimientos!C:C, "Ingreso", Movimientos!G:G, "TIN")+SUMIFS(Movimientos!E:E, Movimientos!D:D, A361, Movimientos!C:C, "Traslado", Movimientos!G:G, "TIN")-SUMIFS(Movimientos!E:E, Movimientos!D:D, A361, Movimientos!C:C, "Traslado", Movimientos!F:F, "TIN")-SUMIFS(Movimientos!E:E, Movimientos!D:D, A361, Movimientos!C:C, "Egreso", Movimientos!F:F, "TIN")+SUMIFS(Movimientos!E:E, Movimientos!D:D, A361, Movimientos!C:C, "Ajuste", Movimientos!F:F, "TIN")),"")</f>
        <v/>
      </c>
      <c r="F361" s="6" t="str">
        <f aca="false">IFERROR(IF(A361="","",SUMIFS(Movimientos!E:E, Movimientos!D:D, A361, Movimientos!C:C, "Ingreso", Movimientos!G:G, "G1000")+SUMIFS(Movimientos!E:E, Movimientos!D:D, A361, Movimientos!C:C, "Traslado", Movimientos!G:G, "G1000")-SUMIFS(Movimientos!E:E, Movimientos!D:D, A361, Movimientos!C:C, "Traslado", Movimientos!F:F, "G1000")-SUMIFS(Movimientos!E:E, Movimientos!D:D, A361, Movimientos!C:C, "Egreso", Movimientos!F:F, "G1000")+SUMIFS(Movimientos!E:E, Movimientos!D:D, A361, Movimientos!C:C, "Ajuste", Movimientos!F:F, "G1000")),"")</f>
        <v/>
      </c>
      <c r="G361" s="6" t="str">
        <f aca="false">IFERROR(IF(A361="","",SUMIFS(Movimientos!E:E, Movimientos!D:D, A361, Movimientos!C:C, "Ingreso", Movimientos!G:G, "G710")+SUMIFS(Movimientos!E:E, Movimientos!D:D, A361, Movimientos!C:C, "Traslado", Movimientos!G:G, "G710")-SUMIFS(Movimientos!E:E, Movimientos!D:D, A361, Movimientos!C:C, "Traslado", Movimientos!F:F, "G710")-SUMIFS(Movimientos!E:E, Movimientos!D:D, A361, Movimientos!C:C, "Egreso", Movimientos!F:F, "G710")+SUMIFS(Movimientos!E:E, Movimientos!D:D, A361, Movimientos!C:C, "Ajuste", Movimientos!F:F, "G710")),"")</f>
        <v/>
      </c>
      <c r="H361" s="6" t="str">
        <f aca="false">IFERROR(IF(A361="","",SUMIFS(Movimientos!E:E, Movimientos!D:D, A361, Movimientos!C:C, "Ingreso", Movimientos!G:G, "G5000")+SUMIFS(Movimientos!E:E, Movimientos!D:D, A361, Movimientos!C:C, "Traslado", Movimientos!G:G, "G5000")-SUMIFS(Movimientos!E:E, Movimientos!D:D, A361, Movimientos!C:C, "Traslado", Movimientos!F:F, "G5000")-SUMIFS(Movimientos!E:E, Movimientos!D:D, A361, Movimientos!C:C, "Egreso", Movimientos!F:F, "G5000")+SUMIFS(Movimientos!E:E, Movimientos!D:D, A361, Movimientos!C:C, "Ajuste", Movimientos!F:F, "G5000")),"")</f>
        <v/>
      </c>
      <c r="I361" s="6" t="str">
        <f aca="false">IFERROR(IF(A361="","",SUMIFS(Movimientos!E:E, Movimientos!D:D, A361, Movimientos!C:C, "Ingreso", Movimientos!G:G, "G3")+SUMIFS(Movimientos!E:E, Movimientos!D:D, A361, Movimientos!C:C, "Traslado", Movimientos!G:G, "G3")-SUMIFS(Movimientos!E:E, Movimientos!D:D, A361, Movimientos!C:C, "Traslado", Movimientos!F:F, "G3")-SUMIFS(Movimientos!E:E, Movimientos!D:D, A361, Movimientos!C:C, "Egreso", Movimientos!F:F, "G3")+SUMIFS(Movimientos!E:E, Movimientos!D:D, A361, Movimientos!C:C, "Ajuste", Movimientos!F:F, "G3")),"")</f>
        <v/>
      </c>
      <c r="J361" s="6" t="str">
        <f aca="false">IFERROR(IF(A361="","",SUM(E361:I361)),"")</f>
        <v/>
      </c>
      <c r="K361" s="6" t="str">
        <f aca="false">IFERROR(IF(A361="","",SUMIFS(Movimientos!E:E, Movimientos!D:D, A361, Movimientos!C:C, "Reserva")-SUMIFS(Movimientos!E:E, Movimientos!D:D, A361, Movimientos!C:C, "Libera_Reserva")),"")</f>
        <v/>
      </c>
      <c r="L361" s="6" t="str">
        <f aca="false">IFERROR(IF(A361="","",J361-K361),"")</f>
        <v/>
      </c>
      <c r="M361" s="6" t="str">
        <f aca="false">IFERROR(IF(Productos!A361="","",Productos!G361),"")</f>
        <v/>
      </c>
      <c r="N361" s="6" t="str">
        <f aca="false">IFERROR(IF(A361="","",IF(L361&lt;M361,"BAJO STOCK","OK")),"")</f>
        <v/>
      </c>
    </row>
    <row r="362" customFormat="false" ht="15" hidden="false" customHeight="false" outlineLevel="0" collapsed="false">
      <c r="A362" s="0" t="str">
        <f aca="false">IFERROR(IF(Productos!A362="","",Productos!A362),"")</f>
        <v/>
      </c>
      <c r="B362" s="0" t="str">
        <f aca="false">IFERROR(IF(Productos!A362="","",Productos!B362),"")</f>
        <v/>
      </c>
      <c r="C362" s="0" t="str">
        <f aca="false">IFERROR(IF(Productos!A362="","",Productos!C362),"")</f>
        <v/>
      </c>
      <c r="D362" s="0" t="str">
        <f aca="false">IFERROR(IF(Productos!A362="","",Productos!E362),"")</f>
        <v/>
      </c>
      <c r="E362" s="6" t="str">
        <f aca="false">IFERROR(IF(A362="","",SUMIFS(Movimientos!E:E, Movimientos!D:D, A362, Movimientos!C:C, "Ingreso", Movimientos!G:G, "TIN")+SUMIFS(Movimientos!E:E, Movimientos!D:D, A362, Movimientos!C:C, "Traslado", Movimientos!G:G, "TIN")-SUMIFS(Movimientos!E:E, Movimientos!D:D, A362, Movimientos!C:C, "Traslado", Movimientos!F:F, "TIN")-SUMIFS(Movimientos!E:E, Movimientos!D:D, A362, Movimientos!C:C, "Egreso", Movimientos!F:F, "TIN")+SUMIFS(Movimientos!E:E, Movimientos!D:D, A362, Movimientos!C:C, "Ajuste", Movimientos!F:F, "TIN")),"")</f>
        <v/>
      </c>
      <c r="F362" s="6" t="str">
        <f aca="false">IFERROR(IF(A362="","",SUMIFS(Movimientos!E:E, Movimientos!D:D, A362, Movimientos!C:C, "Ingreso", Movimientos!G:G, "G1000")+SUMIFS(Movimientos!E:E, Movimientos!D:D, A362, Movimientos!C:C, "Traslado", Movimientos!G:G, "G1000")-SUMIFS(Movimientos!E:E, Movimientos!D:D, A362, Movimientos!C:C, "Traslado", Movimientos!F:F, "G1000")-SUMIFS(Movimientos!E:E, Movimientos!D:D, A362, Movimientos!C:C, "Egreso", Movimientos!F:F, "G1000")+SUMIFS(Movimientos!E:E, Movimientos!D:D, A362, Movimientos!C:C, "Ajuste", Movimientos!F:F, "G1000")),"")</f>
        <v/>
      </c>
      <c r="G362" s="6" t="str">
        <f aca="false">IFERROR(IF(A362="","",SUMIFS(Movimientos!E:E, Movimientos!D:D, A362, Movimientos!C:C, "Ingreso", Movimientos!G:G, "G710")+SUMIFS(Movimientos!E:E, Movimientos!D:D, A362, Movimientos!C:C, "Traslado", Movimientos!G:G, "G710")-SUMIFS(Movimientos!E:E, Movimientos!D:D, A362, Movimientos!C:C, "Traslado", Movimientos!F:F, "G710")-SUMIFS(Movimientos!E:E, Movimientos!D:D, A362, Movimientos!C:C, "Egreso", Movimientos!F:F, "G710")+SUMIFS(Movimientos!E:E, Movimientos!D:D, A362, Movimientos!C:C, "Ajuste", Movimientos!F:F, "G710")),"")</f>
        <v/>
      </c>
      <c r="H362" s="6" t="str">
        <f aca="false">IFERROR(IF(A362="","",SUMIFS(Movimientos!E:E, Movimientos!D:D, A362, Movimientos!C:C, "Ingreso", Movimientos!G:G, "G5000")+SUMIFS(Movimientos!E:E, Movimientos!D:D, A362, Movimientos!C:C, "Traslado", Movimientos!G:G, "G5000")-SUMIFS(Movimientos!E:E, Movimientos!D:D, A362, Movimientos!C:C, "Traslado", Movimientos!F:F, "G5000")-SUMIFS(Movimientos!E:E, Movimientos!D:D, A362, Movimientos!C:C, "Egreso", Movimientos!F:F, "G5000")+SUMIFS(Movimientos!E:E, Movimientos!D:D, A362, Movimientos!C:C, "Ajuste", Movimientos!F:F, "G5000")),"")</f>
        <v/>
      </c>
      <c r="I362" s="6" t="str">
        <f aca="false">IFERROR(IF(A362="","",SUMIFS(Movimientos!E:E, Movimientos!D:D, A362, Movimientos!C:C, "Ingreso", Movimientos!G:G, "G3")+SUMIFS(Movimientos!E:E, Movimientos!D:D, A362, Movimientos!C:C, "Traslado", Movimientos!G:G, "G3")-SUMIFS(Movimientos!E:E, Movimientos!D:D, A362, Movimientos!C:C, "Traslado", Movimientos!F:F, "G3")-SUMIFS(Movimientos!E:E, Movimientos!D:D, A362, Movimientos!C:C, "Egreso", Movimientos!F:F, "G3")+SUMIFS(Movimientos!E:E, Movimientos!D:D, A362, Movimientos!C:C, "Ajuste", Movimientos!F:F, "G3")),"")</f>
        <v/>
      </c>
      <c r="J362" s="6" t="str">
        <f aca="false">IFERROR(IF(A362="","",SUM(E362:I362)),"")</f>
        <v/>
      </c>
      <c r="K362" s="6" t="str">
        <f aca="false">IFERROR(IF(A362="","",SUMIFS(Movimientos!E:E, Movimientos!D:D, A362, Movimientos!C:C, "Reserva")-SUMIFS(Movimientos!E:E, Movimientos!D:D, A362, Movimientos!C:C, "Libera_Reserva")),"")</f>
        <v/>
      </c>
      <c r="L362" s="6" t="str">
        <f aca="false">IFERROR(IF(A362="","",J362-K362),"")</f>
        <v/>
      </c>
      <c r="M362" s="6" t="str">
        <f aca="false">IFERROR(IF(Productos!A362="","",Productos!G362),"")</f>
        <v/>
      </c>
      <c r="N362" s="6" t="str">
        <f aca="false">IFERROR(IF(A362="","",IF(L362&lt;M362,"BAJO STOCK","OK")),"")</f>
        <v/>
      </c>
    </row>
    <row r="363" customFormat="false" ht="15" hidden="false" customHeight="false" outlineLevel="0" collapsed="false">
      <c r="A363" s="0" t="str">
        <f aca="false">IFERROR(IF(Productos!A363="","",Productos!A363),"")</f>
        <v/>
      </c>
      <c r="B363" s="0" t="str">
        <f aca="false">IFERROR(IF(Productos!A363="","",Productos!B363),"")</f>
        <v/>
      </c>
      <c r="C363" s="0" t="str">
        <f aca="false">IFERROR(IF(Productos!A363="","",Productos!C363),"")</f>
        <v/>
      </c>
      <c r="D363" s="0" t="str">
        <f aca="false">IFERROR(IF(Productos!A363="","",Productos!E363),"")</f>
        <v/>
      </c>
      <c r="E363" s="6" t="str">
        <f aca="false">IFERROR(IF(A363="","",SUMIFS(Movimientos!E:E, Movimientos!D:D, A363, Movimientos!C:C, "Ingreso", Movimientos!G:G, "TIN")+SUMIFS(Movimientos!E:E, Movimientos!D:D, A363, Movimientos!C:C, "Traslado", Movimientos!G:G, "TIN")-SUMIFS(Movimientos!E:E, Movimientos!D:D, A363, Movimientos!C:C, "Traslado", Movimientos!F:F, "TIN")-SUMIFS(Movimientos!E:E, Movimientos!D:D, A363, Movimientos!C:C, "Egreso", Movimientos!F:F, "TIN")+SUMIFS(Movimientos!E:E, Movimientos!D:D, A363, Movimientos!C:C, "Ajuste", Movimientos!F:F, "TIN")),"")</f>
        <v/>
      </c>
      <c r="F363" s="6" t="str">
        <f aca="false">IFERROR(IF(A363="","",SUMIFS(Movimientos!E:E, Movimientos!D:D, A363, Movimientos!C:C, "Ingreso", Movimientos!G:G, "G1000")+SUMIFS(Movimientos!E:E, Movimientos!D:D, A363, Movimientos!C:C, "Traslado", Movimientos!G:G, "G1000")-SUMIFS(Movimientos!E:E, Movimientos!D:D, A363, Movimientos!C:C, "Traslado", Movimientos!F:F, "G1000")-SUMIFS(Movimientos!E:E, Movimientos!D:D, A363, Movimientos!C:C, "Egreso", Movimientos!F:F, "G1000")+SUMIFS(Movimientos!E:E, Movimientos!D:D, A363, Movimientos!C:C, "Ajuste", Movimientos!F:F, "G1000")),"")</f>
        <v/>
      </c>
      <c r="G363" s="6" t="str">
        <f aca="false">IFERROR(IF(A363="","",SUMIFS(Movimientos!E:E, Movimientos!D:D, A363, Movimientos!C:C, "Ingreso", Movimientos!G:G, "G710")+SUMIFS(Movimientos!E:E, Movimientos!D:D, A363, Movimientos!C:C, "Traslado", Movimientos!G:G, "G710")-SUMIFS(Movimientos!E:E, Movimientos!D:D, A363, Movimientos!C:C, "Traslado", Movimientos!F:F, "G710")-SUMIFS(Movimientos!E:E, Movimientos!D:D, A363, Movimientos!C:C, "Egreso", Movimientos!F:F, "G710")+SUMIFS(Movimientos!E:E, Movimientos!D:D, A363, Movimientos!C:C, "Ajuste", Movimientos!F:F, "G710")),"")</f>
        <v/>
      </c>
      <c r="H363" s="6" t="str">
        <f aca="false">IFERROR(IF(A363="","",SUMIFS(Movimientos!E:E, Movimientos!D:D, A363, Movimientos!C:C, "Ingreso", Movimientos!G:G, "G5000")+SUMIFS(Movimientos!E:E, Movimientos!D:D, A363, Movimientos!C:C, "Traslado", Movimientos!G:G, "G5000")-SUMIFS(Movimientos!E:E, Movimientos!D:D, A363, Movimientos!C:C, "Traslado", Movimientos!F:F, "G5000")-SUMIFS(Movimientos!E:E, Movimientos!D:D, A363, Movimientos!C:C, "Egreso", Movimientos!F:F, "G5000")+SUMIFS(Movimientos!E:E, Movimientos!D:D, A363, Movimientos!C:C, "Ajuste", Movimientos!F:F, "G5000")),"")</f>
        <v/>
      </c>
      <c r="I363" s="6" t="str">
        <f aca="false">IFERROR(IF(A363="","",SUMIFS(Movimientos!E:E, Movimientos!D:D, A363, Movimientos!C:C, "Ingreso", Movimientos!G:G, "G3")+SUMIFS(Movimientos!E:E, Movimientos!D:D, A363, Movimientos!C:C, "Traslado", Movimientos!G:G, "G3")-SUMIFS(Movimientos!E:E, Movimientos!D:D, A363, Movimientos!C:C, "Traslado", Movimientos!F:F, "G3")-SUMIFS(Movimientos!E:E, Movimientos!D:D, A363, Movimientos!C:C, "Egreso", Movimientos!F:F, "G3")+SUMIFS(Movimientos!E:E, Movimientos!D:D, A363, Movimientos!C:C, "Ajuste", Movimientos!F:F, "G3")),"")</f>
        <v/>
      </c>
      <c r="J363" s="6" t="str">
        <f aca="false">IFERROR(IF(A363="","",SUM(E363:I363)),"")</f>
        <v/>
      </c>
      <c r="K363" s="6" t="str">
        <f aca="false">IFERROR(IF(A363="","",SUMIFS(Movimientos!E:E, Movimientos!D:D, A363, Movimientos!C:C, "Reserva")-SUMIFS(Movimientos!E:E, Movimientos!D:D, A363, Movimientos!C:C, "Libera_Reserva")),"")</f>
        <v/>
      </c>
      <c r="L363" s="6" t="str">
        <f aca="false">IFERROR(IF(A363="","",J363-K363),"")</f>
        <v/>
      </c>
      <c r="M363" s="6" t="str">
        <f aca="false">IFERROR(IF(Productos!A363="","",Productos!G363),"")</f>
        <v/>
      </c>
      <c r="N363" s="6" t="str">
        <f aca="false">IFERROR(IF(A363="","",IF(L363&lt;M363,"BAJO STOCK","OK")),"")</f>
        <v/>
      </c>
    </row>
    <row r="364" customFormat="false" ht="15" hidden="false" customHeight="false" outlineLevel="0" collapsed="false">
      <c r="A364" s="0" t="str">
        <f aca="false">IFERROR(IF(Productos!A364="","",Productos!A364),"")</f>
        <v/>
      </c>
      <c r="B364" s="0" t="str">
        <f aca="false">IFERROR(IF(Productos!A364="","",Productos!B364),"")</f>
        <v/>
      </c>
      <c r="C364" s="0" t="str">
        <f aca="false">IFERROR(IF(Productos!A364="","",Productos!C364),"")</f>
        <v/>
      </c>
      <c r="D364" s="0" t="str">
        <f aca="false">IFERROR(IF(Productos!A364="","",Productos!E364),"")</f>
        <v/>
      </c>
      <c r="E364" s="6" t="str">
        <f aca="false">IFERROR(IF(A364="","",SUMIFS(Movimientos!E:E, Movimientos!D:D, A364, Movimientos!C:C, "Ingreso", Movimientos!G:G, "TIN")+SUMIFS(Movimientos!E:E, Movimientos!D:D, A364, Movimientos!C:C, "Traslado", Movimientos!G:G, "TIN")-SUMIFS(Movimientos!E:E, Movimientos!D:D, A364, Movimientos!C:C, "Traslado", Movimientos!F:F, "TIN")-SUMIFS(Movimientos!E:E, Movimientos!D:D, A364, Movimientos!C:C, "Egreso", Movimientos!F:F, "TIN")+SUMIFS(Movimientos!E:E, Movimientos!D:D, A364, Movimientos!C:C, "Ajuste", Movimientos!F:F, "TIN")),"")</f>
        <v/>
      </c>
      <c r="F364" s="6" t="str">
        <f aca="false">IFERROR(IF(A364="","",SUMIFS(Movimientos!E:E, Movimientos!D:D, A364, Movimientos!C:C, "Ingreso", Movimientos!G:G, "G1000")+SUMIFS(Movimientos!E:E, Movimientos!D:D, A364, Movimientos!C:C, "Traslado", Movimientos!G:G, "G1000")-SUMIFS(Movimientos!E:E, Movimientos!D:D, A364, Movimientos!C:C, "Traslado", Movimientos!F:F, "G1000")-SUMIFS(Movimientos!E:E, Movimientos!D:D, A364, Movimientos!C:C, "Egreso", Movimientos!F:F, "G1000")+SUMIFS(Movimientos!E:E, Movimientos!D:D, A364, Movimientos!C:C, "Ajuste", Movimientos!F:F, "G1000")),"")</f>
        <v/>
      </c>
      <c r="G364" s="6" t="str">
        <f aca="false">IFERROR(IF(A364="","",SUMIFS(Movimientos!E:E, Movimientos!D:D, A364, Movimientos!C:C, "Ingreso", Movimientos!G:G, "G710")+SUMIFS(Movimientos!E:E, Movimientos!D:D, A364, Movimientos!C:C, "Traslado", Movimientos!G:G, "G710")-SUMIFS(Movimientos!E:E, Movimientos!D:D, A364, Movimientos!C:C, "Traslado", Movimientos!F:F, "G710")-SUMIFS(Movimientos!E:E, Movimientos!D:D, A364, Movimientos!C:C, "Egreso", Movimientos!F:F, "G710")+SUMIFS(Movimientos!E:E, Movimientos!D:D, A364, Movimientos!C:C, "Ajuste", Movimientos!F:F, "G710")),"")</f>
        <v/>
      </c>
      <c r="H364" s="6" t="str">
        <f aca="false">IFERROR(IF(A364="","",SUMIFS(Movimientos!E:E, Movimientos!D:D, A364, Movimientos!C:C, "Ingreso", Movimientos!G:G, "G5000")+SUMIFS(Movimientos!E:E, Movimientos!D:D, A364, Movimientos!C:C, "Traslado", Movimientos!G:G, "G5000")-SUMIFS(Movimientos!E:E, Movimientos!D:D, A364, Movimientos!C:C, "Traslado", Movimientos!F:F, "G5000")-SUMIFS(Movimientos!E:E, Movimientos!D:D, A364, Movimientos!C:C, "Egreso", Movimientos!F:F, "G5000")+SUMIFS(Movimientos!E:E, Movimientos!D:D, A364, Movimientos!C:C, "Ajuste", Movimientos!F:F, "G5000")),"")</f>
        <v/>
      </c>
      <c r="I364" s="6" t="str">
        <f aca="false">IFERROR(IF(A364="","",SUMIFS(Movimientos!E:E, Movimientos!D:D, A364, Movimientos!C:C, "Ingreso", Movimientos!G:G, "G3")+SUMIFS(Movimientos!E:E, Movimientos!D:D, A364, Movimientos!C:C, "Traslado", Movimientos!G:G, "G3")-SUMIFS(Movimientos!E:E, Movimientos!D:D, A364, Movimientos!C:C, "Traslado", Movimientos!F:F, "G3")-SUMIFS(Movimientos!E:E, Movimientos!D:D, A364, Movimientos!C:C, "Egreso", Movimientos!F:F, "G3")+SUMIFS(Movimientos!E:E, Movimientos!D:D, A364, Movimientos!C:C, "Ajuste", Movimientos!F:F, "G3")),"")</f>
        <v/>
      </c>
      <c r="J364" s="6" t="str">
        <f aca="false">IFERROR(IF(A364="","",SUM(E364:I364)),"")</f>
        <v/>
      </c>
      <c r="K364" s="6" t="str">
        <f aca="false">IFERROR(IF(A364="","",SUMIFS(Movimientos!E:E, Movimientos!D:D, A364, Movimientos!C:C, "Reserva")-SUMIFS(Movimientos!E:E, Movimientos!D:D, A364, Movimientos!C:C, "Libera_Reserva")),"")</f>
        <v/>
      </c>
      <c r="L364" s="6" t="str">
        <f aca="false">IFERROR(IF(A364="","",J364-K364),"")</f>
        <v/>
      </c>
      <c r="M364" s="6" t="str">
        <f aca="false">IFERROR(IF(Productos!A364="","",Productos!G364),"")</f>
        <v/>
      </c>
      <c r="N364" s="6" t="str">
        <f aca="false">IFERROR(IF(A364="","",IF(L364&lt;M364,"BAJO STOCK","OK")),"")</f>
        <v/>
      </c>
    </row>
    <row r="365" customFormat="false" ht="15" hidden="false" customHeight="false" outlineLevel="0" collapsed="false">
      <c r="A365" s="0" t="str">
        <f aca="false">IFERROR(IF(Productos!A365="","",Productos!A365),"")</f>
        <v/>
      </c>
      <c r="B365" s="0" t="str">
        <f aca="false">IFERROR(IF(Productos!A365="","",Productos!B365),"")</f>
        <v/>
      </c>
      <c r="C365" s="0" t="str">
        <f aca="false">IFERROR(IF(Productos!A365="","",Productos!C365),"")</f>
        <v/>
      </c>
      <c r="D365" s="0" t="str">
        <f aca="false">IFERROR(IF(Productos!A365="","",Productos!E365),"")</f>
        <v/>
      </c>
      <c r="E365" s="6" t="str">
        <f aca="false">IFERROR(IF(A365="","",SUMIFS(Movimientos!E:E, Movimientos!D:D, A365, Movimientos!C:C, "Ingreso", Movimientos!G:G, "TIN")+SUMIFS(Movimientos!E:E, Movimientos!D:D, A365, Movimientos!C:C, "Traslado", Movimientos!G:G, "TIN")-SUMIFS(Movimientos!E:E, Movimientos!D:D, A365, Movimientos!C:C, "Traslado", Movimientos!F:F, "TIN")-SUMIFS(Movimientos!E:E, Movimientos!D:D, A365, Movimientos!C:C, "Egreso", Movimientos!F:F, "TIN")+SUMIFS(Movimientos!E:E, Movimientos!D:D, A365, Movimientos!C:C, "Ajuste", Movimientos!F:F, "TIN")),"")</f>
        <v/>
      </c>
      <c r="F365" s="6" t="str">
        <f aca="false">IFERROR(IF(A365="","",SUMIFS(Movimientos!E:E, Movimientos!D:D, A365, Movimientos!C:C, "Ingreso", Movimientos!G:G, "G1000")+SUMIFS(Movimientos!E:E, Movimientos!D:D, A365, Movimientos!C:C, "Traslado", Movimientos!G:G, "G1000")-SUMIFS(Movimientos!E:E, Movimientos!D:D, A365, Movimientos!C:C, "Traslado", Movimientos!F:F, "G1000")-SUMIFS(Movimientos!E:E, Movimientos!D:D, A365, Movimientos!C:C, "Egreso", Movimientos!F:F, "G1000")+SUMIFS(Movimientos!E:E, Movimientos!D:D, A365, Movimientos!C:C, "Ajuste", Movimientos!F:F, "G1000")),"")</f>
        <v/>
      </c>
      <c r="G365" s="6" t="str">
        <f aca="false">IFERROR(IF(A365="","",SUMIFS(Movimientos!E:E, Movimientos!D:D, A365, Movimientos!C:C, "Ingreso", Movimientos!G:G, "G710")+SUMIFS(Movimientos!E:E, Movimientos!D:D, A365, Movimientos!C:C, "Traslado", Movimientos!G:G, "G710")-SUMIFS(Movimientos!E:E, Movimientos!D:D, A365, Movimientos!C:C, "Traslado", Movimientos!F:F, "G710")-SUMIFS(Movimientos!E:E, Movimientos!D:D, A365, Movimientos!C:C, "Egreso", Movimientos!F:F, "G710")+SUMIFS(Movimientos!E:E, Movimientos!D:D, A365, Movimientos!C:C, "Ajuste", Movimientos!F:F, "G710")),"")</f>
        <v/>
      </c>
      <c r="H365" s="6" t="str">
        <f aca="false">IFERROR(IF(A365="","",SUMIFS(Movimientos!E:E, Movimientos!D:D, A365, Movimientos!C:C, "Ingreso", Movimientos!G:G, "G5000")+SUMIFS(Movimientos!E:E, Movimientos!D:D, A365, Movimientos!C:C, "Traslado", Movimientos!G:G, "G5000")-SUMIFS(Movimientos!E:E, Movimientos!D:D, A365, Movimientos!C:C, "Traslado", Movimientos!F:F, "G5000")-SUMIFS(Movimientos!E:E, Movimientos!D:D, A365, Movimientos!C:C, "Egreso", Movimientos!F:F, "G5000")+SUMIFS(Movimientos!E:E, Movimientos!D:D, A365, Movimientos!C:C, "Ajuste", Movimientos!F:F, "G5000")),"")</f>
        <v/>
      </c>
      <c r="I365" s="6" t="str">
        <f aca="false">IFERROR(IF(A365="","",SUMIFS(Movimientos!E:E, Movimientos!D:D, A365, Movimientos!C:C, "Ingreso", Movimientos!G:G, "G3")+SUMIFS(Movimientos!E:E, Movimientos!D:D, A365, Movimientos!C:C, "Traslado", Movimientos!G:G, "G3")-SUMIFS(Movimientos!E:E, Movimientos!D:D, A365, Movimientos!C:C, "Traslado", Movimientos!F:F, "G3")-SUMIFS(Movimientos!E:E, Movimientos!D:D, A365, Movimientos!C:C, "Egreso", Movimientos!F:F, "G3")+SUMIFS(Movimientos!E:E, Movimientos!D:D, A365, Movimientos!C:C, "Ajuste", Movimientos!F:F, "G3")),"")</f>
        <v/>
      </c>
      <c r="J365" s="6" t="str">
        <f aca="false">IFERROR(IF(A365="","",SUM(E365:I365)),"")</f>
        <v/>
      </c>
      <c r="K365" s="6" t="str">
        <f aca="false">IFERROR(IF(A365="","",SUMIFS(Movimientos!E:E, Movimientos!D:D, A365, Movimientos!C:C, "Reserva")-SUMIFS(Movimientos!E:E, Movimientos!D:D, A365, Movimientos!C:C, "Libera_Reserva")),"")</f>
        <v/>
      </c>
      <c r="L365" s="6" t="str">
        <f aca="false">IFERROR(IF(A365="","",J365-K365),"")</f>
        <v/>
      </c>
      <c r="M365" s="6" t="str">
        <f aca="false">IFERROR(IF(Productos!A365="","",Productos!G365),"")</f>
        <v/>
      </c>
      <c r="N365" s="6" t="str">
        <f aca="false">IFERROR(IF(A365="","",IF(L365&lt;M365,"BAJO STOCK","OK")),"")</f>
        <v/>
      </c>
    </row>
    <row r="366" customFormat="false" ht="15" hidden="false" customHeight="false" outlineLevel="0" collapsed="false">
      <c r="A366" s="0" t="str">
        <f aca="false">IFERROR(IF(Productos!A366="","",Productos!A366),"")</f>
        <v/>
      </c>
      <c r="B366" s="0" t="str">
        <f aca="false">IFERROR(IF(Productos!A366="","",Productos!B366),"")</f>
        <v/>
      </c>
      <c r="C366" s="0" t="str">
        <f aca="false">IFERROR(IF(Productos!A366="","",Productos!C366),"")</f>
        <v/>
      </c>
      <c r="D366" s="0" t="str">
        <f aca="false">IFERROR(IF(Productos!A366="","",Productos!E366),"")</f>
        <v/>
      </c>
      <c r="E366" s="6" t="str">
        <f aca="false">IFERROR(IF(A366="","",SUMIFS(Movimientos!E:E, Movimientos!D:D, A366, Movimientos!C:C, "Ingreso", Movimientos!G:G, "TIN")+SUMIFS(Movimientos!E:E, Movimientos!D:D, A366, Movimientos!C:C, "Traslado", Movimientos!G:G, "TIN")-SUMIFS(Movimientos!E:E, Movimientos!D:D, A366, Movimientos!C:C, "Traslado", Movimientos!F:F, "TIN")-SUMIFS(Movimientos!E:E, Movimientos!D:D, A366, Movimientos!C:C, "Egreso", Movimientos!F:F, "TIN")+SUMIFS(Movimientos!E:E, Movimientos!D:D, A366, Movimientos!C:C, "Ajuste", Movimientos!F:F, "TIN")),"")</f>
        <v/>
      </c>
      <c r="F366" s="6" t="str">
        <f aca="false">IFERROR(IF(A366="","",SUMIFS(Movimientos!E:E, Movimientos!D:D, A366, Movimientos!C:C, "Ingreso", Movimientos!G:G, "G1000")+SUMIFS(Movimientos!E:E, Movimientos!D:D, A366, Movimientos!C:C, "Traslado", Movimientos!G:G, "G1000")-SUMIFS(Movimientos!E:E, Movimientos!D:D, A366, Movimientos!C:C, "Traslado", Movimientos!F:F, "G1000")-SUMIFS(Movimientos!E:E, Movimientos!D:D, A366, Movimientos!C:C, "Egreso", Movimientos!F:F, "G1000")+SUMIFS(Movimientos!E:E, Movimientos!D:D, A366, Movimientos!C:C, "Ajuste", Movimientos!F:F, "G1000")),"")</f>
        <v/>
      </c>
      <c r="G366" s="6" t="str">
        <f aca="false">IFERROR(IF(A366="","",SUMIFS(Movimientos!E:E, Movimientos!D:D, A366, Movimientos!C:C, "Ingreso", Movimientos!G:G, "G710")+SUMIFS(Movimientos!E:E, Movimientos!D:D, A366, Movimientos!C:C, "Traslado", Movimientos!G:G, "G710")-SUMIFS(Movimientos!E:E, Movimientos!D:D, A366, Movimientos!C:C, "Traslado", Movimientos!F:F, "G710")-SUMIFS(Movimientos!E:E, Movimientos!D:D, A366, Movimientos!C:C, "Egreso", Movimientos!F:F, "G710")+SUMIFS(Movimientos!E:E, Movimientos!D:D, A366, Movimientos!C:C, "Ajuste", Movimientos!F:F, "G710")),"")</f>
        <v/>
      </c>
      <c r="H366" s="6" t="str">
        <f aca="false">IFERROR(IF(A366="","",SUMIFS(Movimientos!E:E, Movimientos!D:D, A366, Movimientos!C:C, "Ingreso", Movimientos!G:G, "G5000")+SUMIFS(Movimientos!E:E, Movimientos!D:D, A366, Movimientos!C:C, "Traslado", Movimientos!G:G, "G5000")-SUMIFS(Movimientos!E:E, Movimientos!D:D, A366, Movimientos!C:C, "Traslado", Movimientos!F:F, "G5000")-SUMIFS(Movimientos!E:E, Movimientos!D:D, A366, Movimientos!C:C, "Egreso", Movimientos!F:F, "G5000")+SUMIFS(Movimientos!E:E, Movimientos!D:D, A366, Movimientos!C:C, "Ajuste", Movimientos!F:F, "G5000")),"")</f>
        <v/>
      </c>
      <c r="I366" s="6" t="str">
        <f aca="false">IFERROR(IF(A366="","",SUMIFS(Movimientos!E:E, Movimientos!D:D, A366, Movimientos!C:C, "Ingreso", Movimientos!G:G, "G3")+SUMIFS(Movimientos!E:E, Movimientos!D:D, A366, Movimientos!C:C, "Traslado", Movimientos!G:G, "G3")-SUMIFS(Movimientos!E:E, Movimientos!D:D, A366, Movimientos!C:C, "Traslado", Movimientos!F:F, "G3")-SUMIFS(Movimientos!E:E, Movimientos!D:D, A366, Movimientos!C:C, "Egreso", Movimientos!F:F, "G3")+SUMIFS(Movimientos!E:E, Movimientos!D:D, A366, Movimientos!C:C, "Ajuste", Movimientos!F:F, "G3")),"")</f>
        <v/>
      </c>
      <c r="J366" s="6" t="str">
        <f aca="false">IFERROR(IF(A366="","",SUM(E366:I366)),"")</f>
        <v/>
      </c>
      <c r="K366" s="6" t="str">
        <f aca="false">IFERROR(IF(A366="","",SUMIFS(Movimientos!E:E, Movimientos!D:D, A366, Movimientos!C:C, "Reserva")-SUMIFS(Movimientos!E:E, Movimientos!D:D, A366, Movimientos!C:C, "Libera_Reserva")),"")</f>
        <v/>
      </c>
      <c r="L366" s="6" t="str">
        <f aca="false">IFERROR(IF(A366="","",J366-K366),"")</f>
        <v/>
      </c>
      <c r="M366" s="6" t="str">
        <f aca="false">IFERROR(IF(Productos!A366="","",Productos!G366),"")</f>
        <v/>
      </c>
      <c r="N366" s="6" t="str">
        <f aca="false">IFERROR(IF(A366="","",IF(L366&lt;M366,"BAJO STOCK","OK")),"")</f>
        <v/>
      </c>
    </row>
    <row r="367" customFormat="false" ht="15" hidden="false" customHeight="false" outlineLevel="0" collapsed="false">
      <c r="A367" s="0" t="str">
        <f aca="false">IFERROR(IF(Productos!A367="","",Productos!A367),"")</f>
        <v/>
      </c>
      <c r="B367" s="0" t="str">
        <f aca="false">IFERROR(IF(Productos!A367="","",Productos!B367),"")</f>
        <v/>
      </c>
      <c r="C367" s="0" t="str">
        <f aca="false">IFERROR(IF(Productos!A367="","",Productos!C367),"")</f>
        <v/>
      </c>
      <c r="D367" s="0" t="str">
        <f aca="false">IFERROR(IF(Productos!A367="","",Productos!E367),"")</f>
        <v/>
      </c>
      <c r="E367" s="6" t="str">
        <f aca="false">IFERROR(IF(A367="","",SUMIFS(Movimientos!E:E, Movimientos!D:D, A367, Movimientos!C:C, "Ingreso", Movimientos!G:G, "TIN")+SUMIFS(Movimientos!E:E, Movimientos!D:D, A367, Movimientos!C:C, "Traslado", Movimientos!G:G, "TIN")-SUMIFS(Movimientos!E:E, Movimientos!D:D, A367, Movimientos!C:C, "Traslado", Movimientos!F:F, "TIN")-SUMIFS(Movimientos!E:E, Movimientos!D:D, A367, Movimientos!C:C, "Egreso", Movimientos!F:F, "TIN")+SUMIFS(Movimientos!E:E, Movimientos!D:D, A367, Movimientos!C:C, "Ajuste", Movimientos!F:F, "TIN")),"")</f>
        <v/>
      </c>
      <c r="F367" s="6" t="str">
        <f aca="false">IFERROR(IF(A367="","",SUMIFS(Movimientos!E:E, Movimientos!D:D, A367, Movimientos!C:C, "Ingreso", Movimientos!G:G, "G1000")+SUMIFS(Movimientos!E:E, Movimientos!D:D, A367, Movimientos!C:C, "Traslado", Movimientos!G:G, "G1000")-SUMIFS(Movimientos!E:E, Movimientos!D:D, A367, Movimientos!C:C, "Traslado", Movimientos!F:F, "G1000")-SUMIFS(Movimientos!E:E, Movimientos!D:D, A367, Movimientos!C:C, "Egreso", Movimientos!F:F, "G1000")+SUMIFS(Movimientos!E:E, Movimientos!D:D, A367, Movimientos!C:C, "Ajuste", Movimientos!F:F, "G1000")),"")</f>
        <v/>
      </c>
      <c r="G367" s="6" t="str">
        <f aca="false">IFERROR(IF(A367="","",SUMIFS(Movimientos!E:E, Movimientos!D:D, A367, Movimientos!C:C, "Ingreso", Movimientos!G:G, "G710")+SUMIFS(Movimientos!E:E, Movimientos!D:D, A367, Movimientos!C:C, "Traslado", Movimientos!G:G, "G710")-SUMIFS(Movimientos!E:E, Movimientos!D:D, A367, Movimientos!C:C, "Traslado", Movimientos!F:F, "G710")-SUMIFS(Movimientos!E:E, Movimientos!D:D, A367, Movimientos!C:C, "Egreso", Movimientos!F:F, "G710")+SUMIFS(Movimientos!E:E, Movimientos!D:D, A367, Movimientos!C:C, "Ajuste", Movimientos!F:F, "G710")),"")</f>
        <v/>
      </c>
      <c r="H367" s="6" t="str">
        <f aca="false">IFERROR(IF(A367="","",SUMIFS(Movimientos!E:E, Movimientos!D:D, A367, Movimientos!C:C, "Ingreso", Movimientos!G:G, "G5000")+SUMIFS(Movimientos!E:E, Movimientos!D:D, A367, Movimientos!C:C, "Traslado", Movimientos!G:G, "G5000")-SUMIFS(Movimientos!E:E, Movimientos!D:D, A367, Movimientos!C:C, "Traslado", Movimientos!F:F, "G5000")-SUMIFS(Movimientos!E:E, Movimientos!D:D, A367, Movimientos!C:C, "Egreso", Movimientos!F:F, "G5000")+SUMIFS(Movimientos!E:E, Movimientos!D:D, A367, Movimientos!C:C, "Ajuste", Movimientos!F:F, "G5000")),"")</f>
        <v/>
      </c>
      <c r="I367" s="6" t="str">
        <f aca="false">IFERROR(IF(A367="","",SUMIFS(Movimientos!E:E, Movimientos!D:D, A367, Movimientos!C:C, "Ingreso", Movimientos!G:G, "G3")+SUMIFS(Movimientos!E:E, Movimientos!D:D, A367, Movimientos!C:C, "Traslado", Movimientos!G:G, "G3")-SUMIFS(Movimientos!E:E, Movimientos!D:D, A367, Movimientos!C:C, "Traslado", Movimientos!F:F, "G3")-SUMIFS(Movimientos!E:E, Movimientos!D:D, A367, Movimientos!C:C, "Egreso", Movimientos!F:F, "G3")+SUMIFS(Movimientos!E:E, Movimientos!D:D, A367, Movimientos!C:C, "Ajuste", Movimientos!F:F, "G3")),"")</f>
        <v/>
      </c>
      <c r="J367" s="6" t="str">
        <f aca="false">IFERROR(IF(A367="","",SUM(E367:I367)),"")</f>
        <v/>
      </c>
      <c r="K367" s="6" t="str">
        <f aca="false">IFERROR(IF(A367="","",SUMIFS(Movimientos!E:E, Movimientos!D:D, A367, Movimientos!C:C, "Reserva")-SUMIFS(Movimientos!E:E, Movimientos!D:D, A367, Movimientos!C:C, "Libera_Reserva")),"")</f>
        <v/>
      </c>
      <c r="L367" s="6" t="str">
        <f aca="false">IFERROR(IF(A367="","",J367-K367),"")</f>
        <v/>
      </c>
      <c r="M367" s="6" t="str">
        <f aca="false">IFERROR(IF(Productos!A367="","",Productos!G367),"")</f>
        <v/>
      </c>
      <c r="N367" s="6" t="str">
        <f aca="false">IFERROR(IF(A367="","",IF(L367&lt;M367,"BAJO STOCK","OK")),"")</f>
        <v/>
      </c>
    </row>
    <row r="368" customFormat="false" ht="15" hidden="false" customHeight="false" outlineLevel="0" collapsed="false">
      <c r="A368" s="0" t="str">
        <f aca="false">IFERROR(IF(Productos!A368="","",Productos!A368),"")</f>
        <v/>
      </c>
      <c r="B368" s="0" t="str">
        <f aca="false">IFERROR(IF(Productos!A368="","",Productos!B368),"")</f>
        <v/>
      </c>
      <c r="C368" s="0" t="str">
        <f aca="false">IFERROR(IF(Productos!A368="","",Productos!C368),"")</f>
        <v/>
      </c>
      <c r="D368" s="0" t="str">
        <f aca="false">IFERROR(IF(Productos!A368="","",Productos!E368),"")</f>
        <v/>
      </c>
      <c r="E368" s="6" t="str">
        <f aca="false">IFERROR(IF(A368="","",SUMIFS(Movimientos!E:E, Movimientos!D:D, A368, Movimientos!C:C, "Ingreso", Movimientos!G:G, "TIN")+SUMIFS(Movimientos!E:E, Movimientos!D:D, A368, Movimientos!C:C, "Traslado", Movimientos!G:G, "TIN")-SUMIFS(Movimientos!E:E, Movimientos!D:D, A368, Movimientos!C:C, "Traslado", Movimientos!F:F, "TIN")-SUMIFS(Movimientos!E:E, Movimientos!D:D, A368, Movimientos!C:C, "Egreso", Movimientos!F:F, "TIN")+SUMIFS(Movimientos!E:E, Movimientos!D:D, A368, Movimientos!C:C, "Ajuste", Movimientos!F:F, "TIN")),"")</f>
        <v/>
      </c>
      <c r="F368" s="6" t="str">
        <f aca="false">IFERROR(IF(A368="","",SUMIFS(Movimientos!E:E, Movimientos!D:D, A368, Movimientos!C:C, "Ingreso", Movimientos!G:G, "G1000")+SUMIFS(Movimientos!E:E, Movimientos!D:D, A368, Movimientos!C:C, "Traslado", Movimientos!G:G, "G1000")-SUMIFS(Movimientos!E:E, Movimientos!D:D, A368, Movimientos!C:C, "Traslado", Movimientos!F:F, "G1000")-SUMIFS(Movimientos!E:E, Movimientos!D:D, A368, Movimientos!C:C, "Egreso", Movimientos!F:F, "G1000")+SUMIFS(Movimientos!E:E, Movimientos!D:D, A368, Movimientos!C:C, "Ajuste", Movimientos!F:F, "G1000")),"")</f>
        <v/>
      </c>
      <c r="G368" s="6" t="str">
        <f aca="false">IFERROR(IF(A368="","",SUMIFS(Movimientos!E:E, Movimientos!D:D, A368, Movimientos!C:C, "Ingreso", Movimientos!G:G, "G710")+SUMIFS(Movimientos!E:E, Movimientos!D:D, A368, Movimientos!C:C, "Traslado", Movimientos!G:G, "G710")-SUMIFS(Movimientos!E:E, Movimientos!D:D, A368, Movimientos!C:C, "Traslado", Movimientos!F:F, "G710")-SUMIFS(Movimientos!E:E, Movimientos!D:D, A368, Movimientos!C:C, "Egreso", Movimientos!F:F, "G710")+SUMIFS(Movimientos!E:E, Movimientos!D:D, A368, Movimientos!C:C, "Ajuste", Movimientos!F:F, "G710")),"")</f>
        <v/>
      </c>
      <c r="H368" s="6" t="str">
        <f aca="false">IFERROR(IF(A368="","",SUMIFS(Movimientos!E:E, Movimientos!D:D, A368, Movimientos!C:C, "Ingreso", Movimientos!G:G, "G5000")+SUMIFS(Movimientos!E:E, Movimientos!D:D, A368, Movimientos!C:C, "Traslado", Movimientos!G:G, "G5000")-SUMIFS(Movimientos!E:E, Movimientos!D:D, A368, Movimientos!C:C, "Traslado", Movimientos!F:F, "G5000")-SUMIFS(Movimientos!E:E, Movimientos!D:D, A368, Movimientos!C:C, "Egreso", Movimientos!F:F, "G5000")+SUMIFS(Movimientos!E:E, Movimientos!D:D, A368, Movimientos!C:C, "Ajuste", Movimientos!F:F, "G5000")),"")</f>
        <v/>
      </c>
      <c r="I368" s="6" t="str">
        <f aca="false">IFERROR(IF(A368="","",SUMIFS(Movimientos!E:E, Movimientos!D:D, A368, Movimientos!C:C, "Ingreso", Movimientos!G:G, "G3")+SUMIFS(Movimientos!E:E, Movimientos!D:D, A368, Movimientos!C:C, "Traslado", Movimientos!G:G, "G3")-SUMIFS(Movimientos!E:E, Movimientos!D:D, A368, Movimientos!C:C, "Traslado", Movimientos!F:F, "G3")-SUMIFS(Movimientos!E:E, Movimientos!D:D, A368, Movimientos!C:C, "Egreso", Movimientos!F:F, "G3")+SUMIFS(Movimientos!E:E, Movimientos!D:D, A368, Movimientos!C:C, "Ajuste", Movimientos!F:F, "G3")),"")</f>
        <v/>
      </c>
      <c r="J368" s="6" t="str">
        <f aca="false">IFERROR(IF(A368="","",SUM(E368:I368)),"")</f>
        <v/>
      </c>
      <c r="K368" s="6" t="str">
        <f aca="false">IFERROR(IF(A368="","",SUMIFS(Movimientos!E:E, Movimientos!D:D, A368, Movimientos!C:C, "Reserva")-SUMIFS(Movimientos!E:E, Movimientos!D:D, A368, Movimientos!C:C, "Libera_Reserva")),"")</f>
        <v/>
      </c>
      <c r="L368" s="6" t="str">
        <f aca="false">IFERROR(IF(A368="","",J368-K368),"")</f>
        <v/>
      </c>
      <c r="M368" s="6" t="str">
        <f aca="false">IFERROR(IF(Productos!A368="","",Productos!G368),"")</f>
        <v/>
      </c>
      <c r="N368" s="6" t="str">
        <f aca="false">IFERROR(IF(A368="","",IF(L368&lt;M368,"BAJO STOCK","OK")),"")</f>
        <v/>
      </c>
    </row>
    <row r="369" customFormat="false" ht="15" hidden="false" customHeight="false" outlineLevel="0" collapsed="false">
      <c r="A369" s="0" t="str">
        <f aca="false">IFERROR(IF(Productos!A369="","",Productos!A369),"")</f>
        <v/>
      </c>
      <c r="B369" s="0" t="str">
        <f aca="false">IFERROR(IF(Productos!A369="","",Productos!B369),"")</f>
        <v/>
      </c>
      <c r="C369" s="0" t="str">
        <f aca="false">IFERROR(IF(Productos!A369="","",Productos!C369),"")</f>
        <v/>
      </c>
      <c r="D369" s="0" t="str">
        <f aca="false">IFERROR(IF(Productos!A369="","",Productos!E369),"")</f>
        <v/>
      </c>
      <c r="E369" s="6" t="str">
        <f aca="false">IFERROR(IF(A369="","",SUMIFS(Movimientos!E:E, Movimientos!D:D, A369, Movimientos!C:C, "Ingreso", Movimientos!G:G, "TIN")+SUMIFS(Movimientos!E:E, Movimientos!D:D, A369, Movimientos!C:C, "Traslado", Movimientos!G:G, "TIN")-SUMIFS(Movimientos!E:E, Movimientos!D:D, A369, Movimientos!C:C, "Traslado", Movimientos!F:F, "TIN")-SUMIFS(Movimientos!E:E, Movimientos!D:D, A369, Movimientos!C:C, "Egreso", Movimientos!F:F, "TIN")+SUMIFS(Movimientos!E:E, Movimientos!D:D, A369, Movimientos!C:C, "Ajuste", Movimientos!F:F, "TIN")),"")</f>
        <v/>
      </c>
      <c r="F369" s="6" t="str">
        <f aca="false">IFERROR(IF(A369="","",SUMIFS(Movimientos!E:E, Movimientos!D:D, A369, Movimientos!C:C, "Ingreso", Movimientos!G:G, "G1000")+SUMIFS(Movimientos!E:E, Movimientos!D:D, A369, Movimientos!C:C, "Traslado", Movimientos!G:G, "G1000")-SUMIFS(Movimientos!E:E, Movimientos!D:D, A369, Movimientos!C:C, "Traslado", Movimientos!F:F, "G1000")-SUMIFS(Movimientos!E:E, Movimientos!D:D, A369, Movimientos!C:C, "Egreso", Movimientos!F:F, "G1000")+SUMIFS(Movimientos!E:E, Movimientos!D:D, A369, Movimientos!C:C, "Ajuste", Movimientos!F:F, "G1000")),"")</f>
        <v/>
      </c>
      <c r="G369" s="6" t="str">
        <f aca="false">IFERROR(IF(A369="","",SUMIFS(Movimientos!E:E, Movimientos!D:D, A369, Movimientos!C:C, "Ingreso", Movimientos!G:G, "G710")+SUMIFS(Movimientos!E:E, Movimientos!D:D, A369, Movimientos!C:C, "Traslado", Movimientos!G:G, "G710")-SUMIFS(Movimientos!E:E, Movimientos!D:D, A369, Movimientos!C:C, "Traslado", Movimientos!F:F, "G710")-SUMIFS(Movimientos!E:E, Movimientos!D:D, A369, Movimientos!C:C, "Egreso", Movimientos!F:F, "G710")+SUMIFS(Movimientos!E:E, Movimientos!D:D, A369, Movimientos!C:C, "Ajuste", Movimientos!F:F, "G710")),"")</f>
        <v/>
      </c>
      <c r="H369" s="6" t="str">
        <f aca="false">IFERROR(IF(A369="","",SUMIFS(Movimientos!E:E, Movimientos!D:D, A369, Movimientos!C:C, "Ingreso", Movimientos!G:G, "G5000")+SUMIFS(Movimientos!E:E, Movimientos!D:D, A369, Movimientos!C:C, "Traslado", Movimientos!G:G, "G5000")-SUMIFS(Movimientos!E:E, Movimientos!D:D, A369, Movimientos!C:C, "Traslado", Movimientos!F:F, "G5000")-SUMIFS(Movimientos!E:E, Movimientos!D:D, A369, Movimientos!C:C, "Egreso", Movimientos!F:F, "G5000")+SUMIFS(Movimientos!E:E, Movimientos!D:D, A369, Movimientos!C:C, "Ajuste", Movimientos!F:F, "G5000")),"")</f>
        <v/>
      </c>
      <c r="I369" s="6" t="str">
        <f aca="false">IFERROR(IF(A369="","",SUMIFS(Movimientos!E:E, Movimientos!D:D, A369, Movimientos!C:C, "Ingreso", Movimientos!G:G, "G3")+SUMIFS(Movimientos!E:E, Movimientos!D:D, A369, Movimientos!C:C, "Traslado", Movimientos!G:G, "G3")-SUMIFS(Movimientos!E:E, Movimientos!D:D, A369, Movimientos!C:C, "Traslado", Movimientos!F:F, "G3")-SUMIFS(Movimientos!E:E, Movimientos!D:D, A369, Movimientos!C:C, "Egreso", Movimientos!F:F, "G3")+SUMIFS(Movimientos!E:E, Movimientos!D:D, A369, Movimientos!C:C, "Ajuste", Movimientos!F:F, "G3")),"")</f>
        <v/>
      </c>
      <c r="J369" s="6" t="str">
        <f aca="false">IFERROR(IF(A369="","",SUM(E369:I369)),"")</f>
        <v/>
      </c>
      <c r="K369" s="6" t="str">
        <f aca="false">IFERROR(IF(A369="","",SUMIFS(Movimientos!E:E, Movimientos!D:D, A369, Movimientos!C:C, "Reserva")-SUMIFS(Movimientos!E:E, Movimientos!D:D, A369, Movimientos!C:C, "Libera_Reserva")),"")</f>
        <v/>
      </c>
      <c r="L369" s="6" t="str">
        <f aca="false">IFERROR(IF(A369="","",J369-K369),"")</f>
        <v/>
      </c>
      <c r="M369" s="6" t="str">
        <f aca="false">IFERROR(IF(Productos!A369="","",Productos!G369),"")</f>
        <v/>
      </c>
      <c r="N369" s="6" t="str">
        <f aca="false">IFERROR(IF(A369="","",IF(L369&lt;M369,"BAJO STOCK","OK")),"")</f>
        <v/>
      </c>
    </row>
    <row r="370" customFormat="false" ht="15" hidden="false" customHeight="false" outlineLevel="0" collapsed="false">
      <c r="A370" s="0" t="str">
        <f aca="false">IFERROR(IF(Productos!A370="","",Productos!A370),"")</f>
        <v/>
      </c>
      <c r="B370" s="0" t="str">
        <f aca="false">IFERROR(IF(Productos!A370="","",Productos!B370),"")</f>
        <v/>
      </c>
      <c r="C370" s="0" t="str">
        <f aca="false">IFERROR(IF(Productos!A370="","",Productos!C370),"")</f>
        <v/>
      </c>
      <c r="D370" s="0" t="str">
        <f aca="false">IFERROR(IF(Productos!A370="","",Productos!E370),"")</f>
        <v/>
      </c>
      <c r="E370" s="6" t="str">
        <f aca="false">IFERROR(IF(A370="","",SUMIFS(Movimientos!E:E, Movimientos!D:D, A370, Movimientos!C:C, "Ingreso", Movimientos!G:G, "TIN")+SUMIFS(Movimientos!E:E, Movimientos!D:D, A370, Movimientos!C:C, "Traslado", Movimientos!G:G, "TIN")-SUMIFS(Movimientos!E:E, Movimientos!D:D, A370, Movimientos!C:C, "Traslado", Movimientos!F:F, "TIN")-SUMIFS(Movimientos!E:E, Movimientos!D:D, A370, Movimientos!C:C, "Egreso", Movimientos!F:F, "TIN")+SUMIFS(Movimientos!E:E, Movimientos!D:D, A370, Movimientos!C:C, "Ajuste", Movimientos!F:F, "TIN")),"")</f>
        <v/>
      </c>
      <c r="F370" s="6" t="str">
        <f aca="false">IFERROR(IF(A370="","",SUMIFS(Movimientos!E:E, Movimientos!D:D, A370, Movimientos!C:C, "Ingreso", Movimientos!G:G, "G1000")+SUMIFS(Movimientos!E:E, Movimientos!D:D, A370, Movimientos!C:C, "Traslado", Movimientos!G:G, "G1000")-SUMIFS(Movimientos!E:E, Movimientos!D:D, A370, Movimientos!C:C, "Traslado", Movimientos!F:F, "G1000")-SUMIFS(Movimientos!E:E, Movimientos!D:D, A370, Movimientos!C:C, "Egreso", Movimientos!F:F, "G1000")+SUMIFS(Movimientos!E:E, Movimientos!D:D, A370, Movimientos!C:C, "Ajuste", Movimientos!F:F, "G1000")),"")</f>
        <v/>
      </c>
      <c r="G370" s="6" t="str">
        <f aca="false">IFERROR(IF(A370="","",SUMIFS(Movimientos!E:E, Movimientos!D:D, A370, Movimientos!C:C, "Ingreso", Movimientos!G:G, "G710")+SUMIFS(Movimientos!E:E, Movimientos!D:D, A370, Movimientos!C:C, "Traslado", Movimientos!G:G, "G710")-SUMIFS(Movimientos!E:E, Movimientos!D:D, A370, Movimientos!C:C, "Traslado", Movimientos!F:F, "G710")-SUMIFS(Movimientos!E:E, Movimientos!D:D, A370, Movimientos!C:C, "Egreso", Movimientos!F:F, "G710")+SUMIFS(Movimientos!E:E, Movimientos!D:D, A370, Movimientos!C:C, "Ajuste", Movimientos!F:F, "G710")),"")</f>
        <v/>
      </c>
      <c r="H370" s="6" t="str">
        <f aca="false">IFERROR(IF(A370="","",SUMIFS(Movimientos!E:E, Movimientos!D:D, A370, Movimientos!C:C, "Ingreso", Movimientos!G:G, "G5000")+SUMIFS(Movimientos!E:E, Movimientos!D:D, A370, Movimientos!C:C, "Traslado", Movimientos!G:G, "G5000")-SUMIFS(Movimientos!E:E, Movimientos!D:D, A370, Movimientos!C:C, "Traslado", Movimientos!F:F, "G5000")-SUMIFS(Movimientos!E:E, Movimientos!D:D, A370, Movimientos!C:C, "Egreso", Movimientos!F:F, "G5000")+SUMIFS(Movimientos!E:E, Movimientos!D:D, A370, Movimientos!C:C, "Ajuste", Movimientos!F:F, "G5000")),"")</f>
        <v/>
      </c>
      <c r="I370" s="6" t="str">
        <f aca="false">IFERROR(IF(A370="","",SUMIFS(Movimientos!E:E, Movimientos!D:D, A370, Movimientos!C:C, "Ingreso", Movimientos!G:G, "G3")+SUMIFS(Movimientos!E:E, Movimientos!D:D, A370, Movimientos!C:C, "Traslado", Movimientos!G:G, "G3")-SUMIFS(Movimientos!E:E, Movimientos!D:D, A370, Movimientos!C:C, "Traslado", Movimientos!F:F, "G3")-SUMIFS(Movimientos!E:E, Movimientos!D:D, A370, Movimientos!C:C, "Egreso", Movimientos!F:F, "G3")+SUMIFS(Movimientos!E:E, Movimientos!D:D, A370, Movimientos!C:C, "Ajuste", Movimientos!F:F, "G3")),"")</f>
        <v/>
      </c>
      <c r="J370" s="6" t="str">
        <f aca="false">IFERROR(IF(A370="","",SUM(E370:I370)),"")</f>
        <v/>
      </c>
      <c r="K370" s="6" t="str">
        <f aca="false">IFERROR(IF(A370="","",SUMIFS(Movimientos!E:E, Movimientos!D:D, A370, Movimientos!C:C, "Reserva")-SUMIFS(Movimientos!E:E, Movimientos!D:D, A370, Movimientos!C:C, "Libera_Reserva")),"")</f>
        <v/>
      </c>
      <c r="L370" s="6" t="str">
        <f aca="false">IFERROR(IF(A370="","",J370-K370),"")</f>
        <v/>
      </c>
      <c r="M370" s="6" t="str">
        <f aca="false">IFERROR(IF(Productos!A370="","",Productos!G370),"")</f>
        <v/>
      </c>
      <c r="N370" s="6" t="str">
        <f aca="false">IFERROR(IF(A370="","",IF(L370&lt;M370,"BAJO STOCK","OK")),"")</f>
        <v/>
      </c>
    </row>
    <row r="371" customFormat="false" ht="15" hidden="false" customHeight="false" outlineLevel="0" collapsed="false">
      <c r="A371" s="0" t="str">
        <f aca="false">IFERROR(IF(Productos!A371="","",Productos!A371),"")</f>
        <v/>
      </c>
      <c r="B371" s="0" t="str">
        <f aca="false">IFERROR(IF(Productos!A371="","",Productos!B371),"")</f>
        <v/>
      </c>
      <c r="C371" s="0" t="str">
        <f aca="false">IFERROR(IF(Productos!A371="","",Productos!C371),"")</f>
        <v/>
      </c>
      <c r="D371" s="0" t="str">
        <f aca="false">IFERROR(IF(Productos!A371="","",Productos!E371),"")</f>
        <v/>
      </c>
      <c r="E371" s="6" t="str">
        <f aca="false">IFERROR(IF(A371="","",SUMIFS(Movimientos!E:E, Movimientos!D:D, A371, Movimientos!C:C, "Ingreso", Movimientos!G:G, "TIN")+SUMIFS(Movimientos!E:E, Movimientos!D:D, A371, Movimientos!C:C, "Traslado", Movimientos!G:G, "TIN")-SUMIFS(Movimientos!E:E, Movimientos!D:D, A371, Movimientos!C:C, "Traslado", Movimientos!F:F, "TIN")-SUMIFS(Movimientos!E:E, Movimientos!D:D, A371, Movimientos!C:C, "Egreso", Movimientos!F:F, "TIN")+SUMIFS(Movimientos!E:E, Movimientos!D:D, A371, Movimientos!C:C, "Ajuste", Movimientos!F:F, "TIN")),"")</f>
        <v/>
      </c>
      <c r="F371" s="6" t="str">
        <f aca="false">IFERROR(IF(A371="","",SUMIFS(Movimientos!E:E, Movimientos!D:D, A371, Movimientos!C:C, "Ingreso", Movimientos!G:G, "G1000")+SUMIFS(Movimientos!E:E, Movimientos!D:D, A371, Movimientos!C:C, "Traslado", Movimientos!G:G, "G1000")-SUMIFS(Movimientos!E:E, Movimientos!D:D, A371, Movimientos!C:C, "Traslado", Movimientos!F:F, "G1000")-SUMIFS(Movimientos!E:E, Movimientos!D:D, A371, Movimientos!C:C, "Egreso", Movimientos!F:F, "G1000")+SUMIFS(Movimientos!E:E, Movimientos!D:D, A371, Movimientos!C:C, "Ajuste", Movimientos!F:F, "G1000")),"")</f>
        <v/>
      </c>
      <c r="G371" s="6" t="str">
        <f aca="false">IFERROR(IF(A371="","",SUMIFS(Movimientos!E:E, Movimientos!D:D, A371, Movimientos!C:C, "Ingreso", Movimientos!G:G, "G710")+SUMIFS(Movimientos!E:E, Movimientos!D:D, A371, Movimientos!C:C, "Traslado", Movimientos!G:G, "G710")-SUMIFS(Movimientos!E:E, Movimientos!D:D, A371, Movimientos!C:C, "Traslado", Movimientos!F:F, "G710")-SUMIFS(Movimientos!E:E, Movimientos!D:D, A371, Movimientos!C:C, "Egreso", Movimientos!F:F, "G710")+SUMIFS(Movimientos!E:E, Movimientos!D:D, A371, Movimientos!C:C, "Ajuste", Movimientos!F:F, "G710")),"")</f>
        <v/>
      </c>
      <c r="H371" s="6" t="str">
        <f aca="false">IFERROR(IF(A371="","",SUMIFS(Movimientos!E:E, Movimientos!D:D, A371, Movimientos!C:C, "Ingreso", Movimientos!G:G, "G5000")+SUMIFS(Movimientos!E:E, Movimientos!D:D, A371, Movimientos!C:C, "Traslado", Movimientos!G:G, "G5000")-SUMIFS(Movimientos!E:E, Movimientos!D:D, A371, Movimientos!C:C, "Traslado", Movimientos!F:F, "G5000")-SUMIFS(Movimientos!E:E, Movimientos!D:D, A371, Movimientos!C:C, "Egreso", Movimientos!F:F, "G5000")+SUMIFS(Movimientos!E:E, Movimientos!D:D, A371, Movimientos!C:C, "Ajuste", Movimientos!F:F, "G5000")),"")</f>
        <v/>
      </c>
      <c r="I371" s="6" t="str">
        <f aca="false">IFERROR(IF(A371="","",SUMIFS(Movimientos!E:E, Movimientos!D:D, A371, Movimientos!C:C, "Ingreso", Movimientos!G:G, "G3")+SUMIFS(Movimientos!E:E, Movimientos!D:D, A371, Movimientos!C:C, "Traslado", Movimientos!G:G, "G3")-SUMIFS(Movimientos!E:E, Movimientos!D:D, A371, Movimientos!C:C, "Traslado", Movimientos!F:F, "G3")-SUMIFS(Movimientos!E:E, Movimientos!D:D, A371, Movimientos!C:C, "Egreso", Movimientos!F:F, "G3")+SUMIFS(Movimientos!E:E, Movimientos!D:D, A371, Movimientos!C:C, "Ajuste", Movimientos!F:F, "G3")),"")</f>
        <v/>
      </c>
      <c r="J371" s="6" t="str">
        <f aca="false">IFERROR(IF(A371="","",SUM(E371:I371)),"")</f>
        <v/>
      </c>
      <c r="K371" s="6" t="str">
        <f aca="false">IFERROR(IF(A371="","",SUMIFS(Movimientos!E:E, Movimientos!D:D, A371, Movimientos!C:C, "Reserva")-SUMIFS(Movimientos!E:E, Movimientos!D:D, A371, Movimientos!C:C, "Libera_Reserva")),"")</f>
        <v/>
      </c>
      <c r="L371" s="6" t="str">
        <f aca="false">IFERROR(IF(A371="","",J371-K371),"")</f>
        <v/>
      </c>
      <c r="M371" s="6" t="str">
        <f aca="false">IFERROR(IF(Productos!A371="","",Productos!G371),"")</f>
        <v/>
      </c>
      <c r="N371" s="6" t="str">
        <f aca="false">IFERROR(IF(A371="","",IF(L371&lt;M371,"BAJO STOCK","OK")),"")</f>
        <v/>
      </c>
    </row>
    <row r="372" customFormat="false" ht="15" hidden="false" customHeight="false" outlineLevel="0" collapsed="false">
      <c r="A372" s="0" t="str">
        <f aca="false">IFERROR(IF(Productos!A372="","",Productos!A372),"")</f>
        <v/>
      </c>
      <c r="B372" s="0" t="str">
        <f aca="false">IFERROR(IF(Productos!A372="","",Productos!B372),"")</f>
        <v/>
      </c>
      <c r="C372" s="0" t="str">
        <f aca="false">IFERROR(IF(Productos!A372="","",Productos!C372),"")</f>
        <v/>
      </c>
      <c r="D372" s="0" t="str">
        <f aca="false">IFERROR(IF(Productos!A372="","",Productos!E372),"")</f>
        <v/>
      </c>
      <c r="E372" s="6" t="str">
        <f aca="false">IFERROR(IF(A372="","",SUMIFS(Movimientos!E:E, Movimientos!D:D, A372, Movimientos!C:C, "Ingreso", Movimientos!G:G, "TIN")+SUMIFS(Movimientos!E:E, Movimientos!D:D, A372, Movimientos!C:C, "Traslado", Movimientos!G:G, "TIN")-SUMIFS(Movimientos!E:E, Movimientos!D:D, A372, Movimientos!C:C, "Traslado", Movimientos!F:F, "TIN")-SUMIFS(Movimientos!E:E, Movimientos!D:D, A372, Movimientos!C:C, "Egreso", Movimientos!F:F, "TIN")+SUMIFS(Movimientos!E:E, Movimientos!D:D, A372, Movimientos!C:C, "Ajuste", Movimientos!F:F, "TIN")),"")</f>
        <v/>
      </c>
      <c r="F372" s="6" t="str">
        <f aca="false">IFERROR(IF(A372="","",SUMIFS(Movimientos!E:E, Movimientos!D:D, A372, Movimientos!C:C, "Ingreso", Movimientos!G:G, "G1000")+SUMIFS(Movimientos!E:E, Movimientos!D:D, A372, Movimientos!C:C, "Traslado", Movimientos!G:G, "G1000")-SUMIFS(Movimientos!E:E, Movimientos!D:D, A372, Movimientos!C:C, "Traslado", Movimientos!F:F, "G1000")-SUMIFS(Movimientos!E:E, Movimientos!D:D, A372, Movimientos!C:C, "Egreso", Movimientos!F:F, "G1000")+SUMIFS(Movimientos!E:E, Movimientos!D:D, A372, Movimientos!C:C, "Ajuste", Movimientos!F:F, "G1000")),"")</f>
        <v/>
      </c>
      <c r="G372" s="6" t="str">
        <f aca="false">IFERROR(IF(A372="","",SUMIFS(Movimientos!E:E, Movimientos!D:D, A372, Movimientos!C:C, "Ingreso", Movimientos!G:G, "G710")+SUMIFS(Movimientos!E:E, Movimientos!D:D, A372, Movimientos!C:C, "Traslado", Movimientos!G:G, "G710")-SUMIFS(Movimientos!E:E, Movimientos!D:D, A372, Movimientos!C:C, "Traslado", Movimientos!F:F, "G710")-SUMIFS(Movimientos!E:E, Movimientos!D:D, A372, Movimientos!C:C, "Egreso", Movimientos!F:F, "G710")+SUMIFS(Movimientos!E:E, Movimientos!D:D, A372, Movimientos!C:C, "Ajuste", Movimientos!F:F, "G710")),"")</f>
        <v/>
      </c>
      <c r="H372" s="6" t="str">
        <f aca="false">IFERROR(IF(A372="","",SUMIFS(Movimientos!E:E, Movimientos!D:D, A372, Movimientos!C:C, "Ingreso", Movimientos!G:G, "G5000")+SUMIFS(Movimientos!E:E, Movimientos!D:D, A372, Movimientos!C:C, "Traslado", Movimientos!G:G, "G5000")-SUMIFS(Movimientos!E:E, Movimientos!D:D, A372, Movimientos!C:C, "Traslado", Movimientos!F:F, "G5000")-SUMIFS(Movimientos!E:E, Movimientos!D:D, A372, Movimientos!C:C, "Egreso", Movimientos!F:F, "G5000")+SUMIFS(Movimientos!E:E, Movimientos!D:D, A372, Movimientos!C:C, "Ajuste", Movimientos!F:F, "G5000")),"")</f>
        <v/>
      </c>
      <c r="I372" s="6" t="str">
        <f aca="false">IFERROR(IF(A372="","",SUMIFS(Movimientos!E:E, Movimientos!D:D, A372, Movimientos!C:C, "Ingreso", Movimientos!G:G, "G3")+SUMIFS(Movimientos!E:E, Movimientos!D:D, A372, Movimientos!C:C, "Traslado", Movimientos!G:G, "G3")-SUMIFS(Movimientos!E:E, Movimientos!D:D, A372, Movimientos!C:C, "Traslado", Movimientos!F:F, "G3")-SUMIFS(Movimientos!E:E, Movimientos!D:D, A372, Movimientos!C:C, "Egreso", Movimientos!F:F, "G3")+SUMIFS(Movimientos!E:E, Movimientos!D:D, A372, Movimientos!C:C, "Ajuste", Movimientos!F:F, "G3")),"")</f>
        <v/>
      </c>
      <c r="J372" s="6" t="str">
        <f aca="false">IFERROR(IF(A372="","",SUM(E372:I372)),"")</f>
        <v/>
      </c>
      <c r="K372" s="6" t="str">
        <f aca="false">IFERROR(IF(A372="","",SUMIFS(Movimientos!E:E, Movimientos!D:D, A372, Movimientos!C:C, "Reserva")-SUMIFS(Movimientos!E:E, Movimientos!D:D, A372, Movimientos!C:C, "Libera_Reserva")),"")</f>
        <v/>
      </c>
      <c r="L372" s="6" t="str">
        <f aca="false">IFERROR(IF(A372="","",J372-K372),"")</f>
        <v/>
      </c>
      <c r="M372" s="6" t="str">
        <f aca="false">IFERROR(IF(Productos!A372="","",Productos!G372),"")</f>
        <v/>
      </c>
      <c r="N372" s="6" t="str">
        <f aca="false">IFERROR(IF(A372="","",IF(L372&lt;M372,"BAJO STOCK","OK")),"")</f>
        <v/>
      </c>
    </row>
    <row r="373" customFormat="false" ht="15" hidden="false" customHeight="false" outlineLevel="0" collapsed="false">
      <c r="A373" s="0" t="str">
        <f aca="false">IFERROR(IF(Productos!A373="","",Productos!A373),"")</f>
        <v/>
      </c>
      <c r="B373" s="0" t="str">
        <f aca="false">IFERROR(IF(Productos!A373="","",Productos!B373),"")</f>
        <v/>
      </c>
      <c r="C373" s="0" t="str">
        <f aca="false">IFERROR(IF(Productos!A373="","",Productos!C373),"")</f>
        <v/>
      </c>
      <c r="D373" s="0" t="str">
        <f aca="false">IFERROR(IF(Productos!A373="","",Productos!E373),"")</f>
        <v/>
      </c>
      <c r="E373" s="6" t="str">
        <f aca="false">IFERROR(IF(A373="","",SUMIFS(Movimientos!E:E, Movimientos!D:D, A373, Movimientos!C:C, "Ingreso", Movimientos!G:G, "TIN")+SUMIFS(Movimientos!E:E, Movimientos!D:D, A373, Movimientos!C:C, "Traslado", Movimientos!G:G, "TIN")-SUMIFS(Movimientos!E:E, Movimientos!D:D, A373, Movimientos!C:C, "Traslado", Movimientos!F:F, "TIN")-SUMIFS(Movimientos!E:E, Movimientos!D:D, A373, Movimientos!C:C, "Egreso", Movimientos!F:F, "TIN")+SUMIFS(Movimientos!E:E, Movimientos!D:D, A373, Movimientos!C:C, "Ajuste", Movimientos!F:F, "TIN")),"")</f>
        <v/>
      </c>
      <c r="F373" s="6" t="str">
        <f aca="false">IFERROR(IF(A373="","",SUMIFS(Movimientos!E:E, Movimientos!D:D, A373, Movimientos!C:C, "Ingreso", Movimientos!G:G, "G1000")+SUMIFS(Movimientos!E:E, Movimientos!D:D, A373, Movimientos!C:C, "Traslado", Movimientos!G:G, "G1000")-SUMIFS(Movimientos!E:E, Movimientos!D:D, A373, Movimientos!C:C, "Traslado", Movimientos!F:F, "G1000")-SUMIFS(Movimientos!E:E, Movimientos!D:D, A373, Movimientos!C:C, "Egreso", Movimientos!F:F, "G1000")+SUMIFS(Movimientos!E:E, Movimientos!D:D, A373, Movimientos!C:C, "Ajuste", Movimientos!F:F, "G1000")),"")</f>
        <v/>
      </c>
      <c r="G373" s="6" t="str">
        <f aca="false">IFERROR(IF(A373="","",SUMIFS(Movimientos!E:E, Movimientos!D:D, A373, Movimientos!C:C, "Ingreso", Movimientos!G:G, "G710")+SUMIFS(Movimientos!E:E, Movimientos!D:D, A373, Movimientos!C:C, "Traslado", Movimientos!G:G, "G710")-SUMIFS(Movimientos!E:E, Movimientos!D:D, A373, Movimientos!C:C, "Traslado", Movimientos!F:F, "G710")-SUMIFS(Movimientos!E:E, Movimientos!D:D, A373, Movimientos!C:C, "Egreso", Movimientos!F:F, "G710")+SUMIFS(Movimientos!E:E, Movimientos!D:D, A373, Movimientos!C:C, "Ajuste", Movimientos!F:F, "G710")),"")</f>
        <v/>
      </c>
      <c r="H373" s="6" t="str">
        <f aca="false">IFERROR(IF(A373="","",SUMIFS(Movimientos!E:E, Movimientos!D:D, A373, Movimientos!C:C, "Ingreso", Movimientos!G:G, "G5000")+SUMIFS(Movimientos!E:E, Movimientos!D:D, A373, Movimientos!C:C, "Traslado", Movimientos!G:G, "G5000")-SUMIFS(Movimientos!E:E, Movimientos!D:D, A373, Movimientos!C:C, "Traslado", Movimientos!F:F, "G5000")-SUMIFS(Movimientos!E:E, Movimientos!D:D, A373, Movimientos!C:C, "Egreso", Movimientos!F:F, "G5000")+SUMIFS(Movimientos!E:E, Movimientos!D:D, A373, Movimientos!C:C, "Ajuste", Movimientos!F:F, "G5000")),"")</f>
        <v/>
      </c>
      <c r="I373" s="6" t="str">
        <f aca="false">IFERROR(IF(A373="","",SUMIFS(Movimientos!E:E, Movimientos!D:D, A373, Movimientos!C:C, "Ingreso", Movimientos!G:G, "G3")+SUMIFS(Movimientos!E:E, Movimientos!D:D, A373, Movimientos!C:C, "Traslado", Movimientos!G:G, "G3")-SUMIFS(Movimientos!E:E, Movimientos!D:D, A373, Movimientos!C:C, "Traslado", Movimientos!F:F, "G3")-SUMIFS(Movimientos!E:E, Movimientos!D:D, A373, Movimientos!C:C, "Egreso", Movimientos!F:F, "G3")+SUMIFS(Movimientos!E:E, Movimientos!D:D, A373, Movimientos!C:C, "Ajuste", Movimientos!F:F, "G3")),"")</f>
        <v/>
      </c>
      <c r="J373" s="6" t="str">
        <f aca="false">IFERROR(IF(A373="","",SUM(E373:I373)),"")</f>
        <v/>
      </c>
      <c r="K373" s="6" t="str">
        <f aca="false">IFERROR(IF(A373="","",SUMIFS(Movimientos!E:E, Movimientos!D:D, A373, Movimientos!C:C, "Reserva")-SUMIFS(Movimientos!E:E, Movimientos!D:D, A373, Movimientos!C:C, "Libera_Reserva")),"")</f>
        <v/>
      </c>
      <c r="L373" s="6" t="str">
        <f aca="false">IFERROR(IF(A373="","",J373-K373),"")</f>
        <v/>
      </c>
      <c r="M373" s="6" t="str">
        <f aca="false">IFERROR(IF(Productos!A373="","",Productos!G373),"")</f>
        <v/>
      </c>
      <c r="N373" s="6" t="str">
        <f aca="false">IFERROR(IF(A373="","",IF(L373&lt;M373,"BAJO STOCK","OK")),"")</f>
        <v/>
      </c>
    </row>
    <row r="374" customFormat="false" ht="15" hidden="false" customHeight="false" outlineLevel="0" collapsed="false">
      <c r="A374" s="0" t="str">
        <f aca="false">IFERROR(IF(Productos!A374="","",Productos!A374),"")</f>
        <v/>
      </c>
      <c r="B374" s="0" t="str">
        <f aca="false">IFERROR(IF(Productos!A374="","",Productos!B374),"")</f>
        <v/>
      </c>
      <c r="C374" s="0" t="str">
        <f aca="false">IFERROR(IF(Productos!A374="","",Productos!C374),"")</f>
        <v/>
      </c>
      <c r="D374" s="0" t="str">
        <f aca="false">IFERROR(IF(Productos!A374="","",Productos!E374),"")</f>
        <v/>
      </c>
      <c r="E374" s="6" t="str">
        <f aca="false">IFERROR(IF(A374="","",SUMIFS(Movimientos!E:E, Movimientos!D:D, A374, Movimientos!C:C, "Ingreso", Movimientos!G:G, "TIN")+SUMIFS(Movimientos!E:E, Movimientos!D:D, A374, Movimientos!C:C, "Traslado", Movimientos!G:G, "TIN")-SUMIFS(Movimientos!E:E, Movimientos!D:D, A374, Movimientos!C:C, "Traslado", Movimientos!F:F, "TIN")-SUMIFS(Movimientos!E:E, Movimientos!D:D, A374, Movimientos!C:C, "Egreso", Movimientos!F:F, "TIN")+SUMIFS(Movimientos!E:E, Movimientos!D:D, A374, Movimientos!C:C, "Ajuste", Movimientos!F:F, "TIN")),"")</f>
        <v/>
      </c>
      <c r="F374" s="6" t="str">
        <f aca="false">IFERROR(IF(A374="","",SUMIFS(Movimientos!E:E, Movimientos!D:D, A374, Movimientos!C:C, "Ingreso", Movimientos!G:G, "G1000")+SUMIFS(Movimientos!E:E, Movimientos!D:D, A374, Movimientos!C:C, "Traslado", Movimientos!G:G, "G1000")-SUMIFS(Movimientos!E:E, Movimientos!D:D, A374, Movimientos!C:C, "Traslado", Movimientos!F:F, "G1000")-SUMIFS(Movimientos!E:E, Movimientos!D:D, A374, Movimientos!C:C, "Egreso", Movimientos!F:F, "G1000")+SUMIFS(Movimientos!E:E, Movimientos!D:D, A374, Movimientos!C:C, "Ajuste", Movimientos!F:F, "G1000")),"")</f>
        <v/>
      </c>
      <c r="G374" s="6" t="str">
        <f aca="false">IFERROR(IF(A374="","",SUMIFS(Movimientos!E:E, Movimientos!D:D, A374, Movimientos!C:C, "Ingreso", Movimientos!G:G, "G710")+SUMIFS(Movimientos!E:E, Movimientos!D:D, A374, Movimientos!C:C, "Traslado", Movimientos!G:G, "G710")-SUMIFS(Movimientos!E:E, Movimientos!D:D, A374, Movimientos!C:C, "Traslado", Movimientos!F:F, "G710")-SUMIFS(Movimientos!E:E, Movimientos!D:D, A374, Movimientos!C:C, "Egreso", Movimientos!F:F, "G710")+SUMIFS(Movimientos!E:E, Movimientos!D:D, A374, Movimientos!C:C, "Ajuste", Movimientos!F:F, "G710")),"")</f>
        <v/>
      </c>
      <c r="H374" s="6" t="str">
        <f aca="false">IFERROR(IF(A374="","",SUMIFS(Movimientos!E:E, Movimientos!D:D, A374, Movimientos!C:C, "Ingreso", Movimientos!G:G, "G5000")+SUMIFS(Movimientos!E:E, Movimientos!D:D, A374, Movimientos!C:C, "Traslado", Movimientos!G:G, "G5000")-SUMIFS(Movimientos!E:E, Movimientos!D:D, A374, Movimientos!C:C, "Traslado", Movimientos!F:F, "G5000")-SUMIFS(Movimientos!E:E, Movimientos!D:D, A374, Movimientos!C:C, "Egreso", Movimientos!F:F, "G5000")+SUMIFS(Movimientos!E:E, Movimientos!D:D, A374, Movimientos!C:C, "Ajuste", Movimientos!F:F, "G5000")),"")</f>
        <v/>
      </c>
      <c r="I374" s="6" t="str">
        <f aca="false">IFERROR(IF(A374="","",SUMIFS(Movimientos!E:E, Movimientos!D:D, A374, Movimientos!C:C, "Ingreso", Movimientos!G:G, "G3")+SUMIFS(Movimientos!E:E, Movimientos!D:D, A374, Movimientos!C:C, "Traslado", Movimientos!G:G, "G3")-SUMIFS(Movimientos!E:E, Movimientos!D:D, A374, Movimientos!C:C, "Traslado", Movimientos!F:F, "G3")-SUMIFS(Movimientos!E:E, Movimientos!D:D, A374, Movimientos!C:C, "Egreso", Movimientos!F:F, "G3")+SUMIFS(Movimientos!E:E, Movimientos!D:D, A374, Movimientos!C:C, "Ajuste", Movimientos!F:F, "G3")),"")</f>
        <v/>
      </c>
      <c r="J374" s="6" t="str">
        <f aca="false">IFERROR(IF(A374="","",SUM(E374:I374)),"")</f>
        <v/>
      </c>
      <c r="K374" s="6" t="str">
        <f aca="false">IFERROR(IF(A374="","",SUMIFS(Movimientos!E:E, Movimientos!D:D, A374, Movimientos!C:C, "Reserva")-SUMIFS(Movimientos!E:E, Movimientos!D:D, A374, Movimientos!C:C, "Libera_Reserva")),"")</f>
        <v/>
      </c>
      <c r="L374" s="6" t="str">
        <f aca="false">IFERROR(IF(A374="","",J374-K374),"")</f>
        <v/>
      </c>
      <c r="M374" s="6" t="str">
        <f aca="false">IFERROR(IF(Productos!A374="","",Productos!G374),"")</f>
        <v/>
      </c>
      <c r="N374" s="6" t="str">
        <f aca="false">IFERROR(IF(A374="","",IF(L374&lt;M374,"BAJO STOCK","OK")),"")</f>
        <v/>
      </c>
    </row>
    <row r="375" customFormat="false" ht="15" hidden="false" customHeight="false" outlineLevel="0" collapsed="false">
      <c r="A375" s="0" t="str">
        <f aca="false">IFERROR(IF(Productos!A375="","",Productos!A375),"")</f>
        <v/>
      </c>
      <c r="B375" s="0" t="str">
        <f aca="false">IFERROR(IF(Productos!A375="","",Productos!B375),"")</f>
        <v/>
      </c>
      <c r="C375" s="0" t="str">
        <f aca="false">IFERROR(IF(Productos!A375="","",Productos!C375),"")</f>
        <v/>
      </c>
      <c r="D375" s="0" t="str">
        <f aca="false">IFERROR(IF(Productos!A375="","",Productos!E375),"")</f>
        <v/>
      </c>
      <c r="E375" s="6" t="str">
        <f aca="false">IFERROR(IF(A375="","",SUMIFS(Movimientos!E:E, Movimientos!D:D, A375, Movimientos!C:C, "Ingreso", Movimientos!G:G, "TIN")+SUMIFS(Movimientos!E:E, Movimientos!D:D, A375, Movimientos!C:C, "Traslado", Movimientos!G:G, "TIN")-SUMIFS(Movimientos!E:E, Movimientos!D:D, A375, Movimientos!C:C, "Traslado", Movimientos!F:F, "TIN")-SUMIFS(Movimientos!E:E, Movimientos!D:D, A375, Movimientos!C:C, "Egreso", Movimientos!F:F, "TIN")+SUMIFS(Movimientos!E:E, Movimientos!D:D, A375, Movimientos!C:C, "Ajuste", Movimientos!F:F, "TIN")),"")</f>
        <v/>
      </c>
      <c r="F375" s="6" t="str">
        <f aca="false">IFERROR(IF(A375="","",SUMIFS(Movimientos!E:E, Movimientos!D:D, A375, Movimientos!C:C, "Ingreso", Movimientos!G:G, "G1000")+SUMIFS(Movimientos!E:E, Movimientos!D:D, A375, Movimientos!C:C, "Traslado", Movimientos!G:G, "G1000")-SUMIFS(Movimientos!E:E, Movimientos!D:D, A375, Movimientos!C:C, "Traslado", Movimientos!F:F, "G1000")-SUMIFS(Movimientos!E:E, Movimientos!D:D, A375, Movimientos!C:C, "Egreso", Movimientos!F:F, "G1000")+SUMIFS(Movimientos!E:E, Movimientos!D:D, A375, Movimientos!C:C, "Ajuste", Movimientos!F:F, "G1000")),"")</f>
        <v/>
      </c>
      <c r="G375" s="6" t="str">
        <f aca="false">IFERROR(IF(A375="","",SUMIFS(Movimientos!E:E, Movimientos!D:D, A375, Movimientos!C:C, "Ingreso", Movimientos!G:G, "G710")+SUMIFS(Movimientos!E:E, Movimientos!D:D, A375, Movimientos!C:C, "Traslado", Movimientos!G:G, "G710")-SUMIFS(Movimientos!E:E, Movimientos!D:D, A375, Movimientos!C:C, "Traslado", Movimientos!F:F, "G710")-SUMIFS(Movimientos!E:E, Movimientos!D:D, A375, Movimientos!C:C, "Egreso", Movimientos!F:F, "G710")+SUMIFS(Movimientos!E:E, Movimientos!D:D, A375, Movimientos!C:C, "Ajuste", Movimientos!F:F, "G710")),"")</f>
        <v/>
      </c>
      <c r="H375" s="6" t="str">
        <f aca="false">IFERROR(IF(A375="","",SUMIFS(Movimientos!E:E, Movimientos!D:D, A375, Movimientos!C:C, "Ingreso", Movimientos!G:G, "G5000")+SUMIFS(Movimientos!E:E, Movimientos!D:D, A375, Movimientos!C:C, "Traslado", Movimientos!G:G, "G5000")-SUMIFS(Movimientos!E:E, Movimientos!D:D, A375, Movimientos!C:C, "Traslado", Movimientos!F:F, "G5000")-SUMIFS(Movimientos!E:E, Movimientos!D:D, A375, Movimientos!C:C, "Egreso", Movimientos!F:F, "G5000")+SUMIFS(Movimientos!E:E, Movimientos!D:D, A375, Movimientos!C:C, "Ajuste", Movimientos!F:F, "G5000")),"")</f>
        <v/>
      </c>
      <c r="I375" s="6" t="str">
        <f aca="false">IFERROR(IF(A375="","",SUMIFS(Movimientos!E:E, Movimientos!D:D, A375, Movimientos!C:C, "Ingreso", Movimientos!G:G, "G3")+SUMIFS(Movimientos!E:E, Movimientos!D:D, A375, Movimientos!C:C, "Traslado", Movimientos!G:G, "G3")-SUMIFS(Movimientos!E:E, Movimientos!D:D, A375, Movimientos!C:C, "Traslado", Movimientos!F:F, "G3")-SUMIFS(Movimientos!E:E, Movimientos!D:D, A375, Movimientos!C:C, "Egreso", Movimientos!F:F, "G3")+SUMIFS(Movimientos!E:E, Movimientos!D:D, A375, Movimientos!C:C, "Ajuste", Movimientos!F:F, "G3")),"")</f>
        <v/>
      </c>
      <c r="J375" s="6" t="str">
        <f aca="false">IFERROR(IF(A375="","",SUM(E375:I375)),"")</f>
        <v/>
      </c>
      <c r="K375" s="6" t="str">
        <f aca="false">IFERROR(IF(A375="","",SUMIFS(Movimientos!E:E, Movimientos!D:D, A375, Movimientos!C:C, "Reserva")-SUMIFS(Movimientos!E:E, Movimientos!D:D, A375, Movimientos!C:C, "Libera_Reserva")),"")</f>
        <v/>
      </c>
      <c r="L375" s="6" t="str">
        <f aca="false">IFERROR(IF(A375="","",J375-K375),"")</f>
        <v/>
      </c>
      <c r="M375" s="6" t="str">
        <f aca="false">IFERROR(IF(Productos!A375="","",Productos!G375),"")</f>
        <v/>
      </c>
      <c r="N375" s="6" t="str">
        <f aca="false">IFERROR(IF(A375="","",IF(L375&lt;M375,"BAJO STOCK","OK")),"")</f>
        <v/>
      </c>
    </row>
    <row r="376" customFormat="false" ht="15" hidden="false" customHeight="false" outlineLevel="0" collapsed="false">
      <c r="A376" s="0" t="str">
        <f aca="false">IFERROR(IF(Productos!A376="","",Productos!A376),"")</f>
        <v/>
      </c>
      <c r="B376" s="0" t="str">
        <f aca="false">IFERROR(IF(Productos!A376="","",Productos!B376),"")</f>
        <v/>
      </c>
      <c r="C376" s="0" t="str">
        <f aca="false">IFERROR(IF(Productos!A376="","",Productos!C376),"")</f>
        <v/>
      </c>
      <c r="D376" s="0" t="str">
        <f aca="false">IFERROR(IF(Productos!A376="","",Productos!E376),"")</f>
        <v/>
      </c>
      <c r="E376" s="6" t="str">
        <f aca="false">IFERROR(IF(A376="","",SUMIFS(Movimientos!E:E, Movimientos!D:D, A376, Movimientos!C:C, "Ingreso", Movimientos!G:G, "TIN")+SUMIFS(Movimientos!E:E, Movimientos!D:D, A376, Movimientos!C:C, "Traslado", Movimientos!G:G, "TIN")-SUMIFS(Movimientos!E:E, Movimientos!D:D, A376, Movimientos!C:C, "Traslado", Movimientos!F:F, "TIN")-SUMIFS(Movimientos!E:E, Movimientos!D:D, A376, Movimientos!C:C, "Egreso", Movimientos!F:F, "TIN")+SUMIFS(Movimientos!E:E, Movimientos!D:D, A376, Movimientos!C:C, "Ajuste", Movimientos!F:F, "TIN")),"")</f>
        <v/>
      </c>
      <c r="F376" s="6" t="str">
        <f aca="false">IFERROR(IF(A376="","",SUMIFS(Movimientos!E:E, Movimientos!D:D, A376, Movimientos!C:C, "Ingreso", Movimientos!G:G, "G1000")+SUMIFS(Movimientos!E:E, Movimientos!D:D, A376, Movimientos!C:C, "Traslado", Movimientos!G:G, "G1000")-SUMIFS(Movimientos!E:E, Movimientos!D:D, A376, Movimientos!C:C, "Traslado", Movimientos!F:F, "G1000")-SUMIFS(Movimientos!E:E, Movimientos!D:D, A376, Movimientos!C:C, "Egreso", Movimientos!F:F, "G1000")+SUMIFS(Movimientos!E:E, Movimientos!D:D, A376, Movimientos!C:C, "Ajuste", Movimientos!F:F, "G1000")),"")</f>
        <v/>
      </c>
      <c r="G376" s="6" t="str">
        <f aca="false">IFERROR(IF(A376="","",SUMIFS(Movimientos!E:E, Movimientos!D:D, A376, Movimientos!C:C, "Ingreso", Movimientos!G:G, "G710")+SUMIFS(Movimientos!E:E, Movimientos!D:D, A376, Movimientos!C:C, "Traslado", Movimientos!G:G, "G710")-SUMIFS(Movimientos!E:E, Movimientos!D:D, A376, Movimientos!C:C, "Traslado", Movimientos!F:F, "G710")-SUMIFS(Movimientos!E:E, Movimientos!D:D, A376, Movimientos!C:C, "Egreso", Movimientos!F:F, "G710")+SUMIFS(Movimientos!E:E, Movimientos!D:D, A376, Movimientos!C:C, "Ajuste", Movimientos!F:F, "G710")),"")</f>
        <v/>
      </c>
      <c r="H376" s="6" t="str">
        <f aca="false">IFERROR(IF(A376="","",SUMIFS(Movimientos!E:E, Movimientos!D:D, A376, Movimientos!C:C, "Ingreso", Movimientos!G:G, "G5000")+SUMIFS(Movimientos!E:E, Movimientos!D:D, A376, Movimientos!C:C, "Traslado", Movimientos!G:G, "G5000")-SUMIFS(Movimientos!E:E, Movimientos!D:D, A376, Movimientos!C:C, "Traslado", Movimientos!F:F, "G5000")-SUMIFS(Movimientos!E:E, Movimientos!D:D, A376, Movimientos!C:C, "Egreso", Movimientos!F:F, "G5000")+SUMIFS(Movimientos!E:E, Movimientos!D:D, A376, Movimientos!C:C, "Ajuste", Movimientos!F:F, "G5000")),"")</f>
        <v/>
      </c>
      <c r="I376" s="6" t="str">
        <f aca="false">IFERROR(IF(A376="","",SUMIFS(Movimientos!E:E, Movimientos!D:D, A376, Movimientos!C:C, "Ingreso", Movimientos!G:G, "G3")+SUMIFS(Movimientos!E:E, Movimientos!D:D, A376, Movimientos!C:C, "Traslado", Movimientos!G:G, "G3")-SUMIFS(Movimientos!E:E, Movimientos!D:D, A376, Movimientos!C:C, "Traslado", Movimientos!F:F, "G3")-SUMIFS(Movimientos!E:E, Movimientos!D:D, A376, Movimientos!C:C, "Egreso", Movimientos!F:F, "G3")+SUMIFS(Movimientos!E:E, Movimientos!D:D, A376, Movimientos!C:C, "Ajuste", Movimientos!F:F, "G3")),"")</f>
        <v/>
      </c>
      <c r="J376" s="6" t="str">
        <f aca="false">IFERROR(IF(A376="","",SUM(E376:I376)),"")</f>
        <v/>
      </c>
      <c r="K376" s="6" t="str">
        <f aca="false">IFERROR(IF(A376="","",SUMIFS(Movimientos!E:E, Movimientos!D:D, A376, Movimientos!C:C, "Reserva")-SUMIFS(Movimientos!E:E, Movimientos!D:D, A376, Movimientos!C:C, "Libera_Reserva")),"")</f>
        <v/>
      </c>
      <c r="L376" s="6" t="str">
        <f aca="false">IFERROR(IF(A376="","",J376-K376),"")</f>
        <v/>
      </c>
      <c r="M376" s="6" t="str">
        <f aca="false">IFERROR(IF(Productos!A376="","",Productos!G376),"")</f>
        <v/>
      </c>
      <c r="N376" s="6" t="str">
        <f aca="false">IFERROR(IF(A376="","",IF(L376&lt;M376,"BAJO STOCK","OK")),"")</f>
        <v/>
      </c>
    </row>
    <row r="377" customFormat="false" ht="15" hidden="false" customHeight="false" outlineLevel="0" collapsed="false">
      <c r="A377" s="0" t="str">
        <f aca="false">IFERROR(IF(Productos!A377="","",Productos!A377),"")</f>
        <v/>
      </c>
      <c r="B377" s="0" t="str">
        <f aca="false">IFERROR(IF(Productos!A377="","",Productos!B377),"")</f>
        <v/>
      </c>
      <c r="C377" s="0" t="str">
        <f aca="false">IFERROR(IF(Productos!A377="","",Productos!C377),"")</f>
        <v/>
      </c>
      <c r="D377" s="0" t="str">
        <f aca="false">IFERROR(IF(Productos!A377="","",Productos!E377),"")</f>
        <v/>
      </c>
      <c r="E377" s="6" t="str">
        <f aca="false">IFERROR(IF(A377="","",SUMIFS(Movimientos!E:E, Movimientos!D:D, A377, Movimientos!C:C, "Ingreso", Movimientos!G:G, "TIN")+SUMIFS(Movimientos!E:E, Movimientos!D:D, A377, Movimientos!C:C, "Traslado", Movimientos!G:G, "TIN")-SUMIFS(Movimientos!E:E, Movimientos!D:D, A377, Movimientos!C:C, "Traslado", Movimientos!F:F, "TIN")-SUMIFS(Movimientos!E:E, Movimientos!D:D, A377, Movimientos!C:C, "Egreso", Movimientos!F:F, "TIN")+SUMIFS(Movimientos!E:E, Movimientos!D:D, A377, Movimientos!C:C, "Ajuste", Movimientos!F:F, "TIN")),"")</f>
        <v/>
      </c>
      <c r="F377" s="6" t="str">
        <f aca="false">IFERROR(IF(A377="","",SUMIFS(Movimientos!E:E, Movimientos!D:D, A377, Movimientos!C:C, "Ingreso", Movimientos!G:G, "G1000")+SUMIFS(Movimientos!E:E, Movimientos!D:D, A377, Movimientos!C:C, "Traslado", Movimientos!G:G, "G1000")-SUMIFS(Movimientos!E:E, Movimientos!D:D, A377, Movimientos!C:C, "Traslado", Movimientos!F:F, "G1000")-SUMIFS(Movimientos!E:E, Movimientos!D:D, A377, Movimientos!C:C, "Egreso", Movimientos!F:F, "G1000")+SUMIFS(Movimientos!E:E, Movimientos!D:D, A377, Movimientos!C:C, "Ajuste", Movimientos!F:F, "G1000")),"")</f>
        <v/>
      </c>
      <c r="G377" s="6" t="str">
        <f aca="false">IFERROR(IF(A377="","",SUMIFS(Movimientos!E:E, Movimientos!D:D, A377, Movimientos!C:C, "Ingreso", Movimientos!G:G, "G710")+SUMIFS(Movimientos!E:E, Movimientos!D:D, A377, Movimientos!C:C, "Traslado", Movimientos!G:G, "G710")-SUMIFS(Movimientos!E:E, Movimientos!D:D, A377, Movimientos!C:C, "Traslado", Movimientos!F:F, "G710")-SUMIFS(Movimientos!E:E, Movimientos!D:D, A377, Movimientos!C:C, "Egreso", Movimientos!F:F, "G710")+SUMIFS(Movimientos!E:E, Movimientos!D:D, A377, Movimientos!C:C, "Ajuste", Movimientos!F:F, "G710")),"")</f>
        <v/>
      </c>
      <c r="H377" s="6" t="str">
        <f aca="false">IFERROR(IF(A377="","",SUMIFS(Movimientos!E:E, Movimientos!D:D, A377, Movimientos!C:C, "Ingreso", Movimientos!G:G, "G5000")+SUMIFS(Movimientos!E:E, Movimientos!D:D, A377, Movimientos!C:C, "Traslado", Movimientos!G:G, "G5000")-SUMIFS(Movimientos!E:E, Movimientos!D:D, A377, Movimientos!C:C, "Traslado", Movimientos!F:F, "G5000")-SUMIFS(Movimientos!E:E, Movimientos!D:D, A377, Movimientos!C:C, "Egreso", Movimientos!F:F, "G5000")+SUMIFS(Movimientos!E:E, Movimientos!D:D, A377, Movimientos!C:C, "Ajuste", Movimientos!F:F, "G5000")),"")</f>
        <v/>
      </c>
      <c r="I377" s="6" t="str">
        <f aca="false">IFERROR(IF(A377="","",SUMIFS(Movimientos!E:E, Movimientos!D:D, A377, Movimientos!C:C, "Ingreso", Movimientos!G:G, "G3")+SUMIFS(Movimientos!E:E, Movimientos!D:D, A377, Movimientos!C:C, "Traslado", Movimientos!G:G, "G3")-SUMIFS(Movimientos!E:E, Movimientos!D:D, A377, Movimientos!C:C, "Traslado", Movimientos!F:F, "G3")-SUMIFS(Movimientos!E:E, Movimientos!D:D, A377, Movimientos!C:C, "Egreso", Movimientos!F:F, "G3")+SUMIFS(Movimientos!E:E, Movimientos!D:D, A377, Movimientos!C:C, "Ajuste", Movimientos!F:F, "G3")),"")</f>
        <v/>
      </c>
      <c r="J377" s="6" t="str">
        <f aca="false">IFERROR(IF(A377="","",SUM(E377:I377)),"")</f>
        <v/>
      </c>
      <c r="K377" s="6" t="str">
        <f aca="false">IFERROR(IF(A377="","",SUMIFS(Movimientos!E:E, Movimientos!D:D, A377, Movimientos!C:C, "Reserva")-SUMIFS(Movimientos!E:E, Movimientos!D:D, A377, Movimientos!C:C, "Libera_Reserva")),"")</f>
        <v/>
      </c>
      <c r="L377" s="6" t="str">
        <f aca="false">IFERROR(IF(A377="","",J377-K377),"")</f>
        <v/>
      </c>
      <c r="M377" s="6" t="str">
        <f aca="false">IFERROR(IF(Productos!A377="","",Productos!G377),"")</f>
        <v/>
      </c>
      <c r="N377" s="6" t="str">
        <f aca="false">IFERROR(IF(A377="","",IF(L377&lt;M377,"BAJO STOCK","OK")),"")</f>
        <v/>
      </c>
    </row>
    <row r="378" customFormat="false" ht="15" hidden="false" customHeight="false" outlineLevel="0" collapsed="false">
      <c r="A378" s="0" t="str">
        <f aca="false">IFERROR(IF(Productos!A378="","",Productos!A378),"")</f>
        <v/>
      </c>
      <c r="B378" s="0" t="str">
        <f aca="false">IFERROR(IF(Productos!A378="","",Productos!B378),"")</f>
        <v/>
      </c>
      <c r="C378" s="0" t="str">
        <f aca="false">IFERROR(IF(Productos!A378="","",Productos!C378),"")</f>
        <v/>
      </c>
      <c r="D378" s="0" t="str">
        <f aca="false">IFERROR(IF(Productos!A378="","",Productos!E378),"")</f>
        <v/>
      </c>
      <c r="E378" s="6" t="str">
        <f aca="false">IFERROR(IF(A378="","",SUMIFS(Movimientos!E:E, Movimientos!D:D, A378, Movimientos!C:C, "Ingreso", Movimientos!G:G, "TIN")+SUMIFS(Movimientos!E:E, Movimientos!D:D, A378, Movimientos!C:C, "Traslado", Movimientos!G:G, "TIN")-SUMIFS(Movimientos!E:E, Movimientos!D:D, A378, Movimientos!C:C, "Traslado", Movimientos!F:F, "TIN")-SUMIFS(Movimientos!E:E, Movimientos!D:D, A378, Movimientos!C:C, "Egreso", Movimientos!F:F, "TIN")+SUMIFS(Movimientos!E:E, Movimientos!D:D, A378, Movimientos!C:C, "Ajuste", Movimientos!F:F, "TIN")),"")</f>
        <v/>
      </c>
      <c r="F378" s="6" t="str">
        <f aca="false">IFERROR(IF(A378="","",SUMIFS(Movimientos!E:E, Movimientos!D:D, A378, Movimientos!C:C, "Ingreso", Movimientos!G:G, "G1000")+SUMIFS(Movimientos!E:E, Movimientos!D:D, A378, Movimientos!C:C, "Traslado", Movimientos!G:G, "G1000")-SUMIFS(Movimientos!E:E, Movimientos!D:D, A378, Movimientos!C:C, "Traslado", Movimientos!F:F, "G1000")-SUMIFS(Movimientos!E:E, Movimientos!D:D, A378, Movimientos!C:C, "Egreso", Movimientos!F:F, "G1000")+SUMIFS(Movimientos!E:E, Movimientos!D:D, A378, Movimientos!C:C, "Ajuste", Movimientos!F:F, "G1000")),"")</f>
        <v/>
      </c>
      <c r="G378" s="6" t="str">
        <f aca="false">IFERROR(IF(A378="","",SUMIFS(Movimientos!E:E, Movimientos!D:D, A378, Movimientos!C:C, "Ingreso", Movimientos!G:G, "G710")+SUMIFS(Movimientos!E:E, Movimientos!D:D, A378, Movimientos!C:C, "Traslado", Movimientos!G:G, "G710")-SUMIFS(Movimientos!E:E, Movimientos!D:D, A378, Movimientos!C:C, "Traslado", Movimientos!F:F, "G710")-SUMIFS(Movimientos!E:E, Movimientos!D:D, A378, Movimientos!C:C, "Egreso", Movimientos!F:F, "G710")+SUMIFS(Movimientos!E:E, Movimientos!D:D, A378, Movimientos!C:C, "Ajuste", Movimientos!F:F, "G710")),"")</f>
        <v/>
      </c>
      <c r="H378" s="6" t="str">
        <f aca="false">IFERROR(IF(A378="","",SUMIFS(Movimientos!E:E, Movimientos!D:D, A378, Movimientos!C:C, "Ingreso", Movimientos!G:G, "G5000")+SUMIFS(Movimientos!E:E, Movimientos!D:D, A378, Movimientos!C:C, "Traslado", Movimientos!G:G, "G5000")-SUMIFS(Movimientos!E:E, Movimientos!D:D, A378, Movimientos!C:C, "Traslado", Movimientos!F:F, "G5000")-SUMIFS(Movimientos!E:E, Movimientos!D:D, A378, Movimientos!C:C, "Egreso", Movimientos!F:F, "G5000")+SUMIFS(Movimientos!E:E, Movimientos!D:D, A378, Movimientos!C:C, "Ajuste", Movimientos!F:F, "G5000")),"")</f>
        <v/>
      </c>
      <c r="I378" s="6" t="str">
        <f aca="false">IFERROR(IF(A378="","",SUMIFS(Movimientos!E:E, Movimientos!D:D, A378, Movimientos!C:C, "Ingreso", Movimientos!G:G, "G3")+SUMIFS(Movimientos!E:E, Movimientos!D:D, A378, Movimientos!C:C, "Traslado", Movimientos!G:G, "G3")-SUMIFS(Movimientos!E:E, Movimientos!D:D, A378, Movimientos!C:C, "Traslado", Movimientos!F:F, "G3")-SUMIFS(Movimientos!E:E, Movimientos!D:D, A378, Movimientos!C:C, "Egreso", Movimientos!F:F, "G3")+SUMIFS(Movimientos!E:E, Movimientos!D:D, A378, Movimientos!C:C, "Ajuste", Movimientos!F:F, "G3")),"")</f>
        <v/>
      </c>
      <c r="J378" s="6" t="str">
        <f aca="false">IFERROR(IF(A378="","",SUM(E378:I378)),"")</f>
        <v/>
      </c>
      <c r="K378" s="6" t="str">
        <f aca="false">IFERROR(IF(A378="","",SUMIFS(Movimientos!E:E, Movimientos!D:D, A378, Movimientos!C:C, "Reserva")-SUMIFS(Movimientos!E:E, Movimientos!D:D, A378, Movimientos!C:C, "Libera_Reserva")),"")</f>
        <v/>
      </c>
      <c r="L378" s="6" t="str">
        <f aca="false">IFERROR(IF(A378="","",J378-K378),"")</f>
        <v/>
      </c>
      <c r="M378" s="6" t="str">
        <f aca="false">IFERROR(IF(Productos!A378="","",Productos!G378),"")</f>
        <v/>
      </c>
      <c r="N378" s="6" t="str">
        <f aca="false">IFERROR(IF(A378="","",IF(L378&lt;M378,"BAJO STOCK","OK")),"")</f>
        <v/>
      </c>
    </row>
    <row r="379" customFormat="false" ht="15" hidden="false" customHeight="false" outlineLevel="0" collapsed="false">
      <c r="A379" s="0" t="str">
        <f aca="false">IFERROR(IF(Productos!A379="","",Productos!A379),"")</f>
        <v/>
      </c>
      <c r="B379" s="0" t="str">
        <f aca="false">IFERROR(IF(Productos!A379="","",Productos!B379),"")</f>
        <v/>
      </c>
      <c r="C379" s="0" t="str">
        <f aca="false">IFERROR(IF(Productos!A379="","",Productos!C379),"")</f>
        <v/>
      </c>
      <c r="D379" s="0" t="str">
        <f aca="false">IFERROR(IF(Productos!A379="","",Productos!E379),"")</f>
        <v/>
      </c>
      <c r="E379" s="6" t="str">
        <f aca="false">IFERROR(IF(A379="","",SUMIFS(Movimientos!E:E, Movimientos!D:D, A379, Movimientos!C:C, "Ingreso", Movimientos!G:G, "TIN")+SUMIFS(Movimientos!E:E, Movimientos!D:D, A379, Movimientos!C:C, "Traslado", Movimientos!G:G, "TIN")-SUMIFS(Movimientos!E:E, Movimientos!D:D, A379, Movimientos!C:C, "Traslado", Movimientos!F:F, "TIN")-SUMIFS(Movimientos!E:E, Movimientos!D:D, A379, Movimientos!C:C, "Egreso", Movimientos!F:F, "TIN")+SUMIFS(Movimientos!E:E, Movimientos!D:D, A379, Movimientos!C:C, "Ajuste", Movimientos!F:F, "TIN")),"")</f>
        <v/>
      </c>
      <c r="F379" s="6" t="str">
        <f aca="false">IFERROR(IF(A379="","",SUMIFS(Movimientos!E:E, Movimientos!D:D, A379, Movimientos!C:C, "Ingreso", Movimientos!G:G, "G1000")+SUMIFS(Movimientos!E:E, Movimientos!D:D, A379, Movimientos!C:C, "Traslado", Movimientos!G:G, "G1000")-SUMIFS(Movimientos!E:E, Movimientos!D:D, A379, Movimientos!C:C, "Traslado", Movimientos!F:F, "G1000")-SUMIFS(Movimientos!E:E, Movimientos!D:D, A379, Movimientos!C:C, "Egreso", Movimientos!F:F, "G1000")+SUMIFS(Movimientos!E:E, Movimientos!D:D, A379, Movimientos!C:C, "Ajuste", Movimientos!F:F, "G1000")),"")</f>
        <v/>
      </c>
      <c r="G379" s="6" t="str">
        <f aca="false">IFERROR(IF(A379="","",SUMIFS(Movimientos!E:E, Movimientos!D:D, A379, Movimientos!C:C, "Ingreso", Movimientos!G:G, "G710")+SUMIFS(Movimientos!E:E, Movimientos!D:D, A379, Movimientos!C:C, "Traslado", Movimientos!G:G, "G710")-SUMIFS(Movimientos!E:E, Movimientos!D:D, A379, Movimientos!C:C, "Traslado", Movimientos!F:F, "G710")-SUMIFS(Movimientos!E:E, Movimientos!D:D, A379, Movimientos!C:C, "Egreso", Movimientos!F:F, "G710")+SUMIFS(Movimientos!E:E, Movimientos!D:D, A379, Movimientos!C:C, "Ajuste", Movimientos!F:F, "G710")),"")</f>
        <v/>
      </c>
      <c r="H379" s="6" t="str">
        <f aca="false">IFERROR(IF(A379="","",SUMIFS(Movimientos!E:E, Movimientos!D:D, A379, Movimientos!C:C, "Ingreso", Movimientos!G:G, "G5000")+SUMIFS(Movimientos!E:E, Movimientos!D:D, A379, Movimientos!C:C, "Traslado", Movimientos!G:G, "G5000")-SUMIFS(Movimientos!E:E, Movimientos!D:D, A379, Movimientos!C:C, "Traslado", Movimientos!F:F, "G5000")-SUMIFS(Movimientos!E:E, Movimientos!D:D, A379, Movimientos!C:C, "Egreso", Movimientos!F:F, "G5000")+SUMIFS(Movimientos!E:E, Movimientos!D:D, A379, Movimientos!C:C, "Ajuste", Movimientos!F:F, "G5000")),"")</f>
        <v/>
      </c>
      <c r="I379" s="6" t="str">
        <f aca="false">IFERROR(IF(A379="","",SUMIFS(Movimientos!E:E, Movimientos!D:D, A379, Movimientos!C:C, "Ingreso", Movimientos!G:G, "G3")+SUMIFS(Movimientos!E:E, Movimientos!D:D, A379, Movimientos!C:C, "Traslado", Movimientos!G:G, "G3")-SUMIFS(Movimientos!E:E, Movimientos!D:D, A379, Movimientos!C:C, "Traslado", Movimientos!F:F, "G3")-SUMIFS(Movimientos!E:E, Movimientos!D:D, A379, Movimientos!C:C, "Egreso", Movimientos!F:F, "G3")+SUMIFS(Movimientos!E:E, Movimientos!D:D, A379, Movimientos!C:C, "Ajuste", Movimientos!F:F, "G3")),"")</f>
        <v/>
      </c>
      <c r="J379" s="6" t="str">
        <f aca="false">IFERROR(IF(A379="","",SUM(E379:I379)),"")</f>
        <v/>
      </c>
      <c r="K379" s="6" t="str">
        <f aca="false">IFERROR(IF(A379="","",SUMIFS(Movimientos!E:E, Movimientos!D:D, A379, Movimientos!C:C, "Reserva")-SUMIFS(Movimientos!E:E, Movimientos!D:D, A379, Movimientos!C:C, "Libera_Reserva")),"")</f>
        <v/>
      </c>
      <c r="L379" s="6" t="str">
        <f aca="false">IFERROR(IF(A379="","",J379-K379),"")</f>
        <v/>
      </c>
      <c r="M379" s="6" t="str">
        <f aca="false">IFERROR(IF(Productos!A379="","",Productos!G379),"")</f>
        <v/>
      </c>
      <c r="N379" s="6" t="str">
        <f aca="false">IFERROR(IF(A379="","",IF(L379&lt;M379,"BAJO STOCK","OK")),"")</f>
        <v/>
      </c>
    </row>
    <row r="380" customFormat="false" ht="15" hidden="false" customHeight="false" outlineLevel="0" collapsed="false">
      <c r="A380" s="0" t="str">
        <f aca="false">IFERROR(IF(Productos!A380="","",Productos!A380),"")</f>
        <v/>
      </c>
      <c r="B380" s="0" t="str">
        <f aca="false">IFERROR(IF(Productos!A380="","",Productos!B380),"")</f>
        <v/>
      </c>
      <c r="C380" s="0" t="str">
        <f aca="false">IFERROR(IF(Productos!A380="","",Productos!C380),"")</f>
        <v/>
      </c>
      <c r="D380" s="0" t="str">
        <f aca="false">IFERROR(IF(Productos!A380="","",Productos!E380),"")</f>
        <v/>
      </c>
      <c r="E380" s="6" t="str">
        <f aca="false">IFERROR(IF(A380="","",SUMIFS(Movimientos!E:E, Movimientos!D:D, A380, Movimientos!C:C, "Ingreso", Movimientos!G:G, "TIN")+SUMIFS(Movimientos!E:E, Movimientos!D:D, A380, Movimientos!C:C, "Traslado", Movimientos!G:G, "TIN")-SUMIFS(Movimientos!E:E, Movimientos!D:D, A380, Movimientos!C:C, "Traslado", Movimientos!F:F, "TIN")-SUMIFS(Movimientos!E:E, Movimientos!D:D, A380, Movimientos!C:C, "Egreso", Movimientos!F:F, "TIN")+SUMIFS(Movimientos!E:E, Movimientos!D:D, A380, Movimientos!C:C, "Ajuste", Movimientos!F:F, "TIN")),"")</f>
        <v/>
      </c>
      <c r="F380" s="6" t="str">
        <f aca="false">IFERROR(IF(A380="","",SUMIFS(Movimientos!E:E, Movimientos!D:D, A380, Movimientos!C:C, "Ingreso", Movimientos!G:G, "G1000")+SUMIFS(Movimientos!E:E, Movimientos!D:D, A380, Movimientos!C:C, "Traslado", Movimientos!G:G, "G1000")-SUMIFS(Movimientos!E:E, Movimientos!D:D, A380, Movimientos!C:C, "Traslado", Movimientos!F:F, "G1000")-SUMIFS(Movimientos!E:E, Movimientos!D:D, A380, Movimientos!C:C, "Egreso", Movimientos!F:F, "G1000")+SUMIFS(Movimientos!E:E, Movimientos!D:D, A380, Movimientos!C:C, "Ajuste", Movimientos!F:F, "G1000")),"")</f>
        <v/>
      </c>
      <c r="G380" s="6" t="str">
        <f aca="false">IFERROR(IF(A380="","",SUMIFS(Movimientos!E:E, Movimientos!D:D, A380, Movimientos!C:C, "Ingreso", Movimientos!G:G, "G710")+SUMIFS(Movimientos!E:E, Movimientos!D:D, A380, Movimientos!C:C, "Traslado", Movimientos!G:G, "G710")-SUMIFS(Movimientos!E:E, Movimientos!D:D, A380, Movimientos!C:C, "Traslado", Movimientos!F:F, "G710")-SUMIFS(Movimientos!E:E, Movimientos!D:D, A380, Movimientos!C:C, "Egreso", Movimientos!F:F, "G710")+SUMIFS(Movimientos!E:E, Movimientos!D:D, A380, Movimientos!C:C, "Ajuste", Movimientos!F:F, "G710")),"")</f>
        <v/>
      </c>
      <c r="H380" s="6" t="str">
        <f aca="false">IFERROR(IF(A380="","",SUMIFS(Movimientos!E:E, Movimientos!D:D, A380, Movimientos!C:C, "Ingreso", Movimientos!G:G, "G5000")+SUMIFS(Movimientos!E:E, Movimientos!D:D, A380, Movimientos!C:C, "Traslado", Movimientos!G:G, "G5000")-SUMIFS(Movimientos!E:E, Movimientos!D:D, A380, Movimientos!C:C, "Traslado", Movimientos!F:F, "G5000")-SUMIFS(Movimientos!E:E, Movimientos!D:D, A380, Movimientos!C:C, "Egreso", Movimientos!F:F, "G5000")+SUMIFS(Movimientos!E:E, Movimientos!D:D, A380, Movimientos!C:C, "Ajuste", Movimientos!F:F, "G5000")),"")</f>
        <v/>
      </c>
      <c r="I380" s="6" t="str">
        <f aca="false">IFERROR(IF(A380="","",SUMIFS(Movimientos!E:E, Movimientos!D:D, A380, Movimientos!C:C, "Ingreso", Movimientos!G:G, "G3")+SUMIFS(Movimientos!E:E, Movimientos!D:D, A380, Movimientos!C:C, "Traslado", Movimientos!G:G, "G3")-SUMIFS(Movimientos!E:E, Movimientos!D:D, A380, Movimientos!C:C, "Traslado", Movimientos!F:F, "G3")-SUMIFS(Movimientos!E:E, Movimientos!D:D, A380, Movimientos!C:C, "Egreso", Movimientos!F:F, "G3")+SUMIFS(Movimientos!E:E, Movimientos!D:D, A380, Movimientos!C:C, "Ajuste", Movimientos!F:F, "G3")),"")</f>
        <v/>
      </c>
      <c r="J380" s="6" t="str">
        <f aca="false">IFERROR(IF(A380="","",SUM(E380:I380)),"")</f>
        <v/>
      </c>
      <c r="K380" s="6" t="str">
        <f aca="false">IFERROR(IF(A380="","",SUMIFS(Movimientos!E:E, Movimientos!D:D, A380, Movimientos!C:C, "Reserva")-SUMIFS(Movimientos!E:E, Movimientos!D:D, A380, Movimientos!C:C, "Libera_Reserva")),"")</f>
        <v/>
      </c>
      <c r="L380" s="6" t="str">
        <f aca="false">IFERROR(IF(A380="","",J380-K380),"")</f>
        <v/>
      </c>
      <c r="M380" s="6" t="str">
        <f aca="false">IFERROR(IF(Productos!A380="","",Productos!G380),"")</f>
        <v/>
      </c>
      <c r="N380" s="6" t="str">
        <f aca="false">IFERROR(IF(A380="","",IF(L380&lt;M380,"BAJO STOCK","OK")),"")</f>
        <v/>
      </c>
    </row>
    <row r="381" customFormat="false" ht="15" hidden="false" customHeight="false" outlineLevel="0" collapsed="false">
      <c r="A381" s="0" t="str">
        <f aca="false">IFERROR(IF(Productos!A381="","",Productos!A381),"")</f>
        <v/>
      </c>
      <c r="B381" s="0" t="str">
        <f aca="false">IFERROR(IF(Productos!A381="","",Productos!B381),"")</f>
        <v/>
      </c>
      <c r="C381" s="0" t="str">
        <f aca="false">IFERROR(IF(Productos!A381="","",Productos!C381),"")</f>
        <v/>
      </c>
      <c r="D381" s="0" t="str">
        <f aca="false">IFERROR(IF(Productos!A381="","",Productos!E381),"")</f>
        <v/>
      </c>
      <c r="E381" s="6" t="str">
        <f aca="false">IFERROR(IF(A381="","",SUMIFS(Movimientos!E:E, Movimientos!D:D, A381, Movimientos!C:C, "Ingreso", Movimientos!G:G, "TIN")+SUMIFS(Movimientos!E:E, Movimientos!D:D, A381, Movimientos!C:C, "Traslado", Movimientos!G:G, "TIN")-SUMIFS(Movimientos!E:E, Movimientos!D:D, A381, Movimientos!C:C, "Traslado", Movimientos!F:F, "TIN")-SUMIFS(Movimientos!E:E, Movimientos!D:D, A381, Movimientos!C:C, "Egreso", Movimientos!F:F, "TIN")+SUMIFS(Movimientos!E:E, Movimientos!D:D, A381, Movimientos!C:C, "Ajuste", Movimientos!F:F, "TIN")),"")</f>
        <v/>
      </c>
      <c r="F381" s="6" t="str">
        <f aca="false">IFERROR(IF(A381="","",SUMIFS(Movimientos!E:E, Movimientos!D:D, A381, Movimientos!C:C, "Ingreso", Movimientos!G:G, "G1000")+SUMIFS(Movimientos!E:E, Movimientos!D:D, A381, Movimientos!C:C, "Traslado", Movimientos!G:G, "G1000")-SUMIFS(Movimientos!E:E, Movimientos!D:D, A381, Movimientos!C:C, "Traslado", Movimientos!F:F, "G1000")-SUMIFS(Movimientos!E:E, Movimientos!D:D, A381, Movimientos!C:C, "Egreso", Movimientos!F:F, "G1000")+SUMIFS(Movimientos!E:E, Movimientos!D:D, A381, Movimientos!C:C, "Ajuste", Movimientos!F:F, "G1000")),"")</f>
        <v/>
      </c>
      <c r="G381" s="6" t="str">
        <f aca="false">IFERROR(IF(A381="","",SUMIFS(Movimientos!E:E, Movimientos!D:D, A381, Movimientos!C:C, "Ingreso", Movimientos!G:G, "G710")+SUMIFS(Movimientos!E:E, Movimientos!D:D, A381, Movimientos!C:C, "Traslado", Movimientos!G:G, "G710")-SUMIFS(Movimientos!E:E, Movimientos!D:D, A381, Movimientos!C:C, "Traslado", Movimientos!F:F, "G710")-SUMIFS(Movimientos!E:E, Movimientos!D:D, A381, Movimientos!C:C, "Egreso", Movimientos!F:F, "G710")+SUMIFS(Movimientos!E:E, Movimientos!D:D, A381, Movimientos!C:C, "Ajuste", Movimientos!F:F, "G710")),"")</f>
        <v/>
      </c>
      <c r="H381" s="6" t="str">
        <f aca="false">IFERROR(IF(A381="","",SUMIFS(Movimientos!E:E, Movimientos!D:D, A381, Movimientos!C:C, "Ingreso", Movimientos!G:G, "G5000")+SUMIFS(Movimientos!E:E, Movimientos!D:D, A381, Movimientos!C:C, "Traslado", Movimientos!G:G, "G5000")-SUMIFS(Movimientos!E:E, Movimientos!D:D, A381, Movimientos!C:C, "Traslado", Movimientos!F:F, "G5000")-SUMIFS(Movimientos!E:E, Movimientos!D:D, A381, Movimientos!C:C, "Egreso", Movimientos!F:F, "G5000")+SUMIFS(Movimientos!E:E, Movimientos!D:D, A381, Movimientos!C:C, "Ajuste", Movimientos!F:F, "G5000")),"")</f>
        <v/>
      </c>
      <c r="I381" s="6" t="str">
        <f aca="false">IFERROR(IF(A381="","",SUMIFS(Movimientos!E:E, Movimientos!D:D, A381, Movimientos!C:C, "Ingreso", Movimientos!G:G, "G3")+SUMIFS(Movimientos!E:E, Movimientos!D:D, A381, Movimientos!C:C, "Traslado", Movimientos!G:G, "G3")-SUMIFS(Movimientos!E:E, Movimientos!D:D, A381, Movimientos!C:C, "Traslado", Movimientos!F:F, "G3")-SUMIFS(Movimientos!E:E, Movimientos!D:D, A381, Movimientos!C:C, "Egreso", Movimientos!F:F, "G3")+SUMIFS(Movimientos!E:E, Movimientos!D:D, A381, Movimientos!C:C, "Ajuste", Movimientos!F:F, "G3")),"")</f>
        <v/>
      </c>
      <c r="J381" s="6" t="str">
        <f aca="false">IFERROR(IF(A381="","",SUM(E381:I381)),"")</f>
        <v/>
      </c>
      <c r="K381" s="6" t="str">
        <f aca="false">IFERROR(IF(A381="","",SUMIFS(Movimientos!E:E, Movimientos!D:D, A381, Movimientos!C:C, "Reserva")-SUMIFS(Movimientos!E:E, Movimientos!D:D, A381, Movimientos!C:C, "Libera_Reserva")),"")</f>
        <v/>
      </c>
      <c r="L381" s="6" t="str">
        <f aca="false">IFERROR(IF(A381="","",J381-K381),"")</f>
        <v/>
      </c>
      <c r="M381" s="6" t="str">
        <f aca="false">IFERROR(IF(Productos!A381="","",Productos!G381),"")</f>
        <v/>
      </c>
      <c r="N381" s="6" t="str">
        <f aca="false">IFERROR(IF(A381="","",IF(L381&lt;M381,"BAJO STOCK","OK")),"")</f>
        <v/>
      </c>
    </row>
    <row r="382" customFormat="false" ht="15" hidden="false" customHeight="false" outlineLevel="0" collapsed="false">
      <c r="A382" s="0" t="str">
        <f aca="false">IFERROR(IF(Productos!A382="","",Productos!A382),"")</f>
        <v/>
      </c>
      <c r="B382" s="0" t="str">
        <f aca="false">IFERROR(IF(Productos!A382="","",Productos!B382),"")</f>
        <v/>
      </c>
      <c r="C382" s="0" t="str">
        <f aca="false">IFERROR(IF(Productos!A382="","",Productos!C382),"")</f>
        <v/>
      </c>
      <c r="D382" s="0" t="str">
        <f aca="false">IFERROR(IF(Productos!A382="","",Productos!E382),"")</f>
        <v/>
      </c>
      <c r="E382" s="6" t="str">
        <f aca="false">IFERROR(IF(A382="","",SUMIFS(Movimientos!E:E, Movimientos!D:D, A382, Movimientos!C:C, "Ingreso", Movimientos!G:G, "TIN")+SUMIFS(Movimientos!E:E, Movimientos!D:D, A382, Movimientos!C:C, "Traslado", Movimientos!G:G, "TIN")-SUMIFS(Movimientos!E:E, Movimientos!D:D, A382, Movimientos!C:C, "Traslado", Movimientos!F:F, "TIN")-SUMIFS(Movimientos!E:E, Movimientos!D:D, A382, Movimientos!C:C, "Egreso", Movimientos!F:F, "TIN")+SUMIFS(Movimientos!E:E, Movimientos!D:D, A382, Movimientos!C:C, "Ajuste", Movimientos!F:F, "TIN")),"")</f>
        <v/>
      </c>
      <c r="F382" s="6" t="str">
        <f aca="false">IFERROR(IF(A382="","",SUMIFS(Movimientos!E:E, Movimientos!D:D, A382, Movimientos!C:C, "Ingreso", Movimientos!G:G, "G1000")+SUMIFS(Movimientos!E:E, Movimientos!D:D, A382, Movimientos!C:C, "Traslado", Movimientos!G:G, "G1000")-SUMIFS(Movimientos!E:E, Movimientos!D:D, A382, Movimientos!C:C, "Traslado", Movimientos!F:F, "G1000")-SUMIFS(Movimientos!E:E, Movimientos!D:D, A382, Movimientos!C:C, "Egreso", Movimientos!F:F, "G1000")+SUMIFS(Movimientos!E:E, Movimientos!D:D, A382, Movimientos!C:C, "Ajuste", Movimientos!F:F, "G1000")),"")</f>
        <v/>
      </c>
      <c r="G382" s="6" t="str">
        <f aca="false">IFERROR(IF(A382="","",SUMIFS(Movimientos!E:E, Movimientos!D:D, A382, Movimientos!C:C, "Ingreso", Movimientos!G:G, "G710")+SUMIFS(Movimientos!E:E, Movimientos!D:D, A382, Movimientos!C:C, "Traslado", Movimientos!G:G, "G710")-SUMIFS(Movimientos!E:E, Movimientos!D:D, A382, Movimientos!C:C, "Traslado", Movimientos!F:F, "G710")-SUMIFS(Movimientos!E:E, Movimientos!D:D, A382, Movimientos!C:C, "Egreso", Movimientos!F:F, "G710")+SUMIFS(Movimientos!E:E, Movimientos!D:D, A382, Movimientos!C:C, "Ajuste", Movimientos!F:F, "G710")),"")</f>
        <v/>
      </c>
      <c r="H382" s="6" t="str">
        <f aca="false">IFERROR(IF(A382="","",SUMIFS(Movimientos!E:E, Movimientos!D:D, A382, Movimientos!C:C, "Ingreso", Movimientos!G:G, "G5000")+SUMIFS(Movimientos!E:E, Movimientos!D:D, A382, Movimientos!C:C, "Traslado", Movimientos!G:G, "G5000")-SUMIFS(Movimientos!E:E, Movimientos!D:D, A382, Movimientos!C:C, "Traslado", Movimientos!F:F, "G5000")-SUMIFS(Movimientos!E:E, Movimientos!D:D, A382, Movimientos!C:C, "Egreso", Movimientos!F:F, "G5000")+SUMIFS(Movimientos!E:E, Movimientos!D:D, A382, Movimientos!C:C, "Ajuste", Movimientos!F:F, "G5000")),"")</f>
        <v/>
      </c>
      <c r="I382" s="6" t="str">
        <f aca="false">IFERROR(IF(A382="","",SUMIFS(Movimientos!E:E, Movimientos!D:D, A382, Movimientos!C:C, "Ingreso", Movimientos!G:G, "G3")+SUMIFS(Movimientos!E:E, Movimientos!D:D, A382, Movimientos!C:C, "Traslado", Movimientos!G:G, "G3")-SUMIFS(Movimientos!E:E, Movimientos!D:D, A382, Movimientos!C:C, "Traslado", Movimientos!F:F, "G3")-SUMIFS(Movimientos!E:E, Movimientos!D:D, A382, Movimientos!C:C, "Egreso", Movimientos!F:F, "G3")+SUMIFS(Movimientos!E:E, Movimientos!D:D, A382, Movimientos!C:C, "Ajuste", Movimientos!F:F, "G3")),"")</f>
        <v/>
      </c>
      <c r="J382" s="6" t="str">
        <f aca="false">IFERROR(IF(A382="","",SUM(E382:I382)),"")</f>
        <v/>
      </c>
      <c r="K382" s="6" t="str">
        <f aca="false">IFERROR(IF(A382="","",SUMIFS(Movimientos!E:E, Movimientos!D:D, A382, Movimientos!C:C, "Reserva")-SUMIFS(Movimientos!E:E, Movimientos!D:D, A382, Movimientos!C:C, "Libera_Reserva")),"")</f>
        <v/>
      </c>
      <c r="L382" s="6" t="str">
        <f aca="false">IFERROR(IF(A382="","",J382-K382),"")</f>
        <v/>
      </c>
      <c r="M382" s="6" t="str">
        <f aca="false">IFERROR(IF(Productos!A382="","",Productos!G382),"")</f>
        <v/>
      </c>
      <c r="N382" s="6" t="str">
        <f aca="false">IFERROR(IF(A382="","",IF(L382&lt;M382,"BAJO STOCK","OK")),"")</f>
        <v/>
      </c>
    </row>
    <row r="383" customFormat="false" ht="15" hidden="false" customHeight="false" outlineLevel="0" collapsed="false">
      <c r="A383" s="0" t="str">
        <f aca="false">IFERROR(IF(Productos!A383="","",Productos!A383),"")</f>
        <v/>
      </c>
      <c r="B383" s="0" t="str">
        <f aca="false">IFERROR(IF(Productos!A383="","",Productos!B383),"")</f>
        <v/>
      </c>
      <c r="C383" s="0" t="str">
        <f aca="false">IFERROR(IF(Productos!A383="","",Productos!C383),"")</f>
        <v/>
      </c>
      <c r="D383" s="0" t="str">
        <f aca="false">IFERROR(IF(Productos!A383="","",Productos!E383),"")</f>
        <v/>
      </c>
      <c r="E383" s="6" t="str">
        <f aca="false">IFERROR(IF(A383="","",SUMIFS(Movimientos!E:E, Movimientos!D:D, A383, Movimientos!C:C, "Ingreso", Movimientos!G:G, "TIN")+SUMIFS(Movimientos!E:E, Movimientos!D:D, A383, Movimientos!C:C, "Traslado", Movimientos!G:G, "TIN")-SUMIFS(Movimientos!E:E, Movimientos!D:D, A383, Movimientos!C:C, "Traslado", Movimientos!F:F, "TIN")-SUMIFS(Movimientos!E:E, Movimientos!D:D, A383, Movimientos!C:C, "Egreso", Movimientos!F:F, "TIN")+SUMIFS(Movimientos!E:E, Movimientos!D:D, A383, Movimientos!C:C, "Ajuste", Movimientos!F:F, "TIN")),"")</f>
        <v/>
      </c>
      <c r="F383" s="6" t="str">
        <f aca="false">IFERROR(IF(A383="","",SUMIFS(Movimientos!E:E, Movimientos!D:D, A383, Movimientos!C:C, "Ingreso", Movimientos!G:G, "G1000")+SUMIFS(Movimientos!E:E, Movimientos!D:D, A383, Movimientos!C:C, "Traslado", Movimientos!G:G, "G1000")-SUMIFS(Movimientos!E:E, Movimientos!D:D, A383, Movimientos!C:C, "Traslado", Movimientos!F:F, "G1000")-SUMIFS(Movimientos!E:E, Movimientos!D:D, A383, Movimientos!C:C, "Egreso", Movimientos!F:F, "G1000")+SUMIFS(Movimientos!E:E, Movimientos!D:D, A383, Movimientos!C:C, "Ajuste", Movimientos!F:F, "G1000")),"")</f>
        <v/>
      </c>
      <c r="G383" s="6" t="str">
        <f aca="false">IFERROR(IF(A383="","",SUMIFS(Movimientos!E:E, Movimientos!D:D, A383, Movimientos!C:C, "Ingreso", Movimientos!G:G, "G710")+SUMIFS(Movimientos!E:E, Movimientos!D:D, A383, Movimientos!C:C, "Traslado", Movimientos!G:G, "G710")-SUMIFS(Movimientos!E:E, Movimientos!D:D, A383, Movimientos!C:C, "Traslado", Movimientos!F:F, "G710")-SUMIFS(Movimientos!E:E, Movimientos!D:D, A383, Movimientos!C:C, "Egreso", Movimientos!F:F, "G710")+SUMIFS(Movimientos!E:E, Movimientos!D:D, A383, Movimientos!C:C, "Ajuste", Movimientos!F:F, "G710")),"")</f>
        <v/>
      </c>
      <c r="H383" s="6" t="str">
        <f aca="false">IFERROR(IF(A383="","",SUMIFS(Movimientos!E:E, Movimientos!D:D, A383, Movimientos!C:C, "Ingreso", Movimientos!G:G, "G5000")+SUMIFS(Movimientos!E:E, Movimientos!D:D, A383, Movimientos!C:C, "Traslado", Movimientos!G:G, "G5000")-SUMIFS(Movimientos!E:E, Movimientos!D:D, A383, Movimientos!C:C, "Traslado", Movimientos!F:F, "G5000")-SUMIFS(Movimientos!E:E, Movimientos!D:D, A383, Movimientos!C:C, "Egreso", Movimientos!F:F, "G5000")+SUMIFS(Movimientos!E:E, Movimientos!D:D, A383, Movimientos!C:C, "Ajuste", Movimientos!F:F, "G5000")),"")</f>
        <v/>
      </c>
      <c r="I383" s="6" t="str">
        <f aca="false">IFERROR(IF(A383="","",SUMIFS(Movimientos!E:E, Movimientos!D:D, A383, Movimientos!C:C, "Ingreso", Movimientos!G:G, "G3")+SUMIFS(Movimientos!E:E, Movimientos!D:D, A383, Movimientos!C:C, "Traslado", Movimientos!G:G, "G3")-SUMIFS(Movimientos!E:E, Movimientos!D:D, A383, Movimientos!C:C, "Traslado", Movimientos!F:F, "G3")-SUMIFS(Movimientos!E:E, Movimientos!D:D, A383, Movimientos!C:C, "Egreso", Movimientos!F:F, "G3")+SUMIFS(Movimientos!E:E, Movimientos!D:D, A383, Movimientos!C:C, "Ajuste", Movimientos!F:F, "G3")),"")</f>
        <v/>
      </c>
      <c r="J383" s="6" t="str">
        <f aca="false">IFERROR(IF(A383="","",SUM(E383:I383)),"")</f>
        <v/>
      </c>
      <c r="K383" s="6" t="str">
        <f aca="false">IFERROR(IF(A383="","",SUMIFS(Movimientos!E:E, Movimientos!D:D, A383, Movimientos!C:C, "Reserva")-SUMIFS(Movimientos!E:E, Movimientos!D:D, A383, Movimientos!C:C, "Libera_Reserva")),"")</f>
        <v/>
      </c>
      <c r="L383" s="6" t="str">
        <f aca="false">IFERROR(IF(A383="","",J383-K383),"")</f>
        <v/>
      </c>
      <c r="M383" s="6" t="str">
        <f aca="false">IFERROR(IF(Productos!A383="","",Productos!G383),"")</f>
        <v/>
      </c>
      <c r="N383" s="6" t="str">
        <f aca="false">IFERROR(IF(A383="","",IF(L383&lt;M383,"BAJO STOCK","OK")),"")</f>
        <v/>
      </c>
    </row>
    <row r="384" customFormat="false" ht="15" hidden="false" customHeight="false" outlineLevel="0" collapsed="false">
      <c r="A384" s="0" t="str">
        <f aca="false">IFERROR(IF(Productos!A384="","",Productos!A384),"")</f>
        <v/>
      </c>
      <c r="B384" s="0" t="str">
        <f aca="false">IFERROR(IF(Productos!A384="","",Productos!B384),"")</f>
        <v/>
      </c>
      <c r="C384" s="0" t="str">
        <f aca="false">IFERROR(IF(Productos!A384="","",Productos!C384),"")</f>
        <v/>
      </c>
      <c r="D384" s="0" t="str">
        <f aca="false">IFERROR(IF(Productos!A384="","",Productos!E384),"")</f>
        <v/>
      </c>
      <c r="E384" s="6" t="str">
        <f aca="false">IFERROR(IF(A384="","",SUMIFS(Movimientos!E:E, Movimientos!D:D, A384, Movimientos!C:C, "Ingreso", Movimientos!G:G, "TIN")+SUMIFS(Movimientos!E:E, Movimientos!D:D, A384, Movimientos!C:C, "Traslado", Movimientos!G:G, "TIN")-SUMIFS(Movimientos!E:E, Movimientos!D:D, A384, Movimientos!C:C, "Traslado", Movimientos!F:F, "TIN")-SUMIFS(Movimientos!E:E, Movimientos!D:D, A384, Movimientos!C:C, "Egreso", Movimientos!F:F, "TIN")+SUMIFS(Movimientos!E:E, Movimientos!D:D, A384, Movimientos!C:C, "Ajuste", Movimientos!F:F, "TIN")),"")</f>
        <v/>
      </c>
      <c r="F384" s="6" t="str">
        <f aca="false">IFERROR(IF(A384="","",SUMIFS(Movimientos!E:E, Movimientos!D:D, A384, Movimientos!C:C, "Ingreso", Movimientos!G:G, "G1000")+SUMIFS(Movimientos!E:E, Movimientos!D:D, A384, Movimientos!C:C, "Traslado", Movimientos!G:G, "G1000")-SUMIFS(Movimientos!E:E, Movimientos!D:D, A384, Movimientos!C:C, "Traslado", Movimientos!F:F, "G1000")-SUMIFS(Movimientos!E:E, Movimientos!D:D, A384, Movimientos!C:C, "Egreso", Movimientos!F:F, "G1000")+SUMIFS(Movimientos!E:E, Movimientos!D:D, A384, Movimientos!C:C, "Ajuste", Movimientos!F:F, "G1000")),"")</f>
        <v/>
      </c>
      <c r="G384" s="6" t="str">
        <f aca="false">IFERROR(IF(A384="","",SUMIFS(Movimientos!E:E, Movimientos!D:D, A384, Movimientos!C:C, "Ingreso", Movimientos!G:G, "G710")+SUMIFS(Movimientos!E:E, Movimientos!D:D, A384, Movimientos!C:C, "Traslado", Movimientos!G:G, "G710")-SUMIFS(Movimientos!E:E, Movimientos!D:D, A384, Movimientos!C:C, "Traslado", Movimientos!F:F, "G710")-SUMIFS(Movimientos!E:E, Movimientos!D:D, A384, Movimientos!C:C, "Egreso", Movimientos!F:F, "G710")+SUMIFS(Movimientos!E:E, Movimientos!D:D, A384, Movimientos!C:C, "Ajuste", Movimientos!F:F, "G710")),"")</f>
        <v/>
      </c>
      <c r="H384" s="6" t="str">
        <f aca="false">IFERROR(IF(A384="","",SUMIFS(Movimientos!E:E, Movimientos!D:D, A384, Movimientos!C:C, "Ingreso", Movimientos!G:G, "G5000")+SUMIFS(Movimientos!E:E, Movimientos!D:D, A384, Movimientos!C:C, "Traslado", Movimientos!G:G, "G5000")-SUMIFS(Movimientos!E:E, Movimientos!D:D, A384, Movimientos!C:C, "Traslado", Movimientos!F:F, "G5000")-SUMIFS(Movimientos!E:E, Movimientos!D:D, A384, Movimientos!C:C, "Egreso", Movimientos!F:F, "G5000")+SUMIFS(Movimientos!E:E, Movimientos!D:D, A384, Movimientos!C:C, "Ajuste", Movimientos!F:F, "G5000")),"")</f>
        <v/>
      </c>
      <c r="I384" s="6" t="str">
        <f aca="false">IFERROR(IF(A384="","",SUMIFS(Movimientos!E:E, Movimientos!D:D, A384, Movimientos!C:C, "Ingreso", Movimientos!G:G, "G3")+SUMIFS(Movimientos!E:E, Movimientos!D:D, A384, Movimientos!C:C, "Traslado", Movimientos!G:G, "G3")-SUMIFS(Movimientos!E:E, Movimientos!D:D, A384, Movimientos!C:C, "Traslado", Movimientos!F:F, "G3")-SUMIFS(Movimientos!E:E, Movimientos!D:D, A384, Movimientos!C:C, "Egreso", Movimientos!F:F, "G3")+SUMIFS(Movimientos!E:E, Movimientos!D:D, A384, Movimientos!C:C, "Ajuste", Movimientos!F:F, "G3")),"")</f>
        <v/>
      </c>
      <c r="J384" s="6" t="str">
        <f aca="false">IFERROR(IF(A384="","",SUM(E384:I384)),"")</f>
        <v/>
      </c>
      <c r="K384" s="6" t="str">
        <f aca="false">IFERROR(IF(A384="","",SUMIFS(Movimientos!E:E, Movimientos!D:D, A384, Movimientos!C:C, "Reserva")-SUMIFS(Movimientos!E:E, Movimientos!D:D, A384, Movimientos!C:C, "Libera_Reserva")),"")</f>
        <v/>
      </c>
      <c r="L384" s="6" t="str">
        <f aca="false">IFERROR(IF(A384="","",J384-K384),"")</f>
        <v/>
      </c>
      <c r="M384" s="6" t="str">
        <f aca="false">IFERROR(IF(Productos!A384="","",Productos!G384),"")</f>
        <v/>
      </c>
      <c r="N384" s="6" t="str">
        <f aca="false">IFERROR(IF(A384="","",IF(L384&lt;M384,"BAJO STOCK","OK")),"")</f>
        <v/>
      </c>
    </row>
    <row r="385" customFormat="false" ht="15" hidden="false" customHeight="false" outlineLevel="0" collapsed="false">
      <c r="A385" s="0" t="str">
        <f aca="false">IFERROR(IF(Productos!A385="","",Productos!A385),"")</f>
        <v/>
      </c>
      <c r="B385" s="0" t="str">
        <f aca="false">IFERROR(IF(Productos!A385="","",Productos!B385),"")</f>
        <v/>
      </c>
      <c r="C385" s="0" t="str">
        <f aca="false">IFERROR(IF(Productos!A385="","",Productos!C385),"")</f>
        <v/>
      </c>
      <c r="D385" s="0" t="str">
        <f aca="false">IFERROR(IF(Productos!A385="","",Productos!E385),"")</f>
        <v/>
      </c>
      <c r="E385" s="6" t="str">
        <f aca="false">IFERROR(IF(A385="","",SUMIFS(Movimientos!E:E, Movimientos!D:D, A385, Movimientos!C:C, "Ingreso", Movimientos!G:G, "TIN")+SUMIFS(Movimientos!E:E, Movimientos!D:D, A385, Movimientos!C:C, "Traslado", Movimientos!G:G, "TIN")-SUMIFS(Movimientos!E:E, Movimientos!D:D, A385, Movimientos!C:C, "Traslado", Movimientos!F:F, "TIN")-SUMIFS(Movimientos!E:E, Movimientos!D:D, A385, Movimientos!C:C, "Egreso", Movimientos!F:F, "TIN")+SUMIFS(Movimientos!E:E, Movimientos!D:D, A385, Movimientos!C:C, "Ajuste", Movimientos!F:F, "TIN")),"")</f>
        <v/>
      </c>
      <c r="F385" s="6" t="str">
        <f aca="false">IFERROR(IF(A385="","",SUMIFS(Movimientos!E:E, Movimientos!D:D, A385, Movimientos!C:C, "Ingreso", Movimientos!G:G, "G1000")+SUMIFS(Movimientos!E:E, Movimientos!D:D, A385, Movimientos!C:C, "Traslado", Movimientos!G:G, "G1000")-SUMIFS(Movimientos!E:E, Movimientos!D:D, A385, Movimientos!C:C, "Traslado", Movimientos!F:F, "G1000")-SUMIFS(Movimientos!E:E, Movimientos!D:D, A385, Movimientos!C:C, "Egreso", Movimientos!F:F, "G1000")+SUMIFS(Movimientos!E:E, Movimientos!D:D, A385, Movimientos!C:C, "Ajuste", Movimientos!F:F, "G1000")),"")</f>
        <v/>
      </c>
      <c r="G385" s="6" t="str">
        <f aca="false">IFERROR(IF(A385="","",SUMIFS(Movimientos!E:E, Movimientos!D:D, A385, Movimientos!C:C, "Ingreso", Movimientos!G:G, "G710")+SUMIFS(Movimientos!E:E, Movimientos!D:D, A385, Movimientos!C:C, "Traslado", Movimientos!G:G, "G710")-SUMIFS(Movimientos!E:E, Movimientos!D:D, A385, Movimientos!C:C, "Traslado", Movimientos!F:F, "G710")-SUMIFS(Movimientos!E:E, Movimientos!D:D, A385, Movimientos!C:C, "Egreso", Movimientos!F:F, "G710")+SUMIFS(Movimientos!E:E, Movimientos!D:D, A385, Movimientos!C:C, "Ajuste", Movimientos!F:F, "G710")),"")</f>
        <v/>
      </c>
      <c r="H385" s="6" t="str">
        <f aca="false">IFERROR(IF(A385="","",SUMIFS(Movimientos!E:E, Movimientos!D:D, A385, Movimientos!C:C, "Ingreso", Movimientos!G:G, "G5000")+SUMIFS(Movimientos!E:E, Movimientos!D:D, A385, Movimientos!C:C, "Traslado", Movimientos!G:G, "G5000")-SUMIFS(Movimientos!E:E, Movimientos!D:D, A385, Movimientos!C:C, "Traslado", Movimientos!F:F, "G5000")-SUMIFS(Movimientos!E:E, Movimientos!D:D, A385, Movimientos!C:C, "Egreso", Movimientos!F:F, "G5000")+SUMIFS(Movimientos!E:E, Movimientos!D:D, A385, Movimientos!C:C, "Ajuste", Movimientos!F:F, "G5000")),"")</f>
        <v/>
      </c>
      <c r="I385" s="6" t="str">
        <f aca="false">IFERROR(IF(A385="","",SUMIFS(Movimientos!E:E, Movimientos!D:D, A385, Movimientos!C:C, "Ingreso", Movimientos!G:G, "G3")+SUMIFS(Movimientos!E:E, Movimientos!D:D, A385, Movimientos!C:C, "Traslado", Movimientos!G:G, "G3")-SUMIFS(Movimientos!E:E, Movimientos!D:D, A385, Movimientos!C:C, "Traslado", Movimientos!F:F, "G3")-SUMIFS(Movimientos!E:E, Movimientos!D:D, A385, Movimientos!C:C, "Egreso", Movimientos!F:F, "G3")+SUMIFS(Movimientos!E:E, Movimientos!D:D, A385, Movimientos!C:C, "Ajuste", Movimientos!F:F, "G3")),"")</f>
        <v/>
      </c>
      <c r="J385" s="6" t="str">
        <f aca="false">IFERROR(IF(A385="","",SUM(E385:I385)),"")</f>
        <v/>
      </c>
      <c r="K385" s="6" t="str">
        <f aca="false">IFERROR(IF(A385="","",SUMIFS(Movimientos!E:E, Movimientos!D:D, A385, Movimientos!C:C, "Reserva")-SUMIFS(Movimientos!E:E, Movimientos!D:D, A385, Movimientos!C:C, "Libera_Reserva")),"")</f>
        <v/>
      </c>
      <c r="L385" s="6" t="str">
        <f aca="false">IFERROR(IF(A385="","",J385-K385),"")</f>
        <v/>
      </c>
      <c r="M385" s="6" t="str">
        <f aca="false">IFERROR(IF(Productos!A385="","",Productos!G385),"")</f>
        <v/>
      </c>
      <c r="N385" s="6" t="str">
        <f aca="false">IFERROR(IF(A385="","",IF(L385&lt;M385,"BAJO STOCK","OK")),"")</f>
        <v/>
      </c>
    </row>
    <row r="386" customFormat="false" ht="15" hidden="false" customHeight="false" outlineLevel="0" collapsed="false">
      <c r="A386" s="0" t="str">
        <f aca="false">IFERROR(IF(Productos!A386="","",Productos!A386),"")</f>
        <v/>
      </c>
      <c r="B386" s="0" t="str">
        <f aca="false">IFERROR(IF(Productos!A386="","",Productos!B386),"")</f>
        <v/>
      </c>
      <c r="C386" s="0" t="str">
        <f aca="false">IFERROR(IF(Productos!A386="","",Productos!C386),"")</f>
        <v/>
      </c>
      <c r="D386" s="0" t="str">
        <f aca="false">IFERROR(IF(Productos!A386="","",Productos!E386),"")</f>
        <v/>
      </c>
      <c r="E386" s="6" t="str">
        <f aca="false">IFERROR(IF(A386="","",SUMIFS(Movimientos!E:E, Movimientos!D:D, A386, Movimientos!C:C, "Ingreso", Movimientos!G:G, "TIN")+SUMIFS(Movimientos!E:E, Movimientos!D:D, A386, Movimientos!C:C, "Traslado", Movimientos!G:G, "TIN")-SUMIFS(Movimientos!E:E, Movimientos!D:D, A386, Movimientos!C:C, "Traslado", Movimientos!F:F, "TIN")-SUMIFS(Movimientos!E:E, Movimientos!D:D, A386, Movimientos!C:C, "Egreso", Movimientos!F:F, "TIN")+SUMIFS(Movimientos!E:E, Movimientos!D:D, A386, Movimientos!C:C, "Ajuste", Movimientos!F:F, "TIN")),"")</f>
        <v/>
      </c>
      <c r="F386" s="6" t="str">
        <f aca="false">IFERROR(IF(A386="","",SUMIFS(Movimientos!E:E, Movimientos!D:D, A386, Movimientos!C:C, "Ingreso", Movimientos!G:G, "G1000")+SUMIFS(Movimientos!E:E, Movimientos!D:D, A386, Movimientos!C:C, "Traslado", Movimientos!G:G, "G1000")-SUMIFS(Movimientos!E:E, Movimientos!D:D, A386, Movimientos!C:C, "Traslado", Movimientos!F:F, "G1000")-SUMIFS(Movimientos!E:E, Movimientos!D:D, A386, Movimientos!C:C, "Egreso", Movimientos!F:F, "G1000")+SUMIFS(Movimientos!E:E, Movimientos!D:D, A386, Movimientos!C:C, "Ajuste", Movimientos!F:F, "G1000")),"")</f>
        <v/>
      </c>
      <c r="G386" s="6" t="str">
        <f aca="false">IFERROR(IF(A386="","",SUMIFS(Movimientos!E:E, Movimientos!D:D, A386, Movimientos!C:C, "Ingreso", Movimientos!G:G, "G710")+SUMIFS(Movimientos!E:E, Movimientos!D:D, A386, Movimientos!C:C, "Traslado", Movimientos!G:G, "G710")-SUMIFS(Movimientos!E:E, Movimientos!D:D, A386, Movimientos!C:C, "Traslado", Movimientos!F:F, "G710")-SUMIFS(Movimientos!E:E, Movimientos!D:D, A386, Movimientos!C:C, "Egreso", Movimientos!F:F, "G710")+SUMIFS(Movimientos!E:E, Movimientos!D:D, A386, Movimientos!C:C, "Ajuste", Movimientos!F:F, "G710")),"")</f>
        <v/>
      </c>
      <c r="H386" s="6" t="str">
        <f aca="false">IFERROR(IF(A386="","",SUMIFS(Movimientos!E:E, Movimientos!D:D, A386, Movimientos!C:C, "Ingreso", Movimientos!G:G, "G5000")+SUMIFS(Movimientos!E:E, Movimientos!D:D, A386, Movimientos!C:C, "Traslado", Movimientos!G:G, "G5000")-SUMIFS(Movimientos!E:E, Movimientos!D:D, A386, Movimientos!C:C, "Traslado", Movimientos!F:F, "G5000")-SUMIFS(Movimientos!E:E, Movimientos!D:D, A386, Movimientos!C:C, "Egreso", Movimientos!F:F, "G5000")+SUMIFS(Movimientos!E:E, Movimientos!D:D, A386, Movimientos!C:C, "Ajuste", Movimientos!F:F, "G5000")),"")</f>
        <v/>
      </c>
      <c r="I386" s="6" t="str">
        <f aca="false">IFERROR(IF(A386="","",SUMIFS(Movimientos!E:E, Movimientos!D:D, A386, Movimientos!C:C, "Ingreso", Movimientos!G:G, "G3")+SUMIFS(Movimientos!E:E, Movimientos!D:D, A386, Movimientos!C:C, "Traslado", Movimientos!G:G, "G3")-SUMIFS(Movimientos!E:E, Movimientos!D:D, A386, Movimientos!C:C, "Traslado", Movimientos!F:F, "G3")-SUMIFS(Movimientos!E:E, Movimientos!D:D, A386, Movimientos!C:C, "Egreso", Movimientos!F:F, "G3")+SUMIFS(Movimientos!E:E, Movimientos!D:D, A386, Movimientos!C:C, "Ajuste", Movimientos!F:F, "G3")),"")</f>
        <v/>
      </c>
      <c r="J386" s="6" t="str">
        <f aca="false">IFERROR(IF(A386="","",SUM(E386:I386)),"")</f>
        <v/>
      </c>
      <c r="K386" s="6" t="str">
        <f aca="false">IFERROR(IF(A386="","",SUMIFS(Movimientos!E:E, Movimientos!D:D, A386, Movimientos!C:C, "Reserva")-SUMIFS(Movimientos!E:E, Movimientos!D:D, A386, Movimientos!C:C, "Libera_Reserva")),"")</f>
        <v/>
      </c>
      <c r="L386" s="6" t="str">
        <f aca="false">IFERROR(IF(A386="","",J386-K386),"")</f>
        <v/>
      </c>
      <c r="M386" s="6" t="str">
        <f aca="false">IFERROR(IF(Productos!A386="","",Productos!G386),"")</f>
        <v/>
      </c>
      <c r="N386" s="6" t="str">
        <f aca="false">IFERROR(IF(A386="","",IF(L386&lt;M386,"BAJO STOCK","OK")),"")</f>
        <v/>
      </c>
    </row>
    <row r="387" customFormat="false" ht="15" hidden="false" customHeight="false" outlineLevel="0" collapsed="false">
      <c r="A387" s="0" t="str">
        <f aca="false">IFERROR(IF(Productos!A387="","",Productos!A387),"")</f>
        <v/>
      </c>
      <c r="B387" s="0" t="str">
        <f aca="false">IFERROR(IF(Productos!A387="","",Productos!B387),"")</f>
        <v/>
      </c>
      <c r="C387" s="0" t="str">
        <f aca="false">IFERROR(IF(Productos!A387="","",Productos!C387),"")</f>
        <v/>
      </c>
      <c r="D387" s="0" t="str">
        <f aca="false">IFERROR(IF(Productos!A387="","",Productos!E387),"")</f>
        <v/>
      </c>
      <c r="E387" s="6" t="str">
        <f aca="false">IFERROR(IF(A387="","",SUMIFS(Movimientos!E:E, Movimientos!D:D, A387, Movimientos!C:C, "Ingreso", Movimientos!G:G, "TIN")+SUMIFS(Movimientos!E:E, Movimientos!D:D, A387, Movimientos!C:C, "Traslado", Movimientos!G:G, "TIN")-SUMIFS(Movimientos!E:E, Movimientos!D:D, A387, Movimientos!C:C, "Traslado", Movimientos!F:F, "TIN")-SUMIFS(Movimientos!E:E, Movimientos!D:D, A387, Movimientos!C:C, "Egreso", Movimientos!F:F, "TIN")+SUMIFS(Movimientos!E:E, Movimientos!D:D, A387, Movimientos!C:C, "Ajuste", Movimientos!F:F, "TIN")),"")</f>
        <v/>
      </c>
      <c r="F387" s="6" t="str">
        <f aca="false">IFERROR(IF(A387="","",SUMIFS(Movimientos!E:E, Movimientos!D:D, A387, Movimientos!C:C, "Ingreso", Movimientos!G:G, "G1000")+SUMIFS(Movimientos!E:E, Movimientos!D:D, A387, Movimientos!C:C, "Traslado", Movimientos!G:G, "G1000")-SUMIFS(Movimientos!E:E, Movimientos!D:D, A387, Movimientos!C:C, "Traslado", Movimientos!F:F, "G1000")-SUMIFS(Movimientos!E:E, Movimientos!D:D, A387, Movimientos!C:C, "Egreso", Movimientos!F:F, "G1000")+SUMIFS(Movimientos!E:E, Movimientos!D:D, A387, Movimientos!C:C, "Ajuste", Movimientos!F:F, "G1000")),"")</f>
        <v/>
      </c>
      <c r="G387" s="6" t="str">
        <f aca="false">IFERROR(IF(A387="","",SUMIFS(Movimientos!E:E, Movimientos!D:D, A387, Movimientos!C:C, "Ingreso", Movimientos!G:G, "G710")+SUMIFS(Movimientos!E:E, Movimientos!D:D, A387, Movimientos!C:C, "Traslado", Movimientos!G:G, "G710")-SUMIFS(Movimientos!E:E, Movimientos!D:D, A387, Movimientos!C:C, "Traslado", Movimientos!F:F, "G710")-SUMIFS(Movimientos!E:E, Movimientos!D:D, A387, Movimientos!C:C, "Egreso", Movimientos!F:F, "G710")+SUMIFS(Movimientos!E:E, Movimientos!D:D, A387, Movimientos!C:C, "Ajuste", Movimientos!F:F, "G710")),"")</f>
        <v/>
      </c>
      <c r="H387" s="6" t="str">
        <f aca="false">IFERROR(IF(A387="","",SUMIFS(Movimientos!E:E, Movimientos!D:D, A387, Movimientos!C:C, "Ingreso", Movimientos!G:G, "G5000")+SUMIFS(Movimientos!E:E, Movimientos!D:D, A387, Movimientos!C:C, "Traslado", Movimientos!G:G, "G5000")-SUMIFS(Movimientos!E:E, Movimientos!D:D, A387, Movimientos!C:C, "Traslado", Movimientos!F:F, "G5000")-SUMIFS(Movimientos!E:E, Movimientos!D:D, A387, Movimientos!C:C, "Egreso", Movimientos!F:F, "G5000")+SUMIFS(Movimientos!E:E, Movimientos!D:D, A387, Movimientos!C:C, "Ajuste", Movimientos!F:F, "G5000")),"")</f>
        <v/>
      </c>
      <c r="I387" s="6" t="str">
        <f aca="false">IFERROR(IF(A387="","",SUMIFS(Movimientos!E:E, Movimientos!D:D, A387, Movimientos!C:C, "Ingreso", Movimientos!G:G, "G3")+SUMIFS(Movimientos!E:E, Movimientos!D:D, A387, Movimientos!C:C, "Traslado", Movimientos!G:G, "G3")-SUMIFS(Movimientos!E:E, Movimientos!D:D, A387, Movimientos!C:C, "Traslado", Movimientos!F:F, "G3")-SUMIFS(Movimientos!E:E, Movimientos!D:D, A387, Movimientos!C:C, "Egreso", Movimientos!F:F, "G3")+SUMIFS(Movimientos!E:E, Movimientos!D:D, A387, Movimientos!C:C, "Ajuste", Movimientos!F:F, "G3")),"")</f>
        <v/>
      </c>
      <c r="J387" s="6" t="str">
        <f aca="false">IFERROR(IF(A387="","",SUM(E387:I387)),"")</f>
        <v/>
      </c>
      <c r="K387" s="6" t="str">
        <f aca="false">IFERROR(IF(A387="","",SUMIFS(Movimientos!E:E, Movimientos!D:D, A387, Movimientos!C:C, "Reserva")-SUMIFS(Movimientos!E:E, Movimientos!D:D, A387, Movimientos!C:C, "Libera_Reserva")),"")</f>
        <v/>
      </c>
      <c r="L387" s="6" t="str">
        <f aca="false">IFERROR(IF(A387="","",J387-K387),"")</f>
        <v/>
      </c>
      <c r="M387" s="6" t="str">
        <f aca="false">IFERROR(IF(Productos!A387="","",Productos!G387),"")</f>
        <v/>
      </c>
      <c r="N387" s="6" t="str">
        <f aca="false">IFERROR(IF(A387="","",IF(L387&lt;M387,"BAJO STOCK","OK")),"")</f>
        <v/>
      </c>
    </row>
    <row r="388" customFormat="false" ht="15" hidden="false" customHeight="false" outlineLevel="0" collapsed="false">
      <c r="A388" s="0" t="str">
        <f aca="false">IFERROR(IF(Productos!A388="","",Productos!A388),"")</f>
        <v/>
      </c>
      <c r="B388" s="0" t="str">
        <f aca="false">IFERROR(IF(Productos!A388="","",Productos!B388),"")</f>
        <v/>
      </c>
      <c r="C388" s="0" t="str">
        <f aca="false">IFERROR(IF(Productos!A388="","",Productos!C388),"")</f>
        <v/>
      </c>
      <c r="D388" s="0" t="str">
        <f aca="false">IFERROR(IF(Productos!A388="","",Productos!E388),"")</f>
        <v/>
      </c>
      <c r="E388" s="6" t="str">
        <f aca="false">IFERROR(IF(A388="","",SUMIFS(Movimientos!E:E, Movimientos!D:D, A388, Movimientos!C:C, "Ingreso", Movimientos!G:G, "TIN")+SUMIFS(Movimientos!E:E, Movimientos!D:D, A388, Movimientos!C:C, "Traslado", Movimientos!G:G, "TIN")-SUMIFS(Movimientos!E:E, Movimientos!D:D, A388, Movimientos!C:C, "Traslado", Movimientos!F:F, "TIN")-SUMIFS(Movimientos!E:E, Movimientos!D:D, A388, Movimientos!C:C, "Egreso", Movimientos!F:F, "TIN")+SUMIFS(Movimientos!E:E, Movimientos!D:D, A388, Movimientos!C:C, "Ajuste", Movimientos!F:F, "TIN")),"")</f>
        <v/>
      </c>
      <c r="F388" s="6" t="str">
        <f aca="false">IFERROR(IF(A388="","",SUMIFS(Movimientos!E:E, Movimientos!D:D, A388, Movimientos!C:C, "Ingreso", Movimientos!G:G, "G1000")+SUMIFS(Movimientos!E:E, Movimientos!D:D, A388, Movimientos!C:C, "Traslado", Movimientos!G:G, "G1000")-SUMIFS(Movimientos!E:E, Movimientos!D:D, A388, Movimientos!C:C, "Traslado", Movimientos!F:F, "G1000")-SUMIFS(Movimientos!E:E, Movimientos!D:D, A388, Movimientos!C:C, "Egreso", Movimientos!F:F, "G1000")+SUMIFS(Movimientos!E:E, Movimientos!D:D, A388, Movimientos!C:C, "Ajuste", Movimientos!F:F, "G1000")),"")</f>
        <v/>
      </c>
      <c r="G388" s="6" t="str">
        <f aca="false">IFERROR(IF(A388="","",SUMIFS(Movimientos!E:E, Movimientos!D:D, A388, Movimientos!C:C, "Ingreso", Movimientos!G:G, "G710")+SUMIFS(Movimientos!E:E, Movimientos!D:D, A388, Movimientos!C:C, "Traslado", Movimientos!G:G, "G710")-SUMIFS(Movimientos!E:E, Movimientos!D:D, A388, Movimientos!C:C, "Traslado", Movimientos!F:F, "G710")-SUMIFS(Movimientos!E:E, Movimientos!D:D, A388, Movimientos!C:C, "Egreso", Movimientos!F:F, "G710")+SUMIFS(Movimientos!E:E, Movimientos!D:D, A388, Movimientos!C:C, "Ajuste", Movimientos!F:F, "G710")),"")</f>
        <v/>
      </c>
      <c r="H388" s="6" t="str">
        <f aca="false">IFERROR(IF(A388="","",SUMIFS(Movimientos!E:E, Movimientos!D:D, A388, Movimientos!C:C, "Ingreso", Movimientos!G:G, "G5000")+SUMIFS(Movimientos!E:E, Movimientos!D:D, A388, Movimientos!C:C, "Traslado", Movimientos!G:G, "G5000")-SUMIFS(Movimientos!E:E, Movimientos!D:D, A388, Movimientos!C:C, "Traslado", Movimientos!F:F, "G5000")-SUMIFS(Movimientos!E:E, Movimientos!D:D, A388, Movimientos!C:C, "Egreso", Movimientos!F:F, "G5000")+SUMIFS(Movimientos!E:E, Movimientos!D:D, A388, Movimientos!C:C, "Ajuste", Movimientos!F:F, "G5000")),"")</f>
        <v/>
      </c>
      <c r="I388" s="6" t="str">
        <f aca="false">IFERROR(IF(A388="","",SUMIFS(Movimientos!E:E, Movimientos!D:D, A388, Movimientos!C:C, "Ingreso", Movimientos!G:G, "G3")+SUMIFS(Movimientos!E:E, Movimientos!D:D, A388, Movimientos!C:C, "Traslado", Movimientos!G:G, "G3")-SUMIFS(Movimientos!E:E, Movimientos!D:D, A388, Movimientos!C:C, "Traslado", Movimientos!F:F, "G3")-SUMIFS(Movimientos!E:E, Movimientos!D:D, A388, Movimientos!C:C, "Egreso", Movimientos!F:F, "G3")+SUMIFS(Movimientos!E:E, Movimientos!D:D, A388, Movimientos!C:C, "Ajuste", Movimientos!F:F, "G3")),"")</f>
        <v/>
      </c>
      <c r="J388" s="6" t="str">
        <f aca="false">IFERROR(IF(A388="","",SUM(E388:I388)),"")</f>
        <v/>
      </c>
      <c r="K388" s="6" t="str">
        <f aca="false">IFERROR(IF(A388="","",SUMIFS(Movimientos!E:E, Movimientos!D:D, A388, Movimientos!C:C, "Reserva")-SUMIFS(Movimientos!E:E, Movimientos!D:D, A388, Movimientos!C:C, "Libera_Reserva")),"")</f>
        <v/>
      </c>
      <c r="L388" s="6" t="str">
        <f aca="false">IFERROR(IF(A388="","",J388-K388),"")</f>
        <v/>
      </c>
      <c r="M388" s="6" t="str">
        <f aca="false">IFERROR(IF(Productos!A388="","",Productos!G388),"")</f>
        <v/>
      </c>
      <c r="N388" s="6" t="str">
        <f aca="false">IFERROR(IF(A388="","",IF(L388&lt;M388,"BAJO STOCK","OK")),"")</f>
        <v/>
      </c>
    </row>
    <row r="389" customFormat="false" ht="15" hidden="false" customHeight="false" outlineLevel="0" collapsed="false">
      <c r="A389" s="0" t="str">
        <f aca="false">IFERROR(IF(Productos!A389="","",Productos!A389),"")</f>
        <v/>
      </c>
      <c r="B389" s="0" t="str">
        <f aca="false">IFERROR(IF(Productos!A389="","",Productos!B389),"")</f>
        <v/>
      </c>
      <c r="C389" s="0" t="str">
        <f aca="false">IFERROR(IF(Productos!A389="","",Productos!C389),"")</f>
        <v/>
      </c>
      <c r="D389" s="0" t="str">
        <f aca="false">IFERROR(IF(Productos!A389="","",Productos!E389),"")</f>
        <v/>
      </c>
      <c r="E389" s="6" t="str">
        <f aca="false">IFERROR(IF(A389="","",SUMIFS(Movimientos!E:E, Movimientos!D:D, A389, Movimientos!C:C, "Ingreso", Movimientos!G:G, "TIN")+SUMIFS(Movimientos!E:E, Movimientos!D:D, A389, Movimientos!C:C, "Traslado", Movimientos!G:G, "TIN")-SUMIFS(Movimientos!E:E, Movimientos!D:D, A389, Movimientos!C:C, "Traslado", Movimientos!F:F, "TIN")-SUMIFS(Movimientos!E:E, Movimientos!D:D, A389, Movimientos!C:C, "Egreso", Movimientos!F:F, "TIN")+SUMIFS(Movimientos!E:E, Movimientos!D:D, A389, Movimientos!C:C, "Ajuste", Movimientos!F:F, "TIN")),"")</f>
        <v/>
      </c>
      <c r="F389" s="6" t="str">
        <f aca="false">IFERROR(IF(A389="","",SUMIFS(Movimientos!E:E, Movimientos!D:D, A389, Movimientos!C:C, "Ingreso", Movimientos!G:G, "G1000")+SUMIFS(Movimientos!E:E, Movimientos!D:D, A389, Movimientos!C:C, "Traslado", Movimientos!G:G, "G1000")-SUMIFS(Movimientos!E:E, Movimientos!D:D, A389, Movimientos!C:C, "Traslado", Movimientos!F:F, "G1000")-SUMIFS(Movimientos!E:E, Movimientos!D:D, A389, Movimientos!C:C, "Egreso", Movimientos!F:F, "G1000")+SUMIFS(Movimientos!E:E, Movimientos!D:D, A389, Movimientos!C:C, "Ajuste", Movimientos!F:F, "G1000")),"")</f>
        <v/>
      </c>
      <c r="G389" s="6" t="str">
        <f aca="false">IFERROR(IF(A389="","",SUMIFS(Movimientos!E:E, Movimientos!D:D, A389, Movimientos!C:C, "Ingreso", Movimientos!G:G, "G710")+SUMIFS(Movimientos!E:E, Movimientos!D:D, A389, Movimientos!C:C, "Traslado", Movimientos!G:G, "G710")-SUMIFS(Movimientos!E:E, Movimientos!D:D, A389, Movimientos!C:C, "Traslado", Movimientos!F:F, "G710")-SUMIFS(Movimientos!E:E, Movimientos!D:D, A389, Movimientos!C:C, "Egreso", Movimientos!F:F, "G710")+SUMIFS(Movimientos!E:E, Movimientos!D:D, A389, Movimientos!C:C, "Ajuste", Movimientos!F:F, "G710")),"")</f>
        <v/>
      </c>
      <c r="H389" s="6" t="str">
        <f aca="false">IFERROR(IF(A389="","",SUMIFS(Movimientos!E:E, Movimientos!D:D, A389, Movimientos!C:C, "Ingreso", Movimientos!G:G, "G5000")+SUMIFS(Movimientos!E:E, Movimientos!D:D, A389, Movimientos!C:C, "Traslado", Movimientos!G:G, "G5000")-SUMIFS(Movimientos!E:E, Movimientos!D:D, A389, Movimientos!C:C, "Traslado", Movimientos!F:F, "G5000")-SUMIFS(Movimientos!E:E, Movimientos!D:D, A389, Movimientos!C:C, "Egreso", Movimientos!F:F, "G5000")+SUMIFS(Movimientos!E:E, Movimientos!D:D, A389, Movimientos!C:C, "Ajuste", Movimientos!F:F, "G5000")),"")</f>
        <v/>
      </c>
      <c r="I389" s="6" t="str">
        <f aca="false">IFERROR(IF(A389="","",SUMIFS(Movimientos!E:E, Movimientos!D:D, A389, Movimientos!C:C, "Ingreso", Movimientos!G:G, "G3")+SUMIFS(Movimientos!E:E, Movimientos!D:D, A389, Movimientos!C:C, "Traslado", Movimientos!G:G, "G3")-SUMIFS(Movimientos!E:E, Movimientos!D:D, A389, Movimientos!C:C, "Traslado", Movimientos!F:F, "G3")-SUMIFS(Movimientos!E:E, Movimientos!D:D, A389, Movimientos!C:C, "Egreso", Movimientos!F:F, "G3")+SUMIFS(Movimientos!E:E, Movimientos!D:D, A389, Movimientos!C:C, "Ajuste", Movimientos!F:F, "G3")),"")</f>
        <v/>
      </c>
      <c r="J389" s="6" t="str">
        <f aca="false">IFERROR(IF(A389="","",SUM(E389:I389)),"")</f>
        <v/>
      </c>
      <c r="K389" s="6" t="str">
        <f aca="false">IFERROR(IF(A389="","",SUMIFS(Movimientos!E:E, Movimientos!D:D, A389, Movimientos!C:C, "Reserva")-SUMIFS(Movimientos!E:E, Movimientos!D:D, A389, Movimientos!C:C, "Libera_Reserva")),"")</f>
        <v/>
      </c>
      <c r="L389" s="6" t="str">
        <f aca="false">IFERROR(IF(A389="","",J389-K389),"")</f>
        <v/>
      </c>
      <c r="M389" s="6" t="str">
        <f aca="false">IFERROR(IF(Productos!A389="","",Productos!G389),"")</f>
        <v/>
      </c>
      <c r="N389" s="6" t="str">
        <f aca="false">IFERROR(IF(A389="","",IF(L389&lt;M389,"BAJO STOCK","OK")),"")</f>
        <v/>
      </c>
    </row>
    <row r="390" customFormat="false" ht="15" hidden="false" customHeight="false" outlineLevel="0" collapsed="false">
      <c r="A390" s="0" t="str">
        <f aca="false">IFERROR(IF(Productos!A390="","",Productos!A390),"")</f>
        <v/>
      </c>
      <c r="B390" s="0" t="str">
        <f aca="false">IFERROR(IF(Productos!A390="","",Productos!B390),"")</f>
        <v/>
      </c>
      <c r="C390" s="0" t="str">
        <f aca="false">IFERROR(IF(Productos!A390="","",Productos!C390),"")</f>
        <v/>
      </c>
      <c r="D390" s="0" t="str">
        <f aca="false">IFERROR(IF(Productos!A390="","",Productos!E390),"")</f>
        <v/>
      </c>
      <c r="E390" s="6" t="str">
        <f aca="false">IFERROR(IF(A390="","",SUMIFS(Movimientos!E:E, Movimientos!D:D, A390, Movimientos!C:C, "Ingreso", Movimientos!G:G, "TIN")+SUMIFS(Movimientos!E:E, Movimientos!D:D, A390, Movimientos!C:C, "Traslado", Movimientos!G:G, "TIN")-SUMIFS(Movimientos!E:E, Movimientos!D:D, A390, Movimientos!C:C, "Traslado", Movimientos!F:F, "TIN")-SUMIFS(Movimientos!E:E, Movimientos!D:D, A390, Movimientos!C:C, "Egreso", Movimientos!F:F, "TIN")+SUMIFS(Movimientos!E:E, Movimientos!D:D, A390, Movimientos!C:C, "Ajuste", Movimientos!F:F, "TIN")),"")</f>
        <v/>
      </c>
      <c r="F390" s="6" t="str">
        <f aca="false">IFERROR(IF(A390="","",SUMIFS(Movimientos!E:E, Movimientos!D:D, A390, Movimientos!C:C, "Ingreso", Movimientos!G:G, "G1000")+SUMIFS(Movimientos!E:E, Movimientos!D:D, A390, Movimientos!C:C, "Traslado", Movimientos!G:G, "G1000")-SUMIFS(Movimientos!E:E, Movimientos!D:D, A390, Movimientos!C:C, "Traslado", Movimientos!F:F, "G1000")-SUMIFS(Movimientos!E:E, Movimientos!D:D, A390, Movimientos!C:C, "Egreso", Movimientos!F:F, "G1000")+SUMIFS(Movimientos!E:E, Movimientos!D:D, A390, Movimientos!C:C, "Ajuste", Movimientos!F:F, "G1000")),"")</f>
        <v/>
      </c>
      <c r="G390" s="6" t="str">
        <f aca="false">IFERROR(IF(A390="","",SUMIFS(Movimientos!E:E, Movimientos!D:D, A390, Movimientos!C:C, "Ingreso", Movimientos!G:G, "G710")+SUMIFS(Movimientos!E:E, Movimientos!D:D, A390, Movimientos!C:C, "Traslado", Movimientos!G:G, "G710")-SUMIFS(Movimientos!E:E, Movimientos!D:D, A390, Movimientos!C:C, "Traslado", Movimientos!F:F, "G710")-SUMIFS(Movimientos!E:E, Movimientos!D:D, A390, Movimientos!C:C, "Egreso", Movimientos!F:F, "G710")+SUMIFS(Movimientos!E:E, Movimientos!D:D, A390, Movimientos!C:C, "Ajuste", Movimientos!F:F, "G710")),"")</f>
        <v/>
      </c>
      <c r="H390" s="6" t="str">
        <f aca="false">IFERROR(IF(A390="","",SUMIFS(Movimientos!E:E, Movimientos!D:D, A390, Movimientos!C:C, "Ingreso", Movimientos!G:G, "G5000")+SUMIFS(Movimientos!E:E, Movimientos!D:D, A390, Movimientos!C:C, "Traslado", Movimientos!G:G, "G5000")-SUMIFS(Movimientos!E:E, Movimientos!D:D, A390, Movimientos!C:C, "Traslado", Movimientos!F:F, "G5000")-SUMIFS(Movimientos!E:E, Movimientos!D:D, A390, Movimientos!C:C, "Egreso", Movimientos!F:F, "G5000")+SUMIFS(Movimientos!E:E, Movimientos!D:D, A390, Movimientos!C:C, "Ajuste", Movimientos!F:F, "G5000")),"")</f>
        <v/>
      </c>
      <c r="I390" s="6" t="str">
        <f aca="false">IFERROR(IF(A390="","",SUMIFS(Movimientos!E:E, Movimientos!D:D, A390, Movimientos!C:C, "Ingreso", Movimientos!G:G, "G3")+SUMIFS(Movimientos!E:E, Movimientos!D:D, A390, Movimientos!C:C, "Traslado", Movimientos!G:G, "G3")-SUMIFS(Movimientos!E:E, Movimientos!D:D, A390, Movimientos!C:C, "Traslado", Movimientos!F:F, "G3")-SUMIFS(Movimientos!E:E, Movimientos!D:D, A390, Movimientos!C:C, "Egreso", Movimientos!F:F, "G3")+SUMIFS(Movimientos!E:E, Movimientos!D:D, A390, Movimientos!C:C, "Ajuste", Movimientos!F:F, "G3")),"")</f>
        <v/>
      </c>
      <c r="J390" s="6" t="str">
        <f aca="false">IFERROR(IF(A390="","",SUM(E390:I390)),"")</f>
        <v/>
      </c>
      <c r="K390" s="6" t="str">
        <f aca="false">IFERROR(IF(A390="","",SUMIFS(Movimientos!E:E, Movimientos!D:D, A390, Movimientos!C:C, "Reserva")-SUMIFS(Movimientos!E:E, Movimientos!D:D, A390, Movimientos!C:C, "Libera_Reserva")),"")</f>
        <v/>
      </c>
      <c r="L390" s="6" t="str">
        <f aca="false">IFERROR(IF(A390="","",J390-K390),"")</f>
        <v/>
      </c>
      <c r="M390" s="6" t="str">
        <f aca="false">IFERROR(IF(Productos!A390="","",Productos!G390),"")</f>
        <v/>
      </c>
      <c r="N390" s="6" t="str">
        <f aca="false">IFERROR(IF(A390="","",IF(L390&lt;M390,"BAJO STOCK","OK")),"")</f>
        <v/>
      </c>
    </row>
    <row r="391" customFormat="false" ht="15" hidden="false" customHeight="false" outlineLevel="0" collapsed="false">
      <c r="A391" s="0" t="str">
        <f aca="false">IFERROR(IF(Productos!A391="","",Productos!A391),"")</f>
        <v/>
      </c>
      <c r="B391" s="0" t="str">
        <f aca="false">IFERROR(IF(Productos!A391="","",Productos!B391),"")</f>
        <v/>
      </c>
      <c r="C391" s="0" t="str">
        <f aca="false">IFERROR(IF(Productos!A391="","",Productos!C391),"")</f>
        <v/>
      </c>
      <c r="D391" s="0" t="str">
        <f aca="false">IFERROR(IF(Productos!A391="","",Productos!E391),"")</f>
        <v/>
      </c>
      <c r="E391" s="6" t="str">
        <f aca="false">IFERROR(IF(A391="","",SUMIFS(Movimientos!E:E, Movimientos!D:D, A391, Movimientos!C:C, "Ingreso", Movimientos!G:G, "TIN")+SUMIFS(Movimientos!E:E, Movimientos!D:D, A391, Movimientos!C:C, "Traslado", Movimientos!G:G, "TIN")-SUMIFS(Movimientos!E:E, Movimientos!D:D, A391, Movimientos!C:C, "Traslado", Movimientos!F:F, "TIN")-SUMIFS(Movimientos!E:E, Movimientos!D:D, A391, Movimientos!C:C, "Egreso", Movimientos!F:F, "TIN")+SUMIFS(Movimientos!E:E, Movimientos!D:D, A391, Movimientos!C:C, "Ajuste", Movimientos!F:F, "TIN")),"")</f>
        <v/>
      </c>
      <c r="F391" s="6" t="str">
        <f aca="false">IFERROR(IF(A391="","",SUMIFS(Movimientos!E:E, Movimientos!D:D, A391, Movimientos!C:C, "Ingreso", Movimientos!G:G, "G1000")+SUMIFS(Movimientos!E:E, Movimientos!D:D, A391, Movimientos!C:C, "Traslado", Movimientos!G:G, "G1000")-SUMIFS(Movimientos!E:E, Movimientos!D:D, A391, Movimientos!C:C, "Traslado", Movimientos!F:F, "G1000")-SUMIFS(Movimientos!E:E, Movimientos!D:D, A391, Movimientos!C:C, "Egreso", Movimientos!F:F, "G1000")+SUMIFS(Movimientos!E:E, Movimientos!D:D, A391, Movimientos!C:C, "Ajuste", Movimientos!F:F, "G1000")),"")</f>
        <v/>
      </c>
      <c r="G391" s="6" t="str">
        <f aca="false">IFERROR(IF(A391="","",SUMIFS(Movimientos!E:E, Movimientos!D:D, A391, Movimientos!C:C, "Ingreso", Movimientos!G:G, "G710")+SUMIFS(Movimientos!E:E, Movimientos!D:D, A391, Movimientos!C:C, "Traslado", Movimientos!G:G, "G710")-SUMIFS(Movimientos!E:E, Movimientos!D:D, A391, Movimientos!C:C, "Traslado", Movimientos!F:F, "G710")-SUMIFS(Movimientos!E:E, Movimientos!D:D, A391, Movimientos!C:C, "Egreso", Movimientos!F:F, "G710")+SUMIFS(Movimientos!E:E, Movimientos!D:D, A391, Movimientos!C:C, "Ajuste", Movimientos!F:F, "G710")),"")</f>
        <v/>
      </c>
      <c r="H391" s="6" t="str">
        <f aca="false">IFERROR(IF(A391="","",SUMIFS(Movimientos!E:E, Movimientos!D:D, A391, Movimientos!C:C, "Ingreso", Movimientos!G:G, "G5000")+SUMIFS(Movimientos!E:E, Movimientos!D:D, A391, Movimientos!C:C, "Traslado", Movimientos!G:G, "G5000")-SUMIFS(Movimientos!E:E, Movimientos!D:D, A391, Movimientos!C:C, "Traslado", Movimientos!F:F, "G5000")-SUMIFS(Movimientos!E:E, Movimientos!D:D, A391, Movimientos!C:C, "Egreso", Movimientos!F:F, "G5000")+SUMIFS(Movimientos!E:E, Movimientos!D:D, A391, Movimientos!C:C, "Ajuste", Movimientos!F:F, "G5000")),"")</f>
        <v/>
      </c>
      <c r="I391" s="6" t="str">
        <f aca="false">IFERROR(IF(A391="","",SUMIFS(Movimientos!E:E, Movimientos!D:D, A391, Movimientos!C:C, "Ingreso", Movimientos!G:G, "G3")+SUMIFS(Movimientos!E:E, Movimientos!D:D, A391, Movimientos!C:C, "Traslado", Movimientos!G:G, "G3")-SUMIFS(Movimientos!E:E, Movimientos!D:D, A391, Movimientos!C:C, "Traslado", Movimientos!F:F, "G3")-SUMIFS(Movimientos!E:E, Movimientos!D:D, A391, Movimientos!C:C, "Egreso", Movimientos!F:F, "G3")+SUMIFS(Movimientos!E:E, Movimientos!D:D, A391, Movimientos!C:C, "Ajuste", Movimientos!F:F, "G3")),"")</f>
        <v/>
      </c>
      <c r="J391" s="6" t="str">
        <f aca="false">IFERROR(IF(A391="","",SUM(E391:I391)),"")</f>
        <v/>
      </c>
      <c r="K391" s="6" t="str">
        <f aca="false">IFERROR(IF(A391="","",SUMIFS(Movimientos!E:E, Movimientos!D:D, A391, Movimientos!C:C, "Reserva")-SUMIFS(Movimientos!E:E, Movimientos!D:D, A391, Movimientos!C:C, "Libera_Reserva")),"")</f>
        <v/>
      </c>
      <c r="L391" s="6" t="str">
        <f aca="false">IFERROR(IF(A391="","",J391-K391),"")</f>
        <v/>
      </c>
      <c r="M391" s="6" t="str">
        <f aca="false">IFERROR(IF(Productos!A391="","",Productos!G391),"")</f>
        <v/>
      </c>
      <c r="N391" s="6" t="str">
        <f aca="false">IFERROR(IF(A391="","",IF(L391&lt;M391,"BAJO STOCK","OK")),"")</f>
        <v/>
      </c>
    </row>
    <row r="392" customFormat="false" ht="15" hidden="false" customHeight="false" outlineLevel="0" collapsed="false">
      <c r="A392" s="0" t="str">
        <f aca="false">IFERROR(IF(Productos!A392="","",Productos!A392),"")</f>
        <v/>
      </c>
      <c r="B392" s="0" t="str">
        <f aca="false">IFERROR(IF(Productos!A392="","",Productos!B392),"")</f>
        <v/>
      </c>
      <c r="C392" s="0" t="str">
        <f aca="false">IFERROR(IF(Productos!A392="","",Productos!C392),"")</f>
        <v/>
      </c>
      <c r="D392" s="0" t="str">
        <f aca="false">IFERROR(IF(Productos!A392="","",Productos!E392),"")</f>
        <v/>
      </c>
      <c r="E392" s="6" t="str">
        <f aca="false">IFERROR(IF(A392="","",SUMIFS(Movimientos!E:E, Movimientos!D:D, A392, Movimientos!C:C, "Ingreso", Movimientos!G:G, "TIN")+SUMIFS(Movimientos!E:E, Movimientos!D:D, A392, Movimientos!C:C, "Traslado", Movimientos!G:G, "TIN")-SUMIFS(Movimientos!E:E, Movimientos!D:D, A392, Movimientos!C:C, "Traslado", Movimientos!F:F, "TIN")-SUMIFS(Movimientos!E:E, Movimientos!D:D, A392, Movimientos!C:C, "Egreso", Movimientos!F:F, "TIN")+SUMIFS(Movimientos!E:E, Movimientos!D:D, A392, Movimientos!C:C, "Ajuste", Movimientos!F:F, "TIN")),"")</f>
        <v/>
      </c>
      <c r="F392" s="6" t="str">
        <f aca="false">IFERROR(IF(A392="","",SUMIFS(Movimientos!E:E, Movimientos!D:D, A392, Movimientos!C:C, "Ingreso", Movimientos!G:G, "G1000")+SUMIFS(Movimientos!E:E, Movimientos!D:D, A392, Movimientos!C:C, "Traslado", Movimientos!G:G, "G1000")-SUMIFS(Movimientos!E:E, Movimientos!D:D, A392, Movimientos!C:C, "Traslado", Movimientos!F:F, "G1000")-SUMIFS(Movimientos!E:E, Movimientos!D:D, A392, Movimientos!C:C, "Egreso", Movimientos!F:F, "G1000")+SUMIFS(Movimientos!E:E, Movimientos!D:D, A392, Movimientos!C:C, "Ajuste", Movimientos!F:F, "G1000")),"")</f>
        <v/>
      </c>
      <c r="G392" s="6" t="str">
        <f aca="false">IFERROR(IF(A392="","",SUMIFS(Movimientos!E:E, Movimientos!D:D, A392, Movimientos!C:C, "Ingreso", Movimientos!G:G, "G710")+SUMIFS(Movimientos!E:E, Movimientos!D:D, A392, Movimientos!C:C, "Traslado", Movimientos!G:G, "G710")-SUMIFS(Movimientos!E:E, Movimientos!D:D, A392, Movimientos!C:C, "Traslado", Movimientos!F:F, "G710")-SUMIFS(Movimientos!E:E, Movimientos!D:D, A392, Movimientos!C:C, "Egreso", Movimientos!F:F, "G710")+SUMIFS(Movimientos!E:E, Movimientos!D:D, A392, Movimientos!C:C, "Ajuste", Movimientos!F:F, "G710")),"")</f>
        <v/>
      </c>
      <c r="H392" s="6" t="str">
        <f aca="false">IFERROR(IF(A392="","",SUMIFS(Movimientos!E:E, Movimientos!D:D, A392, Movimientos!C:C, "Ingreso", Movimientos!G:G, "G5000")+SUMIFS(Movimientos!E:E, Movimientos!D:D, A392, Movimientos!C:C, "Traslado", Movimientos!G:G, "G5000")-SUMIFS(Movimientos!E:E, Movimientos!D:D, A392, Movimientos!C:C, "Traslado", Movimientos!F:F, "G5000")-SUMIFS(Movimientos!E:E, Movimientos!D:D, A392, Movimientos!C:C, "Egreso", Movimientos!F:F, "G5000")+SUMIFS(Movimientos!E:E, Movimientos!D:D, A392, Movimientos!C:C, "Ajuste", Movimientos!F:F, "G5000")),"")</f>
        <v/>
      </c>
      <c r="I392" s="6" t="str">
        <f aca="false">IFERROR(IF(A392="","",SUMIFS(Movimientos!E:E, Movimientos!D:D, A392, Movimientos!C:C, "Ingreso", Movimientos!G:G, "G3")+SUMIFS(Movimientos!E:E, Movimientos!D:D, A392, Movimientos!C:C, "Traslado", Movimientos!G:G, "G3")-SUMIFS(Movimientos!E:E, Movimientos!D:D, A392, Movimientos!C:C, "Traslado", Movimientos!F:F, "G3")-SUMIFS(Movimientos!E:E, Movimientos!D:D, A392, Movimientos!C:C, "Egreso", Movimientos!F:F, "G3")+SUMIFS(Movimientos!E:E, Movimientos!D:D, A392, Movimientos!C:C, "Ajuste", Movimientos!F:F, "G3")),"")</f>
        <v/>
      </c>
      <c r="J392" s="6" t="str">
        <f aca="false">IFERROR(IF(A392="","",SUM(E392:I392)),"")</f>
        <v/>
      </c>
      <c r="K392" s="6" t="str">
        <f aca="false">IFERROR(IF(A392="","",SUMIFS(Movimientos!E:E, Movimientos!D:D, A392, Movimientos!C:C, "Reserva")-SUMIFS(Movimientos!E:E, Movimientos!D:D, A392, Movimientos!C:C, "Libera_Reserva")),"")</f>
        <v/>
      </c>
      <c r="L392" s="6" t="str">
        <f aca="false">IFERROR(IF(A392="","",J392-K392),"")</f>
        <v/>
      </c>
      <c r="M392" s="6" t="str">
        <f aca="false">IFERROR(IF(Productos!A392="","",Productos!G392),"")</f>
        <v/>
      </c>
      <c r="N392" s="6" t="str">
        <f aca="false">IFERROR(IF(A392="","",IF(L392&lt;M392,"BAJO STOCK","OK")),"")</f>
        <v/>
      </c>
    </row>
    <row r="393" customFormat="false" ht="15" hidden="false" customHeight="false" outlineLevel="0" collapsed="false">
      <c r="A393" s="0" t="str">
        <f aca="false">IFERROR(IF(Productos!A393="","",Productos!A393),"")</f>
        <v/>
      </c>
      <c r="B393" s="0" t="str">
        <f aca="false">IFERROR(IF(Productos!A393="","",Productos!B393),"")</f>
        <v/>
      </c>
      <c r="C393" s="0" t="str">
        <f aca="false">IFERROR(IF(Productos!A393="","",Productos!C393),"")</f>
        <v/>
      </c>
      <c r="D393" s="0" t="str">
        <f aca="false">IFERROR(IF(Productos!A393="","",Productos!E393),"")</f>
        <v/>
      </c>
      <c r="E393" s="6" t="str">
        <f aca="false">IFERROR(IF(A393="","",SUMIFS(Movimientos!E:E, Movimientos!D:D, A393, Movimientos!C:C, "Ingreso", Movimientos!G:G, "TIN")+SUMIFS(Movimientos!E:E, Movimientos!D:D, A393, Movimientos!C:C, "Traslado", Movimientos!G:G, "TIN")-SUMIFS(Movimientos!E:E, Movimientos!D:D, A393, Movimientos!C:C, "Traslado", Movimientos!F:F, "TIN")-SUMIFS(Movimientos!E:E, Movimientos!D:D, A393, Movimientos!C:C, "Egreso", Movimientos!F:F, "TIN")+SUMIFS(Movimientos!E:E, Movimientos!D:D, A393, Movimientos!C:C, "Ajuste", Movimientos!F:F, "TIN")),"")</f>
        <v/>
      </c>
      <c r="F393" s="6" t="str">
        <f aca="false">IFERROR(IF(A393="","",SUMIFS(Movimientos!E:E, Movimientos!D:D, A393, Movimientos!C:C, "Ingreso", Movimientos!G:G, "G1000")+SUMIFS(Movimientos!E:E, Movimientos!D:D, A393, Movimientos!C:C, "Traslado", Movimientos!G:G, "G1000")-SUMIFS(Movimientos!E:E, Movimientos!D:D, A393, Movimientos!C:C, "Traslado", Movimientos!F:F, "G1000")-SUMIFS(Movimientos!E:E, Movimientos!D:D, A393, Movimientos!C:C, "Egreso", Movimientos!F:F, "G1000")+SUMIFS(Movimientos!E:E, Movimientos!D:D, A393, Movimientos!C:C, "Ajuste", Movimientos!F:F, "G1000")),"")</f>
        <v/>
      </c>
      <c r="G393" s="6" t="str">
        <f aca="false">IFERROR(IF(A393="","",SUMIFS(Movimientos!E:E, Movimientos!D:D, A393, Movimientos!C:C, "Ingreso", Movimientos!G:G, "G710")+SUMIFS(Movimientos!E:E, Movimientos!D:D, A393, Movimientos!C:C, "Traslado", Movimientos!G:G, "G710")-SUMIFS(Movimientos!E:E, Movimientos!D:D, A393, Movimientos!C:C, "Traslado", Movimientos!F:F, "G710")-SUMIFS(Movimientos!E:E, Movimientos!D:D, A393, Movimientos!C:C, "Egreso", Movimientos!F:F, "G710")+SUMIFS(Movimientos!E:E, Movimientos!D:D, A393, Movimientos!C:C, "Ajuste", Movimientos!F:F, "G710")),"")</f>
        <v/>
      </c>
      <c r="H393" s="6" t="str">
        <f aca="false">IFERROR(IF(A393="","",SUMIFS(Movimientos!E:E, Movimientos!D:D, A393, Movimientos!C:C, "Ingreso", Movimientos!G:G, "G5000")+SUMIFS(Movimientos!E:E, Movimientos!D:D, A393, Movimientos!C:C, "Traslado", Movimientos!G:G, "G5000")-SUMIFS(Movimientos!E:E, Movimientos!D:D, A393, Movimientos!C:C, "Traslado", Movimientos!F:F, "G5000")-SUMIFS(Movimientos!E:E, Movimientos!D:D, A393, Movimientos!C:C, "Egreso", Movimientos!F:F, "G5000")+SUMIFS(Movimientos!E:E, Movimientos!D:D, A393, Movimientos!C:C, "Ajuste", Movimientos!F:F, "G5000")),"")</f>
        <v/>
      </c>
      <c r="I393" s="6" t="str">
        <f aca="false">IFERROR(IF(A393="","",SUMIFS(Movimientos!E:E, Movimientos!D:D, A393, Movimientos!C:C, "Ingreso", Movimientos!G:G, "G3")+SUMIFS(Movimientos!E:E, Movimientos!D:D, A393, Movimientos!C:C, "Traslado", Movimientos!G:G, "G3")-SUMIFS(Movimientos!E:E, Movimientos!D:D, A393, Movimientos!C:C, "Traslado", Movimientos!F:F, "G3")-SUMIFS(Movimientos!E:E, Movimientos!D:D, A393, Movimientos!C:C, "Egreso", Movimientos!F:F, "G3")+SUMIFS(Movimientos!E:E, Movimientos!D:D, A393, Movimientos!C:C, "Ajuste", Movimientos!F:F, "G3")),"")</f>
        <v/>
      </c>
      <c r="J393" s="6" t="str">
        <f aca="false">IFERROR(IF(A393="","",SUM(E393:I393)),"")</f>
        <v/>
      </c>
      <c r="K393" s="6" t="str">
        <f aca="false">IFERROR(IF(A393="","",SUMIFS(Movimientos!E:E, Movimientos!D:D, A393, Movimientos!C:C, "Reserva")-SUMIFS(Movimientos!E:E, Movimientos!D:D, A393, Movimientos!C:C, "Libera_Reserva")),"")</f>
        <v/>
      </c>
      <c r="L393" s="6" t="str">
        <f aca="false">IFERROR(IF(A393="","",J393-K393),"")</f>
        <v/>
      </c>
      <c r="M393" s="6" t="str">
        <f aca="false">IFERROR(IF(Productos!A393="","",Productos!G393),"")</f>
        <v/>
      </c>
      <c r="N393" s="6" t="str">
        <f aca="false">IFERROR(IF(A393="","",IF(L393&lt;M393,"BAJO STOCK","OK")),"")</f>
        <v/>
      </c>
    </row>
    <row r="394" customFormat="false" ht="15" hidden="false" customHeight="false" outlineLevel="0" collapsed="false">
      <c r="A394" s="0" t="str">
        <f aca="false">IFERROR(IF(Productos!A394="","",Productos!A394),"")</f>
        <v/>
      </c>
      <c r="B394" s="0" t="str">
        <f aca="false">IFERROR(IF(Productos!A394="","",Productos!B394),"")</f>
        <v/>
      </c>
      <c r="C394" s="0" t="str">
        <f aca="false">IFERROR(IF(Productos!A394="","",Productos!C394),"")</f>
        <v/>
      </c>
      <c r="D394" s="0" t="str">
        <f aca="false">IFERROR(IF(Productos!A394="","",Productos!E394),"")</f>
        <v/>
      </c>
      <c r="E394" s="6" t="str">
        <f aca="false">IFERROR(IF(A394="","",SUMIFS(Movimientos!E:E, Movimientos!D:D, A394, Movimientos!C:C, "Ingreso", Movimientos!G:G, "TIN")+SUMIFS(Movimientos!E:E, Movimientos!D:D, A394, Movimientos!C:C, "Traslado", Movimientos!G:G, "TIN")-SUMIFS(Movimientos!E:E, Movimientos!D:D, A394, Movimientos!C:C, "Traslado", Movimientos!F:F, "TIN")-SUMIFS(Movimientos!E:E, Movimientos!D:D, A394, Movimientos!C:C, "Egreso", Movimientos!F:F, "TIN")+SUMIFS(Movimientos!E:E, Movimientos!D:D, A394, Movimientos!C:C, "Ajuste", Movimientos!F:F, "TIN")),"")</f>
        <v/>
      </c>
      <c r="F394" s="6" t="str">
        <f aca="false">IFERROR(IF(A394="","",SUMIFS(Movimientos!E:E, Movimientos!D:D, A394, Movimientos!C:C, "Ingreso", Movimientos!G:G, "G1000")+SUMIFS(Movimientos!E:E, Movimientos!D:D, A394, Movimientos!C:C, "Traslado", Movimientos!G:G, "G1000")-SUMIFS(Movimientos!E:E, Movimientos!D:D, A394, Movimientos!C:C, "Traslado", Movimientos!F:F, "G1000")-SUMIFS(Movimientos!E:E, Movimientos!D:D, A394, Movimientos!C:C, "Egreso", Movimientos!F:F, "G1000")+SUMIFS(Movimientos!E:E, Movimientos!D:D, A394, Movimientos!C:C, "Ajuste", Movimientos!F:F, "G1000")),"")</f>
        <v/>
      </c>
      <c r="G394" s="6" t="str">
        <f aca="false">IFERROR(IF(A394="","",SUMIFS(Movimientos!E:E, Movimientos!D:D, A394, Movimientos!C:C, "Ingreso", Movimientos!G:G, "G710")+SUMIFS(Movimientos!E:E, Movimientos!D:D, A394, Movimientos!C:C, "Traslado", Movimientos!G:G, "G710")-SUMIFS(Movimientos!E:E, Movimientos!D:D, A394, Movimientos!C:C, "Traslado", Movimientos!F:F, "G710")-SUMIFS(Movimientos!E:E, Movimientos!D:D, A394, Movimientos!C:C, "Egreso", Movimientos!F:F, "G710")+SUMIFS(Movimientos!E:E, Movimientos!D:D, A394, Movimientos!C:C, "Ajuste", Movimientos!F:F, "G710")),"")</f>
        <v/>
      </c>
      <c r="H394" s="6" t="str">
        <f aca="false">IFERROR(IF(A394="","",SUMIFS(Movimientos!E:E, Movimientos!D:D, A394, Movimientos!C:C, "Ingreso", Movimientos!G:G, "G5000")+SUMIFS(Movimientos!E:E, Movimientos!D:D, A394, Movimientos!C:C, "Traslado", Movimientos!G:G, "G5000")-SUMIFS(Movimientos!E:E, Movimientos!D:D, A394, Movimientos!C:C, "Traslado", Movimientos!F:F, "G5000")-SUMIFS(Movimientos!E:E, Movimientos!D:D, A394, Movimientos!C:C, "Egreso", Movimientos!F:F, "G5000")+SUMIFS(Movimientos!E:E, Movimientos!D:D, A394, Movimientos!C:C, "Ajuste", Movimientos!F:F, "G5000")),"")</f>
        <v/>
      </c>
      <c r="I394" s="6" t="str">
        <f aca="false">IFERROR(IF(A394="","",SUMIFS(Movimientos!E:E, Movimientos!D:D, A394, Movimientos!C:C, "Ingreso", Movimientos!G:G, "G3")+SUMIFS(Movimientos!E:E, Movimientos!D:D, A394, Movimientos!C:C, "Traslado", Movimientos!G:G, "G3")-SUMIFS(Movimientos!E:E, Movimientos!D:D, A394, Movimientos!C:C, "Traslado", Movimientos!F:F, "G3")-SUMIFS(Movimientos!E:E, Movimientos!D:D, A394, Movimientos!C:C, "Egreso", Movimientos!F:F, "G3")+SUMIFS(Movimientos!E:E, Movimientos!D:D, A394, Movimientos!C:C, "Ajuste", Movimientos!F:F, "G3")),"")</f>
        <v/>
      </c>
      <c r="J394" s="6" t="str">
        <f aca="false">IFERROR(IF(A394="","",SUM(E394:I394)),"")</f>
        <v/>
      </c>
      <c r="K394" s="6" t="str">
        <f aca="false">IFERROR(IF(A394="","",SUMIFS(Movimientos!E:E, Movimientos!D:D, A394, Movimientos!C:C, "Reserva")-SUMIFS(Movimientos!E:E, Movimientos!D:D, A394, Movimientos!C:C, "Libera_Reserva")),"")</f>
        <v/>
      </c>
      <c r="L394" s="6" t="str">
        <f aca="false">IFERROR(IF(A394="","",J394-K394),"")</f>
        <v/>
      </c>
      <c r="M394" s="6" t="str">
        <f aca="false">IFERROR(IF(Productos!A394="","",Productos!G394),"")</f>
        <v/>
      </c>
      <c r="N394" s="6" t="str">
        <f aca="false">IFERROR(IF(A394="","",IF(L394&lt;M394,"BAJO STOCK","OK")),"")</f>
        <v/>
      </c>
    </row>
    <row r="395" customFormat="false" ht="15" hidden="false" customHeight="false" outlineLevel="0" collapsed="false">
      <c r="A395" s="0" t="str">
        <f aca="false">IFERROR(IF(Productos!A395="","",Productos!A395),"")</f>
        <v/>
      </c>
      <c r="B395" s="0" t="str">
        <f aca="false">IFERROR(IF(Productos!A395="","",Productos!B395),"")</f>
        <v/>
      </c>
      <c r="C395" s="0" t="str">
        <f aca="false">IFERROR(IF(Productos!A395="","",Productos!C395),"")</f>
        <v/>
      </c>
      <c r="D395" s="0" t="str">
        <f aca="false">IFERROR(IF(Productos!A395="","",Productos!E395),"")</f>
        <v/>
      </c>
      <c r="E395" s="6" t="str">
        <f aca="false">IFERROR(IF(A395="","",SUMIFS(Movimientos!E:E, Movimientos!D:D, A395, Movimientos!C:C, "Ingreso", Movimientos!G:G, "TIN")+SUMIFS(Movimientos!E:E, Movimientos!D:D, A395, Movimientos!C:C, "Traslado", Movimientos!G:G, "TIN")-SUMIFS(Movimientos!E:E, Movimientos!D:D, A395, Movimientos!C:C, "Traslado", Movimientos!F:F, "TIN")-SUMIFS(Movimientos!E:E, Movimientos!D:D, A395, Movimientos!C:C, "Egreso", Movimientos!F:F, "TIN")+SUMIFS(Movimientos!E:E, Movimientos!D:D, A395, Movimientos!C:C, "Ajuste", Movimientos!F:F, "TIN")),"")</f>
        <v/>
      </c>
      <c r="F395" s="6" t="str">
        <f aca="false">IFERROR(IF(A395="","",SUMIFS(Movimientos!E:E, Movimientos!D:D, A395, Movimientos!C:C, "Ingreso", Movimientos!G:G, "G1000")+SUMIFS(Movimientos!E:E, Movimientos!D:D, A395, Movimientos!C:C, "Traslado", Movimientos!G:G, "G1000")-SUMIFS(Movimientos!E:E, Movimientos!D:D, A395, Movimientos!C:C, "Traslado", Movimientos!F:F, "G1000")-SUMIFS(Movimientos!E:E, Movimientos!D:D, A395, Movimientos!C:C, "Egreso", Movimientos!F:F, "G1000")+SUMIFS(Movimientos!E:E, Movimientos!D:D, A395, Movimientos!C:C, "Ajuste", Movimientos!F:F, "G1000")),"")</f>
        <v/>
      </c>
      <c r="G395" s="6" t="str">
        <f aca="false">IFERROR(IF(A395="","",SUMIFS(Movimientos!E:E, Movimientos!D:D, A395, Movimientos!C:C, "Ingreso", Movimientos!G:G, "G710")+SUMIFS(Movimientos!E:E, Movimientos!D:D, A395, Movimientos!C:C, "Traslado", Movimientos!G:G, "G710")-SUMIFS(Movimientos!E:E, Movimientos!D:D, A395, Movimientos!C:C, "Traslado", Movimientos!F:F, "G710")-SUMIFS(Movimientos!E:E, Movimientos!D:D, A395, Movimientos!C:C, "Egreso", Movimientos!F:F, "G710")+SUMIFS(Movimientos!E:E, Movimientos!D:D, A395, Movimientos!C:C, "Ajuste", Movimientos!F:F, "G710")),"")</f>
        <v/>
      </c>
      <c r="H395" s="6" t="str">
        <f aca="false">IFERROR(IF(A395="","",SUMIFS(Movimientos!E:E, Movimientos!D:D, A395, Movimientos!C:C, "Ingreso", Movimientos!G:G, "G5000")+SUMIFS(Movimientos!E:E, Movimientos!D:D, A395, Movimientos!C:C, "Traslado", Movimientos!G:G, "G5000")-SUMIFS(Movimientos!E:E, Movimientos!D:D, A395, Movimientos!C:C, "Traslado", Movimientos!F:F, "G5000")-SUMIFS(Movimientos!E:E, Movimientos!D:D, A395, Movimientos!C:C, "Egreso", Movimientos!F:F, "G5000")+SUMIFS(Movimientos!E:E, Movimientos!D:D, A395, Movimientos!C:C, "Ajuste", Movimientos!F:F, "G5000")),"")</f>
        <v/>
      </c>
      <c r="I395" s="6" t="str">
        <f aca="false">IFERROR(IF(A395="","",SUMIFS(Movimientos!E:E, Movimientos!D:D, A395, Movimientos!C:C, "Ingreso", Movimientos!G:G, "G3")+SUMIFS(Movimientos!E:E, Movimientos!D:D, A395, Movimientos!C:C, "Traslado", Movimientos!G:G, "G3")-SUMIFS(Movimientos!E:E, Movimientos!D:D, A395, Movimientos!C:C, "Traslado", Movimientos!F:F, "G3")-SUMIFS(Movimientos!E:E, Movimientos!D:D, A395, Movimientos!C:C, "Egreso", Movimientos!F:F, "G3")+SUMIFS(Movimientos!E:E, Movimientos!D:D, A395, Movimientos!C:C, "Ajuste", Movimientos!F:F, "G3")),"")</f>
        <v/>
      </c>
      <c r="J395" s="6" t="str">
        <f aca="false">IFERROR(IF(A395="","",SUM(E395:I395)),"")</f>
        <v/>
      </c>
      <c r="K395" s="6" t="str">
        <f aca="false">IFERROR(IF(A395="","",SUMIFS(Movimientos!E:E, Movimientos!D:D, A395, Movimientos!C:C, "Reserva")-SUMIFS(Movimientos!E:E, Movimientos!D:D, A395, Movimientos!C:C, "Libera_Reserva")),"")</f>
        <v/>
      </c>
      <c r="L395" s="6" t="str">
        <f aca="false">IFERROR(IF(A395="","",J395-K395),"")</f>
        <v/>
      </c>
      <c r="M395" s="6" t="str">
        <f aca="false">IFERROR(IF(Productos!A395="","",Productos!G395),"")</f>
        <v/>
      </c>
      <c r="N395" s="6" t="str">
        <f aca="false">IFERROR(IF(A395="","",IF(L395&lt;M395,"BAJO STOCK","OK")),"")</f>
        <v/>
      </c>
    </row>
    <row r="396" customFormat="false" ht="15" hidden="false" customHeight="false" outlineLevel="0" collapsed="false">
      <c r="A396" s="0" t="str">
        <f aca="false">IFERROR(IF(Productos!A396="","",Productos!A396),"")</f>
        <v/>
      </c>
      <c r="B396" s="0" t="str">
        <f aca="false">IFERROR(IF(Productos!A396="","",Productos!B396),"")</f>
        <v/>
      </c>
      <c r="C396" s="0" t="str">
        <f aca="false">IFERROR(IF(Productos!A396="","",Productos!C396),"")</f>
        <v/>
      </c>
      <c r="D396" s="0" t="str">
        <f aca="false">IFERROR(IF(Productos!A396="","",Productos!E396),"")</f>
        <v/>
      </c>
      <c r="E396" s="6" t="str">
        <f aca="false">IFERROR(IF(A396="","",SUMIFS(Movimientos!E:E, Movimientos!D:D, A396, Movimientos!C:C, "Ingreso", Movimientos!G:G, "TIN")+SUMIFS(Movimientos!E:E, Movimientos!D:D, A396, Movimientos!C:C, "Traslado", Movimientos!G:G, "TIN")-SUMIFS(Movimientos!E:E, Movimientos!D:D, A396, Movimientos!C:C, "Traslado", Movimientos!F:F, "TIN")-SUMIFS(Movimientos!E:E, Movimientos!D:D, A396, Movimientos!C:C, "Egreso", Movimientos!F:F, "TIN")+SUMIFS(Movimientos!E:E, Movimientos!D:D, A396, Movimientos!C:C, "Ajuste", Movimientos!F:F, "TIN")),"")</f>
        <v/>
      </c>
      <c r="F396" s="6" t="str">
        <f aca="false">IFERROR(IF(A396="","",SUMIFS(Movimientos!E:E, Movimientos!D:D, A396, Movimientos!C:C, "Ingreso", Movimientos!G:G, "G1000")+SUMIFS(Movimientos!E:E, Movimientos!D:D, A396, Movimientos!C:C, "Traslado", Movimientos!G:G, "G1000")-SUMIFS(Movimientos!E:E, Movimientos!D:D, A396, Movimientos!C:C, "Traslado", Movimientos!F:F, "G1000")-SUMIFS(Movimientos!E:E, Movimientos!D:D, A396, Movimientos!C:C, "Egreso", Movimientos!F:F, "G1000")+SUMIFS(Movimientos!E:E, Movimientos!D:D, A396, Movimientos!C:C, "Ajuste", Movimientos!F:F, "G1000")),"")</f>
        <v/>
      </c>
      <c r="G396" s="6" t="str">
        <f aca="false">IFERROR(IF(A396="","",SUMIFS(Movimientos!E:E, Movimientos!D:D, A396, Movimientos!C:C, "Ingreso", Movimientos!G:G, "G710")+SUMIFS(Movimientos!E:E, Movimientos!D:D, A396, Movimientos!C:C, "Traslado", Movimientos!G:G, "G710")-SUMIFS(Movimientos!E:E, Movimientos!D:D, A396, Movimientos!C:C, "Traslado", Movimientos!F:F, "G710")-SUMIFS(Movimientos!E:E, Movimientos!D:D, A396, Movimientos!C:C, "Egreso", Movimientos!F:F, "G710")+SUMIFS(Movimientos!E:E, Movimientos!D:D, A396, Movimientos!C:C, "Ajuste", Movimientos!F:F, "G710")),"")</f>
        <v/>
      </c>
      <c r="H396" s="6" t="str">
        <f aca="false">IFERROR(IF(A396="","",SUMIFS(Movimientos!E:E, Movimientos!D:D, A396, Movimientos!C:C, "Ingreso", Movimientos!G:G, "G5000")+SUMIFS(Movimientos!E:E, Movimientos!D:D, A396, Movimientos!C:C, "Traslado", Movimientos!G:G, "G5000")-SUMIFS(Movimientos!E:E, Movimientos!D:D, A396, Movimientos!C:C, "Traslado", Movimientos!F:F, "G5000")-SUMIFS(Movimientos!E:E, Movimientos!D:D, A396, Movimientos!C:C, "Egreso", Movimientos!F:F, "G5000")+SUMIFS(Movimientos!E:E, Movimientos!D:D, A396, Movimientos!C:C, "Ajuste", Movimientos!F:F, "G5000")),"")</f>
        <v/>
      </c>
      <c r="I396" s="6" t="str">
        <f aca="false">IFERROR(IF(A396="","",SUMIFS(Movimientos!E:E, Movimientos!D:D, A396, Movimientos!C:C, "Ingreso", Movimientos!G:G, "G3")+SUMIFS(Movimientos!E:E, Movimientos!D:D, A396, Movimientos!C:C, "Traslado", Movimientos!G:G, "G3")-SUMIFS(Movimientos!E:E, Movimientos!D:D, A396, Movimientos!C:C, "Traslado", Movimientos!F:F, "G3")-SUMIFS(Movimientos!E:E, Movimientos!D:D, A396, Movimientos!C:C, "Egreso", Movimientos!F:F, "G3")+SUMIFS(Movimientos!E:E, Movimientos!D:D, A396, Movimientos!C:C, "Ajuste", Movimientos!F:F, "G3")),"")</f>
        <v/>
      </c>
      <c r="J396" s="6" t="str">
        <f aca="false">IFERROR(IF(A396="","",SUM(E396:I396)),"")</f>
        <v/>
      </c>
      <c r="K396" s="6" t="str">
        <f aca="false">IFERROR(IF(A396="","",SUMIFS(Movimientos!E:E, Movimientos!D:D, A396, Movimientos!C:C, "Reserva")-SUMIFS(Movimientos!E:E, Movimientos!D:D, A396, Movimientos!C:C, "Libera_Reserva")),"")</f>
        <v/>
      </c>
      <c r="L396" s="6" t="str">
        <f aca="false">IFERROR(IF(A396="","",J396-K396),"")</f>
        <v/>
      </c>
      <c r="M396" s="6" t="str">
        <f aca="false">IFERROR(IF(Productos!A396="","",Productos!G396),"")</f>
        <v/>
      </c>
      <c r="N396" s="6" t="str">
        <f aca="false">IFERROR(IF(A396="","",IF(L396&lt;M396,"BAJO STOCK","OK")),"")</f>
        <v/>
      </c>
    </row>
    <row r="397" customFormat="false" ht="15" hidden="false" customHeight="false" outlineLevel="0" collapsed="false">
      <c r="A397" s="0" t="str">
        <f aca="false">IFERROR(IF(Productos!A397="","",Productos!A397),"")</f>
        <v/>
      </c>
      <c r="B397" s="0" t="str">
        <f aca="false">IFERROR(IF(Productos!A397="","",Productos!B397),"")</f>
        <v/>
      </c>
      <c r="C397" s="0" t="str">
        <f aca="false">IFERROR(IF(Productos!A397="","",Productos!C397),"")</f>
        <v/>
      </c>
      <c r="D397" s="0" t="str">
        <f aca="false">IFERROR(IF(Productos!A397="","",Productos!E397),"")</f>
        <v/>
      </c>
      <c r="E397" s="6" t="str">
        <f aca="false">IFERROR(IF(A397="","",SUMIFS(Movimientos!E:E, Movimientos!D:D, A397, Movimientos!C:C, "Ingreso", Movimientos!G:G, "TIN")+SUMIFS(Movimientos!E:E, Movimientos!D:D, A397, Movimientos!C:C, "Traslado", Movimientos!G:G, "TIN")-SUMIFS(Movimientos!E:E, Movimientos!D:D, A397, Movimientos!C:C, "Traslado", Movimientos!F:F, "TIN")-SUMIFS(Movimientos!E:E, Movimientos!D:D, A397, Movimientos!C:C, "Egreso", Movimientos!F:F, "TIN")+SUMIFS(Movimientos!E:E, Movimientos!D:D, A397, Movimientos!C:C, "Ajuste", Movimientos!F:F, "TIN")),"")</f>
        <v/>
      </c>
      <c r="F397" s="6" t="str">
        <f aca="false">IFERROR(IF(A397="","",SUMIFS(Movimientos!E:E, Movimientos!D:D, A397, Movimientos!C:C, "Ingreso", Movimientos!G:G, "G1000")+SUMIFS(Movimientos!E:E, Movimientos!D:D, A397, Movimientos!C:C, "Traslado", Movimientos!G:G, "G1000")-SUMIFS(Movimientos!E:E, Movimientos!D:D, A397, Movimientos!C:C, "Traslado", Movimientos!F:F, "G1000")-SUMIFS(Movimientos!E:E, Movimientos!D:D, A397, Movimientos!C:C, "Egreso", Movimientos!F:F, "G1000")+SUMIFS(Movimientos!E:E, Movimientos!D:D, A397, Movimientos!C:C, "Ajuste", Movimientos!F:F, "G1000")),"")</f>
        <v/>
      </c>
      <c r="G397" s="6" t="str">
        <f aca="false">IFERROR(IF(A397="","",SUMIFS(Movimientos!E:E, Movimientos!D:D, A397, Movimientos!C:C, "Ingreso", Movimientos!G:G, "G710")+SUMIFS(Movimientos!E:E, Movimientos!D:D, A397, Movimientos!C:C, "Traslado", Movimientos!G:G, "G710")-SUMIFS(Movimientos!E:E, Movimientos!D:D, A397, Movimientos!C:C, "Traslado", Movimientos!F:F, "G710")-SUMIFS(Movimientos!E:E, Movimientos!D:D, A397, Movimientos!C:C, "Egreso", Movimientos!F:F, "G710")+SUMIFS(Movimientos!E:E, Movimientos!D:D, A397, Movimientos!C:C, "Ajuste", Movimientos!F:F, "G710")),"")</f>
        <v/>
      </c>
      <c r="H397" s="6" t="str">
        <f aca="false">IFERROR(IF(A397="","",SUMIFS(Movimientos!E:E, Movimientos!D:D, A397, Movimientos!C:C, "Ingreso", Movimientos!G:G, "G5000")+SUMIFS(Movimientos!E:E, Movimientos!D:D, A397, Movimientos!C:C, "Traslado", Movimientos!G:G, "G5000")-SUMIFS(Movimientos!E:E, Movimientos!D:D, A397, Movimientos!C:C, "Traslado", Movimientos!F:F, "G5000")-SUMIFS(Movimientos!E:E, Movimientos!D:D, A397, Movimientos!C:C, "Egreso", Movimientos!F:F, "G5000")+SUMIFS(Movimientos!E:E, Movimientos!D:D, A397, Movimientos!C:C, "Ajuste", Movimientos!F:F, "G5000")),"")</f>
        <v/>
      </c>
      <c r="I397" s="6" t="str">
        <f aca="false">IFERROR(IF(A397="","",SUMIFS(Movimientos!E:E, Movimientos!D:D, A397, Movimientos!C:C, "Ingreso", Movimientos!G:G, "G3")+SUMIFS(Movimientos!E:E, Movimientos!D:D, A397, Movimientos!C:C, "Traslado", Movimientos!G:G, "G3")-SUMIFS(Movimientos!E:E, Movimientos!D:D, A397, Movimientos!C:C, "Traslado", Movimientos!F:F, "G3")-SUMIFS(Movimientos!E:E, Movimientos!D:D, A397, Movimientos!C:C, "Egreso", Movimientos!F:F, "G3")+SUMIFS(Movimientos!E:E, Movimientos!D:D, A397, Movimientos!C:C, "Ajuste", Movimientos!F:F, "G3")),"")</f>
        <v/>
      </c>
      <c r="J397" s="6" t="str">
        <f aca="false">IFERROR(IF(A397="","",SUM(E397:I397)),"")</f>
        <v/>
      </c>
      <c r="K397" s="6" t="str">
        <f aca="false">IFERROR(IF(A397="","",SUMIFS(Movimientos!E:E, Movimientos!D:D, A397, Movimientos!C:C, "Reserva")-SUMIFS(Movimientos!E:E, Movimientos!D:D, A397, Movimientos!C:C, "Libera_Reserva")),"")</f>
        <v/>
      </c>
      <c r="L397" s="6" t="str">
        <f aca="false">IFERROR(IF(A397="","",J397-K397),"")</f>
        <v/>
      </c>
      <c r="M397" s="6" t="str">
        <f aca="false">IFERROR(IF(Productos!A397="","",Productos!G397),"")</f>
        <v/>
      </c>
      <c r="N397" s="6" t="str">
        <f aca="false">IFERROR(IF(A397="","",IF(L397&lt;M397,"BAJO STOCK","OK")),"")</f>
        <v/>
      </c>
    </row>
    <row r="398" customFormat="false" ht="15" hidden="false" customHeight="false" outlineLevel="0" collapsed="false">
      <c r="A398" s="0" t="str">
        <f aca="false">IFERROR(IF(Productos!A398="","",Productos!A398),"")</f>
        <v/>
      </c>
      <c r="B398" s="0" t="str">
        <f aca="false">IFERROR(IF(Productos!A398="","",Productos!B398),"")</f>
        <v/>
      </c>
      <c r="C398" s="0" t="str">
        <f aca="false">IFERROR(IF(Productos!A398="","",Productos!C398),"")</f>
        <v/>
      </c>
      <c r="D398" s="0" t="str">
        <f aca="false">IFERROR(IF(Productos!A398="","",Productos!E398),"")</f>
        <v/>
      </c>
      <c r="E398" s="6" t="str">
        <f aca="false">IFERROR(IF(A398="","",SUMIFS(Movimientos!E:E, Movimientos!D:D, A398, Movimientos!C:C, "Ingreso", Movimientos!G:G, "TIN")+SUMIFS(Movimientos!E:E, Movimientos!D:D, A398, Movimientos!C:C, "Traslado", Movimientos!G:G, "TIN")-SUMIFS(Movimientos!E:E, Movimientos!D:D, A398, Movimientos!C:C, "Traslado", Movimientos!F:F, "TIN")-SUMIFS(Movimientos!E:E, Movimientos!D:D, A398, Movimientos!C:C, "Egreso", Movimientos!F:F, "TIN")+SUMIFS(Movimientos!E:E, Movimientos!D:D, A398, Movimientos!C:C, "Ajuste", Movimientos!F:F, "TIN")),"")</f>
        <v/>
      </c>
      <c r="F398" s="6" t="str">
        <f aca="false">IFERROR(IF(A398="","",SUMIFS(Movimientos!E:E, Movimientos!D:D, A398, Movimientos!C:C, "Ingreso", Movimientos!G:G, "G1000")+SUMIFS(Movimientos!E:E, Movimientos!D:D, A398, Movimientos!C:C, "Traslado", Movimientos!G:G, "G1000")-SUMIFS(Movimientos!E:E, Movimientos!D:D, A398, Movimientos!C:C, "Traslado", Movimientos!F:F, "G1000")-SUMIFS(Movimientos!E:E, Movimientos!D:D, A398, Movimientos!C:C, "Egreso", Movimientos!F:F, "G1000")+SUMIFS(Movimientos!E:E, Movimientos!D:D, A398, Movimientos!C:C, "Ajuste", Movimientos!F:F, "G1000")),"")</f>
        <v/>
      </c>
      <c r="G398" s="6" t="str">
        <f aca="false">IFERROR(IF(A398="","",SUMIFS(Movimientos!E:E, Movimientos!D:D, A398, Movimientos!C:C, "Ingreso", Movimientos!G:G, "G710")+SUMIFS(Movimientos!E:E, Movimientos!D:D, A398, Movimientos!C:C, "Traslado", Movimientos!G:G, "G710")-SUMIFS(Movimientos!E:E, Movimientos!D:D, A398, Movimientos!C:C, "Traslado", Movimientos!F:F, "G710")-SUMIFS(Movimientos!E:E, Movimientos!D:D, A398, Movimientos!C:C, "Egreso", Movimientos!F:F, "G710")+SUMIFS(Movimientos!E:E, Movimientos!D:D, A398, Movimientos!C:C, "Ajuste", Movimientos!F:F, "G710")),"")</f>
        <v/>
      </c>
      <c r="H398" s="6" t="str">
        <f aca="false">IFERROR(IF(A398="","",SUMIFS(Movimientos!E:E, Movimientos!D:D, A398, Movimientos!C:C, "Ingreso", Movimientos!G:G, "G5000")+SUMIFS(Movimientos!E:E, Movimientos!D:D, A398, Movimientos!C:C, "Traslado", Movimientos!G:G, "G5000")-SUMIFS(Movimientos!E:E, Movimientos!D:D, A398, Movimientos!C:C, "Traslado", Movimientos!F:F, "G5000")-SUMIFS(Movimientos!E:E, Movimientos!D:D, A398, Movimientos!C:C, "Egreso", Movimientos!F:F, "G5000")+SUMIFS(Movimientos!E:E, Movimientos!D:D, A398, Movimientos!C:C, "Ajuste", Movimientos!F:F, "G5000")),"")</f>
        <v/>
      </c>
      <c r="I398" s="6" t="str">
        <f aca="false">IFERROR(IF(A398="","",SUMIFS(Movimientos!E:E, Movimientos!D:D, A398, Movimientos!C:C, "Ingreso", Movimientos!G:G, "G3")+SUMIFS(Movimientos!E:E, Movimientos!D:D, A398, Movimientos!C:C, "Traslado", Movimientos!G:G, "G3")-SUMIFS(Movimientos!E:E, Movimientos!D:D, A398, Movimientos!C:C, "Traslado", Movimientos!F:F, "G3")-SUMIFS(Movimientos!E:E, Movimientos!D:D, A398, Movimientos!C:C, "Egreso", Movimientos!F:F, "G3")+SUMIFS(Movimientos!E:E, Movimientos!D:D, A398, Movimientos!C:C, "Ajuste", Movimientos!F:F, "G3")),"")</f>
        <v/>
      </c>
      <c r="J398" s="6" t="str">
        <f aca="false">IFERROR(IF(A398="","",SUM(E398:I398)),"")</f>
        <v/>
      </c>
      <c r="K398" s="6" t="str">
        <f aca="false">IFERROR(IF(A398="","",SUMIFS(Movimientos!E:E, Movimientos!D:D, A398, Movimientos!C:C, "Reserva")-SUMIFS(Movimientos!E:E, Movimientos!D:D, A398, Movimientos!C:C, "Libera_Reserva")),"")</f>
        <v/>
      </c>
      <c r="L398" s="6" t="str">
        <f aca="false">IFERROR(IF(A398="","",J398-K398),"")</f>
        <v/>
      </c>
      <c r="M398" s="6" t="str">
        <f aca="false">IFERROR(IF(Productos!A398="","",Productos!G398),"")</f>
        <v/>
      </c>
      <c r="N398" s="6" t="str">
        <f aca="false">IFERROR(IF(A398="","",IF(L398&lt;M398,"BAJO STOCK","OK")),"")</f>
        <v/>
      </c>
    </row>
    <row r="399" customFormat="false" ht="15" hidden="false" customHeight="false" outlineLevel="0" collapsed="false">
      <c r="A399" s="0" t="str">
        <f aca="false">IFERROR(IF(Productos!A399="","",Productos!A399),"")</f>
        <v/>
      </c>
      <c r="B399" s="0" t="str">
        <f aca="false">IFERROR(IF(Productos!A399="","",Productos!B399),"")</f>
        <v/>
      </c>
      <c r="C399" s="0" t="str">
        <f aca="false">IFERROR(IF(Productos!A399="","",Productos!C399),"")</f>
        <v/>
      </c>
      <c r="D399" s="0" t="str">
        <f aca="false">IFERROR(IF(Productos!A399="","",Productos!E399),"")</f>
        <v/>
      </c>
      <c r="E399" s="6" t="str">
        <f aca="false">IFERROR(IF(A399="","",SUMIFS(Movimientos!E:E, Movimientos!D:D, A399, Movimientos!C:C, "Ingreso", Movimientos!G:G, "TIN")+SUMIFS(Movimientos!E:E, Movimientos!D:D, A399, Movimientos!C:C, "Traslado", Movimientos!G:G, "TIN")-SUMIFS(Movimientos!E:E, Movimientos!D:D, A399, Movimientos!C:C, "Traslado", Movimientos!F:F, "TIN")-SUMIFS(Movimientos!E:E, Movimientos!D:D, A399, Movimientos!C:C, "Egreso", Movimientos!F:F, "TIN")+SUMIFS(Movimientos!E:E, Movimientos!D:D, A399, Movimientos!C:C, "Ajuste", Movimientos!F:F, "TIN")),"")</f>
        <v/>
      </c>
      <c r="F399" s="6" t="str">
        <f aca="false">IFERROR(IF(A399="","",SUMIFS(Movimientos!E:E, Movimientos!D:D, A399, Movimientos!C:C, "Ingreso", Movimientos!G:G, "G1000")+SUMIFS(Movimientos!E:E, Movimientos!D:D, A399, Movimientos!C:C, "Traslado", Movimientos!G:G, "G1000")-SUMIFS(Movimientos!E:E, Movimientos!D:D, A399, Movimientos!C:C, "Traslado", Movimientos!F:F, "G1000")-SUMIFS(Movimientos!E:E, Movimientos!D:D, A399, Movimientos!C:C, "Egreso", Movimientos!F:F, "G1000")+SUMIFS(Movimientos!E:E, Movimientos!D:D, A399, Movimientos!C:C, "Ajuste", Movimientos!F:F, "G1000")),"")</f>
        <v/>
      </c>
      <c r="G399" s="6" t="str">
        <f aca="false">IFERROR(IF(A399="","",SUMIFS(Movimientos!E:E, Movimientos!D:D, A399, Movimientos!C:C, "Ingreso", Movimientos!G:G, "G710")+SUMIFS(Movimientos!E:E, Movimientos!D:D, A399, Movimientos!C:C, "Traslado", Movimientos!G:G, "G710")-SUMIFS(Movimientos!E:E, Movimientos!D:D, A399, Movimientos!C:C, "Traslado", Movimientos!F:F, "G710")-SUMIFS(Movimientos!E:E, Movimientos!D:D, A399, Movimientos!C:C, "Egreso", Movimientos!F:F, "G710")+SUMIFS(Movimientos!E:E, Movimientos!D:D, A399, Movimientos!C:C, "Ajuste", Movimientos!F:F, "G710")),"")</f>
        <v/>
      </c>
      <c r="H399" s="6" t="str">
        <f aca="false">IFERROR(IF(A399="","",SUMIFS(Movimientos!E:E, Movimientos!D:D, A399, Movimientos!C:C, "Ingreso", Movimientos!G:G, "G5000")+SUMIFS(Movimientos!E:E, Movimientos!D:D, A399, Movimientos!C:C, "Traslado", Movimientos!G:G, "G5000")-SUMIFS(Movimientos!E:E, Movimientos!D:D, A399, Movimientos!C:C, "Traslado", Movimientos!F:F, "G5000")-SUMIFS(Movimientos!E:E, Movimientos!D:D, A399, Movimientos!C:C, "Egreso", Movimientos!F:F, "G5000")+SUMIFS(Movimientos!E:E, Movimientos!D:D, A399, Movimientos!C:C, "Ajuste", Movimientos!F:F, "G5000")),"")</f>
        <v/>
      </c>
      <c r="I399" s="6" t="str">
        <f aca="false">IFERROR(IF(A399="","",SUMIFS(Movimientos!E:E, Movimientos!D:D, A399, Movimientos!C:C, "Ingreso", Movimientos!G:G, "G3")+SUMIFS(Movimientos!E:E, Movimientos!D:D, A399, Movimientos!C:C, "Traslado", Movimientos!G:G, "G3")-SUMIFS(Movimientos!E:E, Movimientos!D:D, A399, Movimientos!C:C, "Traslado", Movimientos!F:F, "G3")-SUMIFS(Movimientos!E:E, Movimientos!D:D, A399, Movimientos!C:C, "Egreso", Movimientos!F:F, "G3")+SUMIFS(Movimientos!E:E, Movimientos!D:D, A399, Movimientos!C:C, "Ajuste", Movimientos!F:F, "G3")),"")</f>
        <v/>
      </c>
      <c r="J399" s="6" t="str">
        <f aca="false">IFERROR(IF(A399="","",SUM(E399:I399)),"")</f>
        <v/>
      </c>
      <c r="K399" s="6" t="str">
        <f aca="false">IFERROR(IF(A399="","",SUMIFS(Movimientos!E:E, Movimientos!D:D, A399, Movimientos!C:C, "Reserva")-SUMIFS(Movimientos!E:E, Movimientos!D:D, A399, Movimientos!C:C, "Libera_Reserva")),"")</f>
        <v/>
      </c>
      <c r="L399" s="6" t="str">
        <f aca="false">IFERROR(IF(A399="","",J399-K399),"")</f>
        <v/>
      </c>
      <c r="M399" s="6" t="str">
        <f aca="false">IFERROR(IF(Productos!A399="","",Productos!G399),"")</f>
        <v/>
      </c>
      <c r="N399" s="6" t="str">
        <f aca="false">IFERROR(IF(A399="","",IF(L399&lt;M399,"BAJO STOCK","OK")),"")</f>
        <v/>
      </c>
    </row>
    <row r="400" customFormat="false" ht="15" hidden="false" customHeight="false" outlineLevel="0" collapsed="false">
      <c r="A400" s="0" t="str">
        <f aca="false">IFERROR(IF(Productos!A400="","",Productos!A400),"")</f>
        <v/>
      </c>
      <c r="B400" s="0" t="str">
        <f aca="false">IFERROR(IF(Productos!A400="","",Productos!B400),"")</f>
        <v/>
      </c>
      <c r="C400" s="0" t="str">
        <f aca="false">IFERROR(IF(Productos!A400="","",Productos!C400),"")</f>
        <v/>
      </c>
      <c r="D400" s="0" t="str">
        <f aca="false">IFERROR(IF(Productos!A400="","",Productos!E400),"")</f>
        <v/>
      </c>
      <c r="E400" s="6" t="str">
        <f aca="false">IFERROR(IF(A400="","",SUMIFS(Movimientos!E:E, Movimientos!D:D, A400, Movimientos!C:C, "Ingreso", Movimientos!G:G, "TIN")+SUMIFS(Movimientos!E:E, Movimientos!D:D, A400, Movimientos!C:C, "Traslado", Movimientos!G:G, "TIN")-SUMIFS(Movimientos!E:E, Movimientos!D:D, A400, Movimientos!C:C, "Traslado", Movimientos!F:F, "TIN")-SUMIFS(Movimientos!E:E, Movimientos!D:D, A400, Movimientos!C:C, "Egreso", Movimientos!F:F, "TIN")+SUMIFS(Movimientos!E:E, Movimientos!D:D, A400, Movimientos!C:C, "Ajuste", Movimientos!F:F, "TIN")),"")</f>
        <v/>
      </c>
      <c r="F400" s="6" t="str">
        <f aca="false">IFERROR(IF(A400="","",SUMIFS(Movimientos!E:E, Movimientos!D:D, A400, Movimientos!C:C, "Ingreso", Movimientos!G:G, "G1000")+SUMIFS(Movimientos!E:E, Movimientos!D:D, A400, Movimientos!C:C, "Traslado", Movimientos!G:G, "G1000")-SUMIFS(Movimientos!E:E, Movimientos!D:D, A400, Movimientos!C:C, "Traslado", Movimientos!F:F, "G1000")-SUMIFS(Movimientos!E:E, Movimientos!D:D, A400, Movimientos!C:C, "Egreso", Movimientos!F:F, "G1000")+SUMIFS(Movimientos!E:E, Movimientos!D:D, A400, Movimientos!C:C, "Ajuste", Movimientos!F:F, "G1000")),"")</f>
        <v/>
      </c>
      <c r="G400" s="6" t="str">
        <f aca="false">IFERROR(IF(A400="","",SUMIFS(Movimientos!E:E, Movimientos!D:D, A400, Movimientos!C:C, "Ingreso", Movimientos!G:G, "G710")+SUMIFS(Movimientos!E:E, Movimientos!D:D, A400, Movimientos!C:C, "Traslado", Movimientos!G:G, "G710")-SUMIFS(Movimientos!E:E, Movimientos!D:D, A400, Movimientos!C:C, "Traslado", Movimientos!F:F, "G710")-SUMIFS(Movimientos!E:E, Movimientos!D:D, A400, Movimientos!C:C, "Egreso", Movimientos!F:F, "G710")+SUMIFS(Movimientos!E:E, Movimientos!D:D, A400, Movimientos!C:C, "Ajuste", Movimientos!F:F, "G710")),"")</f>
        <v/>
      </c>
      <c r="H400" s="6" t="str">
        <f aca="false">IFERROR(IF(A400="","",SUMIFS(Movimientos!E:E, Movimientos!D:D, A400, Movimientos!C:C, "Ingreso", Movimientos!G:G, "G5000")+SUMIFS(Movimientos!E:E, Movimientos!D:D, A400, Movimientos!C:C, "Traslado", Movimientos!G:G, "G5000")-SUMIFS(Movimientos!E:E, Movimientos!D:D, A400, Movimientos!C:C, "Traslado", Movimientos!F:F, "G5000")-SUMIFS(Movimientos!E:E, Movimientos!D:D, A400, Movimientos!C:C, "Egreso", Movimientos!F:F, "G5000")+SUMIFS(Movimientos!E:E, Movimientos!D:D, A400, Movimientos!C:C, "Ajuste", Movimientos!F:F, "G5000")),"")</f>
        <v/>
      </c>
      <c r="I400" s="6" t="str">
        <f aca="false">IFERROR(IF(A400="","",SUMIFS(Movimientos!E:E, Movimientos!D:D, A400, Movimientos!C:C, "Ingreso", Movimientos!G:G, "G3")+SUMIFS(Movimientos!E:E, Movimientos!D:D, A400, Movimientos!C:C, "Traslado", Movimientos!G:G, "G3")-SUMIFS(Movimientos!E:E, Movimientos!D:D, A400, Movimientos!C:C, "Traslado", Movimientos!F:F, "G3")-SUMIFS(Movimientos!E:E, Movimientos!D:D, A400, Movimientos!C:C, "Egreso", Movimientos!F:F, "G3")+SUMIFS(Movimientos!E:E, Movimientos!D:D, A400, Movimientos!C:C, "Ajuste", Movimientos!F:F, "G3")),"")</f>
        <v/>
      </c>
      <c r="J400" s="6" t="str">
        <f aca="false">IFERROR(IF(A400="","",SUM(E400:I400)),"")</f>
        <v/>
      </c>
      <c r="K400" s="6" t="str">
        <f aca="false">IFERROR(IF(A400="","",SUMIFS(Movimientos!E:E, Movimientos!D:D, A400, Movimientos!C:C, "Reserva")-SUMIFS(Movimientos!E:E, Movimientos!D:D, A400, Movimientos!C:C, "Libera_Reserva")),"")</f>
        <v/>
      </c>
      <c r="L400" s="6" t="str">
        <f aca="false">IFERROR(IF(A400="","",J400-K400),"")</f>
        <v/>
      </c>
      <c r="M400" s="6" t="str">
        <f aca="false">IFERROR(IF(Productos!A400="","",Productos!G400),"")</f>
        <v/>
      </c>
      <c r="N400" s="6" t="str">
        <f aca="false">IFERROR(IF(A400="","",IF(L400&lt;M400,"BAJO STOCK","OK")),"")</f>
        <v/>
      </c>
    </row>
    <row r="401" customFormat="false" ht="15" hidden="false" customHeight="false" outlineLevel="0" collapsed="false">
      <c r="A401" s="0" t="str">
        <f aca="false">IFERROR(IF(Productos!A401="","",Productos!A401),"")</f>
        <v/>
      </c>
      <c r="B401" s="0" t="str">
        <f aca="false">IFERROR(IF(Productos!A401="","",Productos!B401),"")</f>
        <v/>
      </c>
      <c r="C401" s="0" t="str">
        <f aca="false">IFERROR(IF(Productos!A401="","",Productos!C401),"")</f>
        <v/>
      </c>
      <c r="D401" s="0" t="str">
        <f aca="false">IFERROR(IF(Productos!A401="","",Productos!E401),"")</f>
        <v/>
      </c>
      <c r="E401" s="6" t="str">
        <f aca="false">IFERROR(IF(A401="","",SUMIFS(Movimientos!E:E, Movimientos!D:D, A401, Movimientos!C:C, "Ingreso", Movimientos!G:G, "TIN")+SUMIFS(Movimientos!E:E, Movimientos!D:D, A401, Movimientos!C:C, "Traslado", Movimientos!G:G, "TIN")-SUMIFS(Movimientos!E:E, Movimientos!D:D, A401, Movimientos!C:C, "Traslado", Movimientos!F:F, "TIN")-SUMIFS(Movimientos!E:E, Movimientos!D:D, A401, Movimientos!C:C, "Egreso", Movimientos!F:F, "TIN")+SUMIFS(Movimientos!E:E, Movimientos!D:D, A401, Movimientos!C:C, "Ajuste", Movimientos!F:F, "TIN")),"")</f>
        <v/>
      </c>
      <c r="F401" s="6" t="str">
        <f aca="false">IFERROR(IF(A401="","",SUMIFS(Movimientos!E:E, Movimientos!D:D, A401, Movimientos!C:C, "Ingreso", Movimientos!G:G, "G1000")+SUMIFS(Movimientos!E:E, Movimientos!D:D, A401, Movimientos!C:C, "Traslado", Movimientos!G:G, "G1000")-SUMIFS(Movimientos!E:E, Movimientos!D:D, A401, Movimientos!C:C, "Traslado", Movimientos!F:F, "G1000")-SUMIFS(Movimientos!E:E, Movimientos!D:D, A401, Movimientos!C:C, "Egreso", Movimientos!F:F, "G1000")+SUMIFS(Movimientos!E:E, Movimientos!D:D, A401, Movimientos!C:C, "Ajuste", Movimientos!F:F, "G1000")),"")</f>
        <v/>
      </c>
      <c r="G401" s="6" t="str">
        <f aca="false">IFERROR(IF(A401="","",SUMIFS(Movimientos!E:E, Movimientos!D:D, A401, Movimientos!C:C, "Ingreso", Movimientos!G:G, "G710")+SUMIFS(Movimientos!E:E, Movimientos!D:D, A401, Movimientos!C:C, "Traslado", Movimientos!G:G, "G710")-SUMIFS(Movimientos!E:E, Movimientos!D:D, A401, Movimientos!C:C, "Traslado", Movimientos!F:F, "G710")-SUMIFS(Movimientos!E:E, Movimientos!D:D, A401, Movimientos!C:C, "Egreso", Movimientos!F:F, "G710")+SUMIFS(Movimientos!E:E, Movimientos!D:D, A401, Movimientos!C:C, "Ajuste", Movimientos!F:F, "G710")),"")</f>
        <v/>
      </c>
      <c r="H401" s="6" t="str">
        <f aca="false">IFERROR(IF(A401="","",SUMIFS(Movimientos!E:E, Movimientos!D:D, A401, Movimientos!C:C, "Ingreso", Movimientos!G:G, "G5000")+SUMIFS(Movimientos!E:E, Movimientos!D:D, A401, Movimientos!C:C, "Traslado", Movimientos!G:G, "G5000")-SUMIFS(Movimientos!E:E, Movimientos!D:D, A401, Movimientos!C:C, "Traslado", Movimientos!F:F, "G5000")-SUMIFS(Movimientos!E:E, Movimientos!D:D, A401, Movimientos!C:C, "Egreso", Movimientos!F:F, "G5000")+SUMIFS(Movimientos!E:E, Movimientos!D:D, A401, Movimientos!C:C, "Ajuste", Movimientos!F:F, "G5000")),"")</f>
        <v/>
      </c>
      <c r="I401" s="6" t="str">
        <f aca="false">IFERROR(IF(A401="","",SUMIFS(Movimientos!E:E, Movimientos!D:D, A401, Movimientos!C:C, "Ingreso", Movimientos!G:G, "G3")+SUMIFS(Movimientos!E:E, Movimientos!D:D, A401, Movimientos!C:C, "Traslado", Movimientos!G:G, "G3")-SUMIFS(Movimientos!E:E, Movimientos!D:D, A401, Movimientos!C:C, "Traslado", Movimientos!F:F, "G3")-SUMIFS(Movimientos!E:E, Movimientos!D:D, A401, Movimientos!C:C, "Egreso", Movimientos!F:F, "G3")+SUMIFS(Movimientos!E:E, Movimientos!D:D, A401, Movimientos!C:C, "Ajuste", Movimientos!F:F, "G3")),"")</f>
        <v/>
      </c>
      <c r="J401" s="6" t="str">
        <f aca="false">IFERROR(IF(A401="","",SUM(E401:I401)),"")</f>
        <v/>
      </c>
      <c r="K401" s="6" t="str">
        <f aca="false">IFERROR(IF(A401="","",SUMIFS(Movimientos!E:E, Movimientos!D:D, A401, Movimientos!C:C, "Reserva")-SUMIFS(Movimientos!E:E, Movimientos!D:D, A401, Movimientos!C:C, "Libera_Reserva")),"")</f>
        <v/>
      </c>
      <c r="L401" s="6" t="str">
        <f aca="false">IFERROR(IF(A401="","",J401-K401),"")</f>
        <v/>
      </c>
      <c r="M401" s="6" t="str">
        <f aca="false">IFERROR(IF(Productos!A401="","",Productos!G401),"")</f>
        <v/>
      </c>
      <c r="N401" s="6" t="str">
        <f aca="false">IFERROR(IF(A401="","",IF(L401&lt;M401,"BAJO STOCK","OK")),"")</f>
        <v/>
      </c>
    </row>
    <row r="402" customFormat="false" ht="15" hidden="false" customHeight="false" outlineLevel="0" collapsed="false">
      <c r="A402" s="0" t="str">
        <f aca="false">IFERROR(IF(Productos!A402="","",Productos!A402),"")</f>
        <v/>
      </c>
      <c r="B402" s="0" t="str">
        <f aca="false">IFERROR(IF(Productos!A402="","",Productos!B402),"")</f>
        <v/>
      </c>
      <c r="C402" s="0" t="str">
        <f aca="false">IFERROR(IF(Productos!A402="","",Productos!C402),"")</f>
        <v/>
      </c>
      <c r="D402" s="0" t="str">
        <f aca="false">IFERROR(IF(Productos!A402="","",Productos!E402),"")</f>
        <v/>
      </c>
      <c r="E402" s="6" t="str">
        <f aca="false">IFERROR(IF(A402="","",SUMIFS(Movimientos!E:E, Movimientos!D:D, A402, Movimientos!C:C, "Ingreso", Movimientos!G:G, "TIN")+SUMIFS(Movimientos!E:E, Movimientos!D:D, A402, Movimientos!C:C, "Traslado", Movimientos!G:G, "TIN")-SUMIFS(Movimientos!E:E, Movimientos!D:D, A402, Movimientos!C:C, "Traslado", Movimientos!F:F, "TIN")-SUMIFS(Movimientos!E:E, Movimientos!D:D, A402, Movimientos!C:C, "Egreso", Movimientos!F:F, "TIN")+SUMIFS(Movimientos!E:E, Movimientos!D:D, A402, Movimientos!C:C, "Ajuste", Movimientos!F:F, "TIN")),"")</f>
        <v/>
      </c>
      <c r="F402" s="6" t="str">
        <f aca="false">IFERROR(IF(A402="","",SUMIFS(Movimientos!E:E, Movimientos!D:D, A402, Movimientos!C:C, "Ingreso", Movimientos!G:G, "G1000")+SUMIFS(Movimientos!E:E, Movimientos!D:D, A402, Movimientos!C:C, "Traslado", Movimientos!G:G, "G1000")-SUMIFS(Movimientos!E:E, Movimientos!D:D, A402, Movimientos!C:C, "Traslado", Movimientos!F:F, "G1000")-SUMIFS(Movimientos!E:E, Movimientos!D:D, A402, Movimientos!C:C, "Egreso", Movimientos!F:F, "G1000")+SUMIFS(Movimientos!E:E, Movimientos!D:D, A402, Movimientos!C:C, "Ajuste", Movimientos!F:F, "G1000")),"")</f>
        <v/>
      </c>
      <c r="G402" s="6" t="str">
        <f aca="false">IFERROR(IF(A402="","",SUMIFS(Movimientos!E:E, Movimientos!D:D, A402, Movimientos!C:C, "Ingreso", Movimientos!G:G, "G710")+SUMIFS(Movimientos!E:E, Movimientos!D:D, A402, Movimientos!C:C, "Traslado", Movimientos!G:G, "G710")-SUMIFS(Movimientos!E:E, Movimientos!D:D, A402, Movimientos!C:C, "Traslado", Movimientos!F:F, "G710")-SUMIFS(Movimientos!E:E, Movimientos!D:D, A402, Movimientos!C:C, "Egreso", Movimientos!F:F, "G710")+SUMIFS(Movimientos!E:E, Movimientos!D:D, A402, Movimientos!C:C, "Ajuste", Movimientos!F:F, "G710")),"")</f>
        <v/>
      </c>
      <c r="H402" s="6" t="str">
        <f aca="false">IFERROR(IF(A402="","",SUMIFS(Movimientos!E:E, Movimientos!D:D, A402, Movimientos!C:C, "Ingreso", Movimientos!G:G, "G5000")+SUMIFS(Movimientos!E:E, Movimientos!D:D, A402, Movimientos!C:C, "Traslado", Movimientos!G:G, "G5000")-SUMIFS(Movimientos!E:E, Movimientos!D:D, A402, Movimientos!C:C, "Traslado", Movimientos!F:F, "G5000")-SUMIFS(Movimientos!E:E, Movimientos!D:D, A402, Movimientos!C:C, "Egreso", Movimientos!F:F, "G5000")+SUMIFS(Movimientos!E:E, Movimientos!D:D, A402, Movimientos!C:C, "Ajuste", Movimientos!F:F, "G5000")),"")</f>
        <v/>
      </c>
      <c r="I402" s="6" t="str">
        <f aca="false">IFERROR(IF(A402="","",SUMIFS(Movimientos!E:E, Movimientos!D:D, A402, Movimientos!C:C, "Ingreso", Movimientos!G:G, "G3")+SUMIFS(Movimientos!E:E, Movimientos!D:D, A402, Movimientos!C:C, "Traslado", Movimientos!G:G, "G3")-SUMIFS(Movimientos!E:E, Movimientos!D:D, A402, Movimientos!C:C, "Traslado", Movimientos!F:F, "G3")-SUMIFS(Movimientos!E:E, Movimientos!D:D, A402, Movimientos!C:C, "Egreso", Movimientos!F:F, "G3")+SUMIFS(Movimientos!E:E, Movimientos!D:D, A402, Movimientos!C:C, "Ajuste", Movimientos!F:F, "G3")),"")</f>
        <v/>
      </c>
      <c r="J402" s="6" t="str">
        <f aca="false">IFERROR(IF(A402="","",SUM(E402:I402)),"")</f>
        <v/>
      </c>
      <c r="K402" s="6" t="str">
        <f aca="false">IFERROR(IF(A402="","",SUMIFS(Movimientos!E:E, Movimientos!D:D, A402, Movimientos!C:C, "Reserva")-SUMIFS(Movimientos!E:E, Movimientos!D:D, A402, Movimientos!C:C, "Libera_Reserva")),"")</f>
        <v/>
      </c>
      <c r="L402" s="6" t="str">
        <f aca="false">IFERROR(IF(A402="","",J402-K402),"")</f>
        <v/>
      </c>
      <c r="M402" s="6" t="str">
        <f aca="false">IFERROR(IF(Productos!A402="","",Productos!G402),"")</f>
        <v/>
      </c>
      <c r="N402" s="6" t="str">
        <f aca="false">IFERROR(IF(A402="","",IF(L402&lt;M402,"BAJO STOCK","OK")),"")</f>
        <v/>
      </c>
    </row>
    <row r="403" customFormat="false" ht="15" hidden="false" customHeight="false" outlineLevel="0" collapsed="false">
      <c r="A403" s="0" t="str">
        <f aca="false">IFERROR(IF(Productos!A403="","",Productos!A403),"")</f>
        <v/>
      </c>
      <c r="B403" s="0" t="str">
        <f aca="false">IFERROR(IF(Productos!A403="","",Productos!B403),"")</f>
        <v/>
      </c>
      <c r="C403" s="0" t="str">
        <f aca="false">IFERROR(IF(Productos!A403="","",Productos!C403),"")</f>
        <v/>
      </c>
      <c r="D403" s="0" t="str">
        <f aca="false">IFERROR(IF(Productos!A403="","",Productos!E403),"")</f>
        <v/>
      </c>
      <c r="E403" s="6" t="str">
        <f aca="false">IFERROR(IF(A403="","",SUMIFS(Movimientos!E:E, Movimientos!D:D, A403, Movimientos!C:C, "Ingreso", Movimientos!G:G, "TIN")+SUMIFS(Movimientos!E:E, Movimientos!D:D, A403, Movimientos!C:C, "Traslado", Movimientos!G:G, "TIN")-SUMIFS(Movimientos!E:E, Movimientos!D:D, A403, Movimientos!C:C, "Traslado", Movimientos!F:F, "TIN")-SUMIFS(Movimientos!E:E, Movimientos!D:D, A403, Movimientos!C:C, "Egreso", Movimientos!F:F, "TIN")+SUMIFS(Movimientos!E:E, Movimientos!D:D, A403, Movimientos!C:C, "Ajuste", Movimientos!F:F, "TIN")),"")</f>
        <v/>
      </c>
      <c r="F403" s="6" t="str">
        <f aca="false">IFERROR(IF(A403="","",SUMIFS(Movimientos!E:E, Movimientos!D:D, A403, Movimientos!C:C, "Ingreso", Movimientos!G:G, "G1000")+SUMIFS(Movimientos!E:E, Movimientos!D:D, A403, Movimientos!C:C, "Traslado", Movimientos!G:G, "G1000")-SUMIFS(Movimientos!E:E, Movimientos!D:D, A403, Movimientos!C:C, "Traslado", Movimientos!F:F, "G1000")-SUMIFS(Movimientos!E:E, Movimientos!D:D, A403, Movimientos!C:C, "Egreso", Movimientos!F:F, "G1000")+SUMIFS(Movimientos!E:E, Movimientos!D:D, A403, Movimientos!C:C, "Ajuste", Movimientos!F:F, "G1000")),"")</f>
        <v/>
      </c>
      <c r="G403" s="6" t="str">
        <f aca="false">IFERROR(IF(A403="","",SUMIFS(Movimientos!E:E, Movimientos!D:D, A403, Movimientos!C:C, "Ingreso", Movimientos!G:G, "G710")+SUMIFS(Movimientos!E:E, Movimientos!D:D, A403, Movimientos!C:C, "Traslado", Movimientos!G:G, "G710")-SUMIFS(Movimientos!E:E, Movimientos!D:D, A403, Movimientos!C:C, "Traslado", Movimientos!F:F, "G710")-SUMIFS(Movimientos!E:E, Movimientos!D:D, A403, Movimientos!C:C, "Egreso", Movimientos!F:F, "G710")+SUMIFS(Movimientos!E:E, Movimientos!D:D, A403, Movimientos!C:C, "Ajuste", Movimientos!F:F, "G710")),"")</f>
        <v/>
      </c>
      <c r="H403" s="6" t="str">
        <f aca="false">IFERROR(IF(A403="","",SUMIFS(Movimientos!E:E, Movimientos!D:D, A403, Movimientos!C:C, "Ingreso", Movimientos!G:G, "G5000")+SUMIFS(Movimientos!E:E, Movimientos!D:D, A403, Movimientos!C:C, "Traslado", Movimientos!G:G, "G5000")-SUMIFS(Movimientos!E:E, Movimientos!D:D, A403, Movimientos!C:C, "Traslado", Movimientos!F:F, "G5000")-SUMIFS(Movimientos!E:E, Movimientos!D:D, A403, Movimientos!C:C, "Egreso", Movimientos!F:F, "G5000")+SUMIFS(Movimientos!E:E, Movimientos!D:D, A403, Movimientos!C:C, "Ajuste", Movimientos!F:F, "G5000")),"")</f>
        <v/>
      </c>
      <c r="I403" s="6" t="str">
        <f aca="false">IFERROR(IF(A403="","",SUMIFS(Movimientos!E:E, Movimientos!D:D, A403, Movimientos!C:C, "Ingreso", Movimientos!G:G, "G3")+SUMIFS(Movimientos!E:E, Movimientos!D:D, A403, Movimientos!C:C, "Traslado", Movimientos!G:G, "G3")-SUMIFS(Movimientos!E:E, Movimientos!D:D, A403, Movimientos!C:C, "Traslado", Movimientos!F:F, "G3")-SUMIFS(Movimientos!E:E, Movimientos!D:D, A403, Movimientos!C:C, "Egreso", Movimientos!F:F, "G3")+SUMIFS(Movimientos!E:E, Movimientos!D:D, A403, Movimientos!C:C, "Ajuste", Movimientos!F:F, "G3")),"")</f>
        <v/>
      </c>
      <c r="J403" s="6" t="str">
        <f aca="false">IFERROR(IF(A403="","",SUM(E403:I403)),"")</f>
        <v/>
      </c>
      <c r="K403" s="6" t="str">
        <f aca="false">IFERROR(IF(A403="","",SUMIFS(Movimientos!E:E, Movimientos!D:D, A403, Movimientos!C:C, "Reserva")-SUMIFS(Movimientos!E:E, Movimientos!D:D, A403, Movimientos!C:C, "Libera_Reserva")),"")</f>
        <v/>
      </c>
      <c r="L403" s="6" t="str">
        <f aca="false">IFERROR(IF(A403="","",J403-K403),"")</f>
        <v/>
      </c>
      <c r="M403" s="6" t="str">
        <f aca="false">IFERROR(IF(Productos!A403="","",Productos!G403),"")</f>
        <v/>
      </c>
      <c r="N403" s="6" t="str">
        <f aca="false">IFERROR(IF(A403="","",IF(L403&lt;M403,"BAJO STOCK","OK")),"")</f>
        <v/>
      </c>
    </row>
    <row r="404" customFormat="false" ht="15" hidden="false" customHeight="false" outlineLevel="0" collapsed="false">
      <c r="A404" s="0" t="str">
        <f aca="false">IFERROR(IF(Productos!A404="","",Productos!A404),"")</f>
        <v/>
      </c>
      <c r="B404" s="0" t="str">
        <f aca="false">IFERROR(IF(Productos!A404="","",Productos!B404),"")</f>
        <v/>
      </c>
      <c r="C404" s="0" t="str">
        <f aca="false">IFERROR(IF(Productos!A404="","",Productos!C404),"")</f>
        <v/>
      </c>
      <c r="D404" s="0" t="str">
        <f aca="false">IFERROR(IF(Productos!A404="","",Productos!E404),"")</f>
        <v/>
      </c>
      <c r="E404" s="6" t="str">
        <f aca="false">IFERROR(IF(A404="","",SUMIFS(Movimientos!E:E, Movimientos!D:D, A404, Movimientos!C:C, "Ingreso", Movimientos!G:G, "TIN")+SUMIFS(Movimientos!E:E, Movimientos!D:D, A404, Movimientos!C:C, "Traslado", Movimientos!G:G, "TIN")-SUMIFS(Movimientos!E:E, Movimientos!D:D, A404, Movimientos!C:C, "Traslado", Movimientos!F:F, "TIN")-SUMIFS(Movimientos!E:E, Movimientos!D:D, A404, Movimientos!C:C, "Egreso", Movimientos!F:F, "TIN")+SUMIFS(Movimientos!E:E, Movimientos!D:D, A404, Movimientos!C:C, "Ajuste", Movimientos!F:F, "TIN")),"")</f>
        <v/>
      </c>
      <c r="F404" s="6" t="str">
        <f aca="false">IFERROR(IF(A404="","",SUMIFS(Movimientos!E:E, Movimientos!D:D, A404, Movimientos!C:C, "Ingreso", Movimientos!G:G, "G1000")+SUMIFS(Movimientos!E:E, Movimientos!D:D, A404, Movimientos!C:C, "Traslado", Movimientos!G:G, "G1000")-SUMIFS(Movimientos!E:E, Movimientos!D:D, A404, Movimientos!C:C, "Traslado", Movimientos!F:F, "G1000")-SUMIFS(Movimientos!E:E, Movimientos!D:D, A404, Movimientos!C:C, "Egreso", Movimientos!F:F, "G1000")+SUMIFS(Movimientos!E:E, Movimientos!D:D, A404, Movimientos!C:C, "Ajuste", Movimientos!F:F, "G1000")),"")</f>
        <v/>
      </c>
      <c r="G404" s="6" t="str">
        <f aca="false">IFERROR(IF(A404="","",SUMIFS(Movimientos!E:E, Movimientos!D:D, A404, Movimientos!C:C, "Ingreso", Movimientos!G:G, "G710")+SUMIFS(Movimientos!E:E, Movimientos!D:D, A404, Movimientos!C:C, "Traslado", Movimientos!G:G, "G710")-SUMIFS(Movimientos!E:E, Movimientos!D:D, A404, Movimientos!C:C, "Traslado", Movimientos!F:F, "G710")-SUMIFS(Movimientos!E:E, Movimientos!D:D, A404, Movimientos!C:C, "Egreso", Movimientos!F:F, "G710")+SUMIFS(Movimientos!E:E, Movimientos!D:D, A404, Movimientos!C:C, "Ajuste", Movimientos!F:F, "G710")),"")</f>
        <v/>
      </c>
      <c r="H404" s="6" t="str">
        <f aca="false">IFERROR(IF(A404="","",SUMIFS(Movimientos!E:E, Movimientos!D:D, A404, Movimientos!C:C, "Ingreso", Movimientos!G:G, "G5000")+SUMIFS(Movimientos!E:E, Movimientos!D:D, A404, Movimientos!C:C, "Traslado", Movimientos!G:G, "G5000")-SUMIFS(Movimientos!E:E, Movimientos!D:D, A404, Movimientos!C:C, "Traslado", Movimientos!F:F, "G5000")-SUMIFS(Movimientos!E:E, Movimientos!D:D, A404, Movimientos!C:C, "Egreso", Movimientos!F:F, "G5000")+SUMIFS(Movimientos!E:E, Movimientos!D:D, A404, Movimientos!C:C, "Ajuste", Movimientos!F:F, "G5000")),"")</f>
        <v/>
      </c>
      <c r="I404" s="6" t="str">
        <f aca="false">IFERROR(IF(A404="","",SUMIFS(Movimientos!E:E, Movimientos!D:D, A404, Movimientos!C:C, "Ingreso", Movimientos!G:G, "G3")+SUMIFS(Movimientos!E:E, Movimientos!D:D, A404, Movimientos!C:C, "Traslado", Movimientos!G:G, "G3")-SUMIFS(Movimientos!E:E, Movimientos!D:D, A404, Movimientos!C:C, "Traslado", Movimientos!F:F, "G3")-SUMIFS(Movimientos!E:E, Movimientos!D:D, A404, Movimientos!C:C, "Egreso", Movimientos!F:F, "G3")+SUMIFS(Movimientos!E:E, Movimientos!D:D, A404, Movimientos!C:C, "Ajuste", Movimientos!F:F, "G3")),"")</f>
        <v/>
      </c>
      <c r="J404" s="6" t="str">
        <f aca="false">IFERROR(IF(A404="","",SUM(E404:I404)),"")</f>
        <v/>
      </c>
      <c r="K404" s="6" t="str">
        <f aca="false">IFERROR(IF(A404="","",SUMIFS(Movimientos!E:E, Movimientos!D:D, A404, Movimientos!C:C, "Reserva")-SUMIFS(Movimientos!E:E, Movimientos!D:D, A404, Movimientos!C:C, "Libera_Reserva")),"")</f>
        <v/>
      </c>
      <c r="L404" s="6" t="str">
        <f aca="false">IFERROR(IF(A404="","",J404-K404),"")</f>
        <v/>
      </c>
      <c r="M404" s="6" t="str">
        <f aca="false">IFERROR(IF(Productos!A404="","",Productos!G404),"")</f>
        <v/>
      </c>
      <c r="N404" s="6" t="str">
        <f aca="false">IFERROR(IF(A404="","",IF(L404&lt;M404,"BAJO STOCK","OK")),"")</f>
        <v/>
      </c>
    </row>
    <row r="405" customFormat="false" ht="15" hidden="false" customHeight="false" outlineLevel="0" collapsed="false">
      <c r="A405" s="0" t="str">
        <f aca="false">IFERROR(IF(Productos!A405="","",Productos!A405),"")</f>
        <v/>
      </c>
      <c r="B405" s="0" t="str">
        <f aca="false">IFERROR(IF(Productos!A405="","",Productos!B405),"")</f>
        <v/>
      </c>
      <c r="C405" s="0" t="str">
        <f aca="false">IFERROR(IF(Productos!A405="","",Productos!C405),"")</f>
        <v/>
      </c>
      <c r="D405" s="0" t="str">
        <f aca="false">IFERROR(IF(Productos!A405="","",Productos!E405),"")</f>
        <v/>
      </c>
      <c r="E405" s="6" t="str">
        <f aca="false">IFERROR(IF(A405="","",SUMIFS(Movimientos!E:E, Movimientos!D:D, A405, Movimientos!C:C, "Ingreso", Movimientos!G:G, "TIN")+SUMIFS(Movimientos!E:E, Movimientos!D:D, A405, Movimientos!C:C, "Traslado", Movimientos!G:G, "TIN")-SUMIFS(Movimientos!E:E, Movimientos!D:D, A405, Movimientos!C:C, "Traslado", Movimientos!F:F, "TIN")-SUMIFS(Movimientos!E:E, Movimientos!D:D, A405, Movimientos!C:C, "Egreso", Movimientos!F:F, "TIN")+SUMIFS(Movimientos!E:E, Movimientos!D:D, A405, Movimientos!C:C, "Ajuste", Movimientos!F:F, "TIN")),"")</f>
        <v/>
      </c>
      <c r="F405" s="6" t="str">
        <f aca="false">IFERROR(IF(A405="","",SUMIFS(Movimientos!E:E, Movimientos!D:D, A405, Movimientos!C:C, "Ingreso", Movimientos!G:G, "G1000")+SUMIFS(Movimientos!E:E, Movimientos!D:D, A405, Movimientos!C:C, "Traslado", Movimientos!G:G, "G1000")-SUMIFS(Movimientos!E:E, Movimientos!D:D, A405, Movimientos!C:C, "Traslado", Movimientos!F:F, "G1000")-SUMIFS(Movimientos!E:E, Movimientos!D:D, A405, Movimientos!C:C, "Egreso", Movimientos!F:F, "G1000")+SUMIFS(Movimientos!E:E, Movimientos!D:D, A405, Movimientos!C:C, "Ajuste", Movimientos!F:F, "G1000")),"")</f>
        <v/>
      </c>
      <c r="G405" s="6" t="str">
        <f aca="false">IFERROR(IF(A405="","",SUMIFS(Movimientos!E:E, Movimientos!D:D, A405, Movimientos!C:C, "Ingreso", Movimientos!G:G, "G710")+SUMIFS(Movimientos!E:E, Movimientos!D:D, A405, Movimientos!C:C, "Traslado", Movimientos!G:G, "G710")-SUMIFS(Movimientos!E:E, Movimientos!D:D, A405, Movimientos!C:C, "Traslado", Movimientos!F:F, "G710")-SUMIFS(Movimientos!E:E, Movimientos!D:D, A405, Movimientos!C:C, "Egreso", Movimientos!F:F, "G710")+SUMIFS(Movimientos!E:E, Movimientos!D:D, A405, Movimientos!C:C, "Ajuste", Movimientos!F:F, "G710")),"")</f>
        <v/>
      </c>
      <c r="H405" s="6" t="str">
        <f aca="false">IFERROR(IF(A405="","",SUMIFS(Movimientos!E:E, Movimientos!D:D, A405, Movimientos!C:C, "Ingreso", Movimientos!G:G, "G5000")+SUMIFS(Movimientos!E:E, Movimientos!D:D, A405, Movimientos!C:C, "Traslado", Movimientos!G:G, "G5000")-SUMIFS(Movimientos!E:E, Movimientos!D:D, A405, Movimientos!C:C, "Traslado", Movimientos!F:F, "G5000")-SUMIFS(Movimientos!E:E, Movimientos!D:D, A405, Movimientos!C:C, "Egreso", Movimientos!F:F, "G5000")+SUMIFS(Movimientos!E:E, Movimientos!D:D, A405, Movimientos!C:C, "Ajuste", Movimientos!F:F, "G5000")),"")</f>
        <v/>
      </c>
      <c r="I405" s="6" t="str">
        <f aca="false">IFERROR(IF(A405="","",SUMIFS(Movimientos!E:E, Movimientos!D:D, A405, Movimientos!C:C, "Ingreso", Movimientos!G:G, "G3")+SUMIFS(Movimientos!E:E, Movimientos!D:D, A405, Movimientos!C:C, "Traslado", Movimientos!G:G, "G3")-SUMIFS(Movimientos!E:E, Movimientos!D:D, A405, Movimientos!C:C, "Traslado", Movimientos!F:F, "G3")-SUMIFS(Movimientos!E:E, Movimientos!D:D, A405, Movimientos!C:C, "Egreso", Movimientos!F:F, "G3")+SUMIFS(Movimientos!E:E, Movimientos!D:D, A405, Movimientos!C:C, "Ajuste", Movimientos!F:F, "G3")),"")</f>
        <v/>
      </c>
      <c r="J405" s="6" t="str">
        <f aca="false">IFERROR(IF(A405="","",SUM(E405:I405)),"")</f>
        <v/>
      </c>
      <c r="K405" s="6" t="str">
        <f aca="false">IFERROR(IF(A405="","",SUMIFS(Movimientos!E:E, Movimientos!D:D, A405, Movimientos!C:C, "Reserva")-SUMIFS(Movimientos!E:E, Movimientos!D:D, A405, Movimientos!C:C, "Libera_Reserva")),"")</f>
        <v/>
      </c>
      <c r="L405" s="6" t="str">
        <f aca="false">IFERROR(IF(A405="","",J405-K405),"")</f>
        <v/>
      </c>
      <c r="M405" s="6" t="str">
        <f aca="false">IFERROR(IF(Productos!A405="","",Productos!G405),"")</f>
        <v/>
      </c>
      <c r="N405" s="6" t="str">
        <f aca="false">IFERROR(IF(A405="","",IF(L405&lt;M405,"BAJO STOCK","OK")),"")</f>
        <v/>
      </c>
    </row>
    <row r="406" customFormat="false" ht="15" hidden="false" customHeight="false" outlineLevel="0" collapsed="false">
      <c r="A406" s="0" t="str">
        <f aca="false">IFERROR(IF(Productos!A406="","",Productos!A406),"")</f>
        <v/>
      </c>
      <c r="B406" s="0" t="str">
        <f aca="false">IFERROR(IF(Productos!A406="","",Productos!B406),"")</f>
        <v/>
      </c>
      <c r="C406" s="0" t="str">
        <f aca="false">IFERROR(IF(Productos!A406="","",Productos!C406),"")</f>
        <v/>
      </c>
      <c r="D406" s="0" t="str">
        <f aca="false">IFERROR(IF(Productos!A406="","",Productos!E406),"")</f>
        <v/>
      </c>
      <c r="E406" s="6" t="str">
        <f aca="false">IFERROR(IF(A406="","",SUMIFS(Movimientos!E:E, Movimientos!D:D, A406, Movimientos!C:C, "Ingreso", Movimientos!G:G, "TIN")+SUMIFS(Movimientos!E:E, Movimientos!D:D, A406, Movimientos!C:C, "Traslado", Movimientos!G:G, "TIN")-SUMIFS(Movimientos!E:E, Movimientos!D:D, A406, Movimientos!C:C, "Traslado", Movimientos!F:F, "TIN")-SUMIFS(Movimientos!E:E, Movimientos!D:D, A406, Movimientos!C:C, "Egreso", Movimientos!F:F, "TIN")+SUMIFS(Movimientos!E:E, Movimientos!D:D, A406, Movimientos!C:C, "Ajuste", Movimientos!F:F, "TIN")),"")</f>
        <v/>
      </c>
      <c r="F406" s="6" t="str">
        <f aca="false">IFERROR(IF(A406="","",SUMIFS(Movimientos!E:E, Movimientos!D:D, A406, Movimientos!C:C, "Ingreso", Movimientos!G:G, "G1000")+SUMIFS(Movimientos!E:E, Movimientos!D:D, A406, Movimientos!C:C, "Traslado", Movimientos!G:G, "G1000")-SUMIFS(Movimientos!E:E, Movimientos!D:D, A406, Movimientos!C:C, "Traslado", Movimientos!F:F, "G1000")-SUMIFS(Movimientos!E:E, Movimientos!D:D, A406, Movimientos!C:C, "Egreso", Movimientos!F:F, "G1000")+SUMIFS(Movimientos!E:E, Movimientos!D:D, A406, Movimientos!C:C, "Ajuste", Movimientos!F:F, "G1000")),"")</f>
        <v/>
      </c>
      <c r="G406" s="6" t="str">
        <f aca="false">IFERROR(IF(A406="","",SUMIFS(Movimientos!E:E, Movimientos!D:D, A406, Movimientos!C:C, "Ingreso", Movimientos!G:G, "G710")+SUMIFS(Movimientos!E:E, Movimientos!D:D, A406, Movimientos!C:C, "Traslado", Movimientos!G:G, "G710")-SUMIFS(Movimientos!E:E, Movimientos!D:D, A406, Movimientos!C:C, "Traslado", Movimientos!F:F, "G710")-SUMIFS(Movimientos!E:E, Movimientos!D:D, A406, Movimientos!C:C, "Egreso", Movimientos!F:F, "G710")+SUMIFS(Movimientos!E:E, Movimientos!D:D, A406, Movimientos!C:C, "Ajuste", Movimientos!F:F, "G710")),"")</f>
        <v/>
      </c>
      <c r="H406" s="6" t="str">
        <f aca="false">IFERROR(IF(A406="","",SUMIFS(Movimientos!E:E, Movimientos!D:D, A406, Movimientos!C:C, "Ingreso", Movimientos!G:G, "G5000")+SUMIFS(Movimientos!E:E, Movimientos!D:D, A406, Movimientos!C:C, "Traslado", Movimientos!G:G, "G5000")-SUMIFS(Movimientos!E:E, Movimientos!D:D, A406, Movimientos!C:C, "Traslado", Movimientos!F:F, "G5000")-SUMIFS(Movimientos!E:E, Movimientos!D:D, A406, Movimientos!C:C, "Egreso", Movimientos!F:F, "G5000")+SUMIFS(Movimientos!E:E, Movimientos!D:D, A406, Movimientos!C:C, "Ajuste", Movimientos!F:F, "G5000")),"")</f>
        <v/>
      </c>
      <c r="I406" s="6" t="str">
        <f aca="false">IFERROR(IF(A406="","",SUMIFS(Movimientos!E:E, Movimientos!D:D, A406, Movimientos!C:C, "Ingreso", Movimientos!G:G, "G3")+SUMIFS(Movimientos!E:E, Movimientos!D:D, A406, Movimientos!C:C, "Traslado", Movimientos!G:G, "G3")-SUMIFS(Movimientos!E:E, Movimientos!D:D, A406, Movimientos!C:C, "Traslado", Movimientos!F:F, "G3")-SUMIFS(Movimientos!E:E, Movimientos!D:D, A406, Movimientos!C:C, "Egreso", Movimientos!F:F, "G3")+SUMIFS(Movimientos!E:E, Movimientos!D:D, A406, Movimientos!C:C, "Ajuste", Movimientos!F:F, "G3")),"")</f>
        <v/>
      </c>
      <c r="J406" s="6" t="str">
        <f aca="false">IFERROR(IF(A406="","",SUM(E406:I406)),"")</f>
        <v/>
      </c>
      <c r="K406" s="6" t="str">
        <f aca="false">IFERROR(IF(A406="","",SUMIFS(Movimientos!E:E, Movimientos!D:D, A406, Movimientos!C:C, "Reserva")-SUMIFS(Movimientos!E:E, Movimientos!D:D, A406, Movimientos!C:C, "Libera_Reserva")),"")</f>
        <v/>
      </c>
      <c r="L406" s="6" t="str">
        <f aca="false">IFERROR(IF(A406="","",J406-K406),"")</f>
        <v/>
      </c>
      <c r="M406" s="6" t="str">
        <f aca="false">IFERROR(IF(Productos!A406="","",Productos!G406),"")</f>
        <v/>
      </c>
      <c r="N406" s="6" t="str">
        <f aca="false">IFERROR(IF(A406="","",IF(L406&lt;M406,"BAJO STOCK","OK")),"")</f>
        <v/>
      </c>
    </row>
    <row r="407" customFormat="false" ht="15" hidden="false" customHeight="false" outlineLevel="0" collapsed="false">
      <c r="A407" s="0" t="str">
        <f aca="false">IFERROR(IF(Productos!A407="","",Productos!A407),"")</f>
        <v/>
      </c>
      <c r="B407" s="0" t="str">
        <f aca="false">IFERROR(IF(Productos!A407="","",Productos!B407),"")</f>
        <v/>
      </c>
      <c r="C407" s="0" t="str">
        <f aca="false">IFERROR(IF(Productos!A407="","",Productos!C407),"")</f>
        <v/>
      </c>
      <c r="D407" s="0" t="str">
        <f aca="false">IFERROR(IF(Productos!A407="","",Productos!E407),"")</f>
        <v/>
      </c>
      <c r="E407" s="6" t="str">
        <f aca="false">IFERROR(IF(A407="","",SUMIFS(Movimientos!E:E, Movimientos!D:D, A407, Movimientos!C:C, "Ingreso", Movimientos!G:G, "TIN")+SUMIFS(Movimientos!E:E, Movimientos!D:D, A407, Movimientos!C:C, "Traslado", Movimientos!G:G, "TIN")-SUMIFS(Movimientos!E:E, Movimientos!D:D, A407, Movimientos!C:C, "Traslado", Movimientos!F:F, "TIN")-SUMIFS(Movimientos!E:E, Movimientos!D:D, A407, Movimientos!C:C, "Egreso", Movimientos!F:F, "TIN")+SUMIFS(Movimientos!E:E, Movimientos!D:D, A407, Movimientos!C:C, "Ajuste", Movimientos!F:F, "TIN")),"")</f>
        <v/>
      </c>
      <c r="F407" s="6" t="str">
        <f aca="false">IFERROR(IF(A407="","",SUMIFS(Movimientos!E:E, Movimientos!D:D, A407, Movimientos!C:C, "Ingreso", Movimientos!G:G, "G1000")+SUMIFS(Movimientos!E:E, Movimientos!D:D, A407, Movimientos!C:C, "Traslado", Movimientos!G:G, "G1000")-SUMIFS(Movimientos!E:E, Movimientos!D:D, A407, Movimientos!C:C, "Traslado", Movimientos!F:F, "G1000")-SUMIFS(Movimientos!E:E, Movimientos!D:D, A407, Movimientos!C:C, "Egreso", Movimientos!F:F, "G1000")+SUMIFS(Movimientos!E:E, Movimientos!D:D, A407, Movimientos!C:C, "Ajuste", Movimientos!F:F, "G1000")),"")</f>
        <v/>
      </c>
      <c r="G407" s="6" t="str">
        <f aca="false">IFERROR(IF(A407="","",SUMIFS(Movimientos!E:E, Movimientos!D:D, A407, Movimientos!C:C, "Ingreso", Movimientos!G:G, "G710")+SUMIFS(Movimientos!E:E, Movimientos!D:D, A407, Movimientos!C:C, "Traslado", Movimientos!G:G, "G710")-SUMIFS(Movimientos!E:E, Movimientos!D:D, A407, Movimientos!C:C, "Traslado", Movimientos!F:F, "G710")-SUMIFS(Movimientos!E:E, Movimientos!D:D, A407, Movimientos!C:C, "Egreso", Movimientos!F:F, "G710")+SUMIFS(Movimientos!E:E, Movimientos!D:D, A407, Movimientos!C:C, "Ajuste", Movimientos!F:F, "G710")),"")</f>
        <v/>
      </c>
      <c r="H407" s="6" t="str">
        <f aca="false">IFERROR(IF(A407="","",SUMIFS(Movimientos!E:E, Movimientos!D:D, A407, Movimientos!C:C, "Ingreso", Movimientos!G:G, "G5000")+SUMIFS(Movimientos!E:E, Movimientos!D:D, A407, Movimientos!C:C, "Traslado", Movimientos!G:G, "G5000")-SUMIFS(Movimientos!E:E, Movimientos!D:D, A407, Movimientos!C:C, "Traslado", Movimientos!F:F, "G5000")-SUMIFS(Movimientos!E:E, Movimientos!D:D, A407, Movimientos!C:C, "Egreso", Movimientos!F:F, "G5000")+SUMIFS(Movimientos!E:E, Movimientos!D:D, A407, Movimientos!C:C, "Ajuste", Movimientos!F:F, "G5000")),"")</f>
        <v/>
      </c>
      <c r="I407" s="6" t="str">
        <f aca="false">IFERROR(IF(A407="","",SUMIFS(Movimientos!E:E, Movimientos!D:D, A407, Movimientos!C:C, "Ingreso", Movimientos!G:G, "G3")+SUMIFS(Movimientos!E:E, Movimientos!D:D, A407, Movimientos!C:C, "Traslado", Movimientos!G:G, "G3")-SUMIFS(Movimientos!E:E, Movimientos!D:D, A407, Movimientos!C:C, "Traslado", Movimientos!F:F, "G3")-SUMIFS(Movimientos!E:E, Movimientos!D:D, A407, Movimientos!C:C, "Egreso", Movimientos!F:F, "G3")+SUMIFS(Movimientos!E:E, Movimientos!D:D, A407, Movimientos!C:C, "Ajuste", Movimientos!F:F, "G3")),"")</f>
        <v/>
      </c>
      <c r="J407" s="6" t="str">
        <f aca="false">IFERROR(IF(A407="","",SUM(E407:I407)),"")</f>
        <v/>
      </c>
      <c r="K407" s="6" t="str">
        <f aca="false">IFERROR(IF(A407="","",SUMIFS(Movimientos!E:E, Movimientos!D:D, A407, Movimientos!C:C, "Reserva")-SUMIFS(Movimientos!E:E, Movimientos!D:D, A407, Movimientos!C:C, "Libera_Reserva")),"")</f>
        <v/>
      </c>
      <c r="L407" s="6" t="str">
        <f aca="false">IFERROR(IF(A407="","",J407-K407),"")</f>
        <v/>
      </c>
      <c r="M407" s="6" t="str">
        <f aca="false">IFERROR(IF(Productos!A407="","",Productos!G407),"")</f>
        <v/>
      </c>
      <c r="N407" s="6" t="str">
        <f aca="false">IFERROR(IF(A407="","",IF(L407&lt;M407,"BAJO STOCK","OK")),"")</f>
        <v/>
      </c>
    </row>
    <row r="408" customFormat="false" ht="15" hidden="false" customHeight="false" outlineLevel="0" collapsed="false">
      <c r="A408" s="0" t="str">
        <f aca="false">IFERROR(IF(Productos!A408="","",Productos!A408),"")</f>
        <v/>
      </c>
      <c r="B408" s="0" t="str">
        <f aca="false">IFERROR(IF(Productos!A408="","",Productos!B408),"")</f>
        <v/>
      </c>
      <c r="C408" s="0" t="str">
        <f aca="false">IFERROR(IF(Productos!A408="","",Productos!C408),"")</f>
        <v/>
      </c>
      <c r="D408" s="0" t="str">
        <f aca="false">IFERROR(IF(Productos!A408="","",Productos!E408),"")</f>
        <v/>
      </c>
      <c r="E408" s="6" t="str">
        <f aca="false">IFERROR(IF(A408="","",SUMIFS(Movimientos!E:E, Movimientos!D:D, A408, Movimientos!C:C, "Ingreso", Movimientos!G:G, "TIN")+SUMIFS(Movimientos!E:E, Movimientos!D:D, A408, Movimientos!C:C, "Traslado", Movimientos!G:G, "TIN")-SUMIFS(Movimientos!E:E, Movimientos!D:D, A408, Movimientos!C:C, "Traslado", Movimientos!F:F, "TIN")-SUMIFS(Movimientos!E:E, Movimientos!D:D, A408, Movimientos!C:C, "Egreso", Movimientos!F:F, "TIN")+SUMIFS(Movimientos!E:E, Movimientos!D:D, A408, Movimientos!C:C, "Ajuste", Movimientos!F:F, "TIN")),"")</f>
        <v/>
      </c>
      <c r="F408" s="6" t="str">
        <f aca="false">IFERROR(IF(A408="","",SUMIFS(Movimientos!E:E, Movimientos!D:D, A408, Movimientos!C:C, "Ingreso", Movimientos!G:G, "G1000")+SUMIFS(Movimientos!E:E, Movimientos!D:D, A408, Movimientos!C:C, "Traslado", Movimientos!G:G, "G1000")-SUMIFS(Movimientos!E:E, Movimientos!D:D, A408, Movimientos!C:C, "Traslado", Movimientos!F:F, "G1000")-SUMIFS(Movimientos!E:E, Movimientos!D:D, A408, Movimientos!C:C, "Egreso", Movimientos!F:F, "G1000")+SUMIFS(Movimientos!E:E, Movimientos!D:D, A408, Movimientos!C:C, "Ajuste", Movimientos!F:F, "G1000")),"")</f>
        <v/>
      </c>
      <c r="G408" s="6" t="str">
        <f aca="false">IFERROR(IF(A408="","",SUMIFS(Movimientos!E:E, Movimientos!D:D, A408, Movimientos!C:C, "Ingreso", Movimientos!G:G, "G710")+SUMIFS(Movimientos!E:E, Movimientos!D:D, A408, Movimientos!C:C, "Traslado", Movimientos!G:G, "G710")-SUMIFS(Movimientos!E:E, Movimientos!D:D, A408, Movimientos!C:C, "Traslado", Movimientos!F:F, "G710")-SUMIFS(Movimientos!E:E, Movimientos!D:D, A408, Movimientos!C:C, "Egreso", Movimientos!F:F, "G710")+SUMIFS(Movimientos!E:E, Movimientos!D:D, A408, Movimientos!C:C, "Ajuste", Movimientos!F:F, "G710")),"")</f>
        <v/>
      </c>
      <c r="H408" s="6" t="str">
        <f aca="false">IFERROR(IF(A408="","",SUMIFS(Movimientos!E:E, Movimientos!D:D, A408, Movimientos!C:C, "Ingreso", Movimientos!G:G, "G5000")+SUMIFS(Movimientos!E:E, Movimientos!D:D, A408, Movimientos!C:C, "Traslado", Movimientos!G:G, "G5000")-SUMIFS(Movimientos!E:E, Movimientos!D:D, A408, Movimientos!C:C, "Traslado", Movimientos!F:F, "G5000")-SUMIFS(Movimientos!E:E, Movimientos!D:D, A408, Movimientos!C:C, "Egreso", Movimientos!F:F, "G5000")+SUMIFS(Movimientos!E:E, Movimientos!D:D, A408, Movimientos!C:C, "Ajuste", Movimientos!F:F, "G5000")),"")</f>
        <v/>
      </c>
      <c r="I408" s="6" t="str">
        <f aca="false">IFERROR(IF(A408="","",SUMIFS(Movimientos!E:E, Movimientos!D:D, A408, Movimientos!C:C, "Ingreso", Movimientos!G:G, "G3")+SUMIFS(Movimientos!E:E, Movimientos!D:D, A408, Movimientos!C:C, "Traslado", Movimientos!G:G, "G3")-SUMIFS(Movimientos!E:E, Movimientos!D:D, A408, Movimientos!C:C, "Traslado", Movimientos!F:F, "G3")-SUMIFS(Movimientos!E:E, Movimientos!D:D, A408, Movimientos!C:C, "Egreso", Movimientos!F:F, "G3")+SUMIFS(Movimientos!E:E, Movimientos!D:D, A408, Movimientos!C:C, "Ajuste", Movimientos!F:F, "G3")),"")</f>
        <v/>
      </c>
      <c r="J408" s="6" t="str">
        <f aca="false">IFERROR(IF(A408="","",SUM(E408:I408)),"")</f>
        <v/>
      </c>
      <c r="K408" s="6" t="str">
        <f aca="false">IFERROR(IF(A408="","",SUMIFS(Movimientos!E:E, Movimientos!D:D, A408, Movimientos!C:C, "Reserva")-SUMIFS(Movimientos!E:E, Movimientos!D:D, A408, Movimientos!C:C, "Libera_Reserva")),"")</f>
        <v/>
      </c>
      <c r="L408" s="6" t="str">
        <f aca="false">IFERROR(IF(A408="","",J408-K408),"")</f>
        <v/>
      </c>
      <c r="M408" s="6" t="str">
        <f aca="false">IFERROR(IF(Productos!A408="","",Productos!G408),"")</f>
        <v/>
      </c>
      <c r="N408" s="6" t="str">
        <f aca="false">IFERROR(IF(A408="","",IF(L408&lt;M408,"BAJO STOCK","OK")),"")</f>
        <v/>
      </c>
    </row>
    <row r="409" customFormat="false" ht="15" hidden="false" customHeight="false" outlineLevel="0" collapsed="false">
      <c r="A409" s="0" t="str">
        <f aca="false">IFERROR(IF(Productos!A409="","",Productos!A409),"")</f>
        <v/>
      </c>
      <c r="B409" s="0" t="str">
        <f aca="false">IFERROR(IF(Productos!A409="","",Productos!B409),"")</f>
        <v/>
      </c>
      <c r="C409" s="0" t="str">
        <f aca="false">IFERROR(IF(Productos!A409="","",Productos!C409),"")</f>
        <v/>
      </c>
      <c r="D409" s="0" t="str">
        <f aca="false">IFERROR(IF(Productos!A409="","",Productos!E409),"")</f>
        <v/>
      </c>
      <c r="E409" s="6" t="str">
        <f aca="false">IFERROR(IF(A409="","",SUMIFS(Movimientos!E:E, Movimientos!D:D, A409, Movimientos!C:C, "Ingreso", Movimientos!G:G, "TIN")+SUMIFS(Movimientos!E:E, Movimientos!D:D, A409, Movimientos!C:C, "Traslado", Movimientos!G:G, "TIN")-SUMIFS(Movimientos!E:E, Movimientos!D:D, A409, Movimientos!C:C, "Traslado", Movimientos!F:F, "TIN")-SUMIFS(Movimientos!E:E, Movimientos!D:D, A409, Movimientos!C:C, "Egreso", Movimientos!F:F, "TIN")+SUMIFS(Movimientos!E:E, Movimientos!D:D, A409, Movimientos!C:C, "Ajuste", Movimientos!F:F, "TIN")),"")</f>
        <v/>
      </c>
      <c r="F409" s="6" t="str">
        <f aca="false">IFERROR(IF(A409="","",SUMIFS(Movimientos!E:E, Movimientos!D:D, A409, Movimientos!C:C, "Ingreso", Movimientos!G:G, "G1000")+SUMIFS(Movimientos!E:E, Movimientos!D:D, A409, Movimientos!C:C, "Traslado", Movimientos!G:G, "G1000")-SUMIFS(Movimientos!E:E, Movimientos!D:D, A409, Movimientos!C:C, "Traslado", Movimientos!F:F, "G1000")-SUMIFS(Movimientos!E:E, Movimientos!D:D, A409, Movimientos!C:C, "Egreso", Movimientos!F:F, "G1000")+SUMIFS(Movimientos!E:E, Movimientos!D:D, A409, Movimientos!C:C, "Ajuste", Movimientos!F:F, "G1000")),"")</f>
        <v/>
      </c>
      <c r="G409" s="6" t="str">
        <f aca="false">IFERROR(IF(A409="","",SUMIFS(Movimientos!E:E, Movimientos!D:D, A409, Movimientos!C:C, "Ingreso", Movimientos!G:G, "G710")+SUMIFS(Movimientos!E:E, Movimientos!D:D, A409, Movimientos!C:C, "Traslado", Movimientos!G:G, "G710")-SUMIFS(Movimientos!E:E, Movimientos!D:D, A409, Movimientos!C:C, "Traslado", Movimientos!F:F, "G710")-SUMIFS(Movimientos!E:E, Movimientos!D:D, A409, Movimientos!C:C, "Egreso", Movimientos!F:F, "G710")+SUMIFS(Movimientos!E:E, Movimientos!D:D, A409, Movimientos!C:C, "Ajuste", Movimientos!F:F, "G710")),"")</f>
        <v/>
      </c>
      <c r="H409" s="6" t="str">
        <f aca="false">IFERROR(IF(A409="","",SUMIFS(Movimientos!E:E, Movimientos!D:D, A409, Movimientos!C:C, "Ingreso", Movimientos!G:G, "G5000")+SUMIFS(Movimientos!E:E, Movimientos!D:D, A409, Movimientos!C:C, "Traslado", Movimientos!G:G, "G5000")-SUMIFS(Movimientos!E:E, Movimientos!D:D, A409, Movimientos!C:C, "Traslado", Movimientos!F:F, "G5000")-SUMIFS(Movimientos!E:E, Movimientos!D:D, A409, Movimientos!C:C, "Egreso", Movimientos!F:F, "G5000")+SUMIFS(Movimientos!E:E, Movimientos!D:D, A409, Movimientos!C:C, "Ajuste", Movimientos!F:F, "G5000")),"")</f>
        <v/>
      </c>
      <c r="I409" s="6" t="str">
        <f aca="false">IFERROR(IF(A409="","",SUMIFS(Movimientos!E:E, Movimientos!D:D, A409, Movimientos!C:C, "Ingreso", Movimientos!G:G, "G3")+SUMIFS(Movimientos!E:E, Movimientos!D:D, A409, Movimientos!C:C, "Traslado", Movimientos!G:G, "G3")-SUMIFS(Movimientos!E:E, Movimientos!D:D, A409, Movimientos!C:C, "Traslado", Movimientos!F:F, "G3")-SUMIFS(Movimientos!E:E, Movimientos!D:D, A409, Movimientos!C:C, "Egreso", Movimientos!F:F, "G3")+SUMIFS(Movimientos!E:E, Movimientos!D:D, A409, Movimientos!C:C, "Ajuste", Movimientos!F:F, "G3")),"")</f>
        <v/>
      </c>
      <c r="J409" s="6" t="str">
        <f aca="false">IFERROR(IF(A409="","",SUM(E409:I409)),"")</f>
        <v/>
      </c>
      <c r="K409" s="6" t="str">
        <f aca="false">IFERROR(IF(A409="","",SUMIFS(Movimientos!E:E, Movimientos!D:D, A409, Movimientos!C:C, "Reserva")-SUMIFS(Movimientos!E:E, Movimientos!D:D, A409, Movimientos!C:C, "Libera_Reserva")),"")</f>
        <v/>
      </c>
      <c r="L409" s="6" t="str">
        <f aca="false">IFERROR(IF(A409="","",J409-K409),"")</f>
        <v/>
      </c>
      <c r="M409" s="6" t="str">
        <f aca="false">IFERROR(IF(Productos!A409="","",Productos!G409),"")</f>
        <v/>
      </c>
      <c r="N409" s="6" t="str">
        <f aca="false">IFERROR(IF(A409="","",IF(L409&lt;M409,"BAJO STOCK","OK")),"")</f>
        <v/>
      </c>
    </row>
    <row r="410" customFormat="false" ht="15" hidden="false" customHeight="false" outlineLevel="0" collapsed="false">
      <c r="A410" s="0" t="str">
        <f aca="false">IFERROR(IF(Productos!A410="","",Productos!A410),"")</f>
        <v/>
      </c>
      <c r="B410" s="0" t="str">
        <f aca="false">IFERROR(IF(Productos!A410="","",Productos!B410),"")</f>
        <v/>
      </c>
      <c r="C410" s="0" t="str">
        <f aca="false">IFERROR(IF(Productos!A410="","",Productos!C410),"")</f>
        <v/>
      </c>
      <c r="D410" s="0" t="str">
        <f aca="false">IFERROR(IF(Productos!A410="","",Productos!E410),"")</f>
        <v/>
      </c>
      <c r="E410" s="6" t="str">
        <f aca="false">IFERROR(IF(A410="","",SUMIFS(Movimientos!E:E, Movimientos!D:D, A410, Movimientos!C:C, "Ingreso", Movimientos!G:G, "TIN")+SUMIFS(Movimientos!E:E, Movimientos!D:D, A410, Movimientos!C:C, "Traslado", Movimientos!G:G, "TIN")-SUMIFS(Movimientos!E:E, Movimientos!D:D, A410, Movimientos!C:C, "Traslado", Movimientos!F:F, "TIN")-SUMIFS(Movimientos!E:E, Movimientos!D:D, A410, Movimientos!C:C, "Egreso", Movimientos!F:F, "TIN")+SUMIFS(Movimientos!E:E, Movimientos!D:D, A410, Movimientos!C:C, "Ajuste", Movimientos!F:F, "TIN")),"")</f>
        <v/>
      </c>
      <c r="F410" s="6" t="str">
        <f aca="false">IFERROR(IF(A410="","",SUMIFS(Movimientos!E:E, Movimientos!D:D, A410, Movimientos!C:C, "Ingreso", Movimientos!G:G, "G1000")+SUMIFS(Movimientos!E:E, Movimientos!D:D, A410, Movimientos!C:C, "Traslado", Movimientos!G:G, "G1000")-SUMIFS(Movimientos!E:E, Movimientos!D:D, A410, Movimientos!C:C, "Traslado", Movimientos!F:F, "G1000")-SUMIFS(Movimientos!E:E, Movimientos!D:D, A410, Movimientos!C:C, "Egreso", Movimientos!F:F, "G1000")+SUMIFS(Movimientos!E:E, Movimientos!D:D, A410, Movimientos!C:C, "Ajuste", Movimientos!F:F, "G1000")),"")</f>
        <v/>
      </c>
      <c r="G410" s="6" t="str">
        <f aca="false">IFERROR(IF(A410="","",SUMIFS(Movimientos!E:E, Movimientos!D:D, A410, Movimientos!C:C, "Ingreso", Movimientos!G:G, "G710")+SUMIFS(Movimientos!E:E, Movimientos!D:D, A410, Movimientos!C:C, "Traslado", Movimientos!G:G, "G710")-SUMIFS(Movimientos!E:E, Movimientos!D:D, A410, Movimientos!C:C, "Traslado", Movimientos!F:F, "G710")-SUMIFS(Movimientos!E:E, Movimientos!D:D, A410, Movimientos!C:C, "Egreso", Movimientos!F:F, "G710")+SUMIFS(Movimientos!E:E, Movimientos!D:D, A410, Movimientos!C:C, "Ajuste", Movimientos!F:F, "G710")),"")</f>
        <v/>
      </c>
      <c r="H410" s="6" t="str">
        <f aca="false">IFERROR(IF(A410="","",SUMIFS(Movimientos!E:E, Movimientos!D:D, A410, Movimientos!C:C, "Ingreso", Movimientos!G:G, "G5000")+SUMIFS(Movimientos!E:E, Movimientos!D:D, A410, Movimientos!C:C, "Traslado", Movimientos!G:G, "G5000")-SUMIFS(Movimientos!E:E, Movimientos!D:D, A410, Movimientos!C:C, "Traslado", Movimientos!F:F, "G5000")-SUMIFS(Movimientos!E:E, Movimientos!D:D, A410, Movimientos!C:C, "Egreso", Movimientos!F:F, "G5000")+SUMIFS(Movimientos!E:E, Movimientos!D:D, A410, Movimientos!C:C, "Ajuste", Movimientos!F:F, "G5000")),"")</f>
        <v/>
      </c>
      <c r="I410" s="6" t="str">
        <f aca="false">IFERROR(IF(A410="","",SUMIFS(Movimientos!E:E, Movimientos!D:D, A410, Movimientos!C:C, "Ingreso", Movimientos!G:G, "G3")+SUMIFS(Movimientos!E:E, Movimientos!D:D, A410, Movimientos!C:C, "Traslado", Movimientos!G:G, "G3")-SUMIFS(Movimientos!E:E, Movimientos!D:D, A410, Movimientos!C:C, "Traslado", Movimientos!F:F, "G3")-SUMIFS(Movimientos!E:E, Movimientos!D:D, A410, Movimientos!C:C, "Egreso", Movimientos!F:F, "G3")+SUMIFS(Movimientos!E:E, Movimientos!D:D, A410, Movimientos!C:C, "Ajuste", Movimientos!F:F, "G3")),"")</f>
        <v/>
      </c>
      <c r="J410" s="6" t="str">
        <f aca="false">IFERROR(IF(A410="","",SUM(E410:I410)),"")</f>
        <v/>
      </c>
      <c r="K410" s="6" t="str">
        <f aca="false">IFERROR(IF(A410="","",SUMIFS(Movimientos!E:E, Movimientos!D:D, A410, Movimientos!C:C, "Reserva")-SUMIFS(Movimientos!E:E, Movimientos!D:D, A410, Movimientos!C:C, "Libera_Reserva")),"")</f>
        <v/>
      </c>
      <c r="L410" s="6" t="str">
        <f aca="false">IFERROR(IF(A410="","",J410-K410),"")</f>
        <v/>
      </c>
      <c r="M410" s="6" t="str">
        <f aca="false">IFERROR(IF(Productos!A410="","",Productos!G410),"")</f>
        <v/>
      </c>
      <c r="N410" s="6" t="str">
        <f aca="false">IFERROR(IF(A410="","",IF(L410&lt;M410,"BAJO STOCK","OK")),"")</f>
        <v/>
      </c>
    </row>
    <row r="411" customFormat="false" ht="15" hidden="false" customHeight="false" outlineLevel="0" collapsed="false">
      <c r="A411" s="0" t="str">
        <f aca="false">IFERROR(IF(Productos!A411="","",Productos!A411),"")</f>
        <v/>
      </c>
      <c r="B411" s="0" t="str">
        <f aca="false">IFERROR(IF(Productos!A411="","",Productos!B411),"")</f>
        <v/>
      </c>
      <c r="C411" s="0" t="str">
        <f aca="false">IFERROR(IF(Productos!A411="","",Productos!C411),"")</f>
        <v/>
      </c>
      <c r="D411" s="0" t="str">
        <f aca="false">IFERROR(IF(Productos!A411="","",Productos!E411),"")</f>
        <v/>
      </c>
      <c r="E411" s="6" t="str">
        <f aca="false">IFERROR(IF(A411="","",SUMIFS(Movimientos!E:E, Movimientos!D:D, A411, Movimientos!C:C, "Ingreso", Movimientos!G:G, "TIN")+SUMIFS(Movimientos!E:E, Movimientos!D:D, A411, Movimientos!C:C, "Traslado", Movimientos!G:G, "TIN")-SUMIFS(Movimientos!E:E, Movimientos!D:D, A411, Movimientos!C:C, "Traslado", Movimientos!F:F, "TIN")-SUMIFS(Movimientos!E:E, Movimientos!D:D, A411, Movimientos!C:C, "Egreso", Movimientos!F:F, "TIN")+SUMIFS(Movimientos!E:E, Movimientos!D:D, A411, Movimientos!C:C, "Ajuste", Movimientos!F:F, "TIN")),"")</f>
        <v/>
      </c>
      <c r="F411" s="6" t="str">
        <f aca="false">IFERROR(IF(A411="","",SUMIFS(Movimientos!E:E, Movimientos!D:D, A411, Movimientos!C:C, "Ingreso", Movimientos!G:G, "G1000")+SUMIFS(Movimientos!E:E, Movimientos!D:D, A411, Movimientos!C:C, "Traslado", Movimientos!G:G, "G1000")-SUMIFS(Movimientos!E:E, Movimientos!D:D, A411, Movimientos!C:C, "Traslado", Movimientos!F:F, "G1000")-SUMIFS(Movimientos!E:E, Movimientos!D:D, A411, Movimientos!C:C, "Egreso", Movimientos!F:F, "G1000")+SUMIFS(Movimientos!E:E, Movimientos!D:D, A411, Movimientos!C:C, "Ajuste", Movimientos!F:F, "G1000")),"")</f>
        <v/>
      </c>
      <c r="G411" s="6" t="str">
        <f aca="false">IFERROR(IF(A411="","",SUMIFS(Movimientos!E:E, Movimientos!D:D, A411, Movimientos!C:C, "Ingreso", Movimientos!G:G, "G710")+SUMIFS(Movimientos!E:E, Movimientos!D:D, A411, Movimientos!C:C, "Traslado", Movimientos!G:G, "G710")-SUMIFS(Movimientos!E:E, Movimientos!D:D, A411, Movimientos!C:C, "Traslado", Movimientos!F:F, "G710")-SUMIFS(Movimientos!E:E, Movimientos!D:D, A411, Movimientos!C:C, "Egreso", Movimientos!F:F, "G710")+SUMIFS(Movimientos!E:E, Movimientos!D:D, A411, Movimientos!C:C, "Ajuste", Movimientos!F:F, "G710")),"")</f>
        <v/>
      </c>
      <c r="H411" s="6" t="str">
        <f aca="false">IFERROR(IF(A411="","",SUMIFS(Movimientos!E:E, Movimientos!D:D, A411, Movimientos!C:C, "Ingreso", Movimientos!G:G, "G5000")+SUMIFS(Movimientos!E:E, Movimientos!D:D, A411, Movimientos!C:C, "Traslado", Movimientos!G:G, "G5000")-SUMIFS(Movimientos!E:E, Movimientos!D:D, A411, Movimientos!C:C, "Traslado", Movimientos!F:F, "G5000")-SUMIFS(Movimientos!E:E, Movimientos!D:D, A411, Movimientos!C:C, "Egreso", Movimientos!F:F, "G5000")+SUMIFS(Movimientos!E:E, Movimientos!D:D, A411, Movimientos!C:C, "Ajuste", Movimientos!F:F, "G5000")),"")</f>
        <v/>
      </c>
      <c r="I411" s="6" t="str">
        <f aca="false">IFERROR(IF(A411="","",SUMIFS(Movimientos!E:E, Movimientos!D:D, A411, Movimientos!C:C, "Ingreso", Movimientos!G:G, "G3")+SUMIFS(Movimientos!E:E, Movimientos!D:D, A411, Movimientos!C:C, "Traslado", Movimientos!G:G, "G3")-SUMIFS(Movimientos!E:E, Movimientos!D:D, A411, Movimientos!C:C, "Traslado", Movimientos!F:F, "G3")-SUMIFS(Movimientos!E:E, Movimientos!D:D, A411, Movimientos!C:C, "Egreso", Movimientos!F:F, "G3")+SUMIFS(Movimientos!E:E, Movimientos!D:D, A411, Movimientos!C:C, "Ajuste", Movimientos!F:F, "G3")),"")</f>
        <v/>
      </c>
      <c r="J411" s="6" t="str">
        <f aca="false">IFERROR(IF(A411="","",SUM(E411:I411)),"")</f>
        <v/>
      </c>
      <c r="K411" s="6" t="str">
        <f aca="false">IFERROR(IF(A411="","",SUMIFS(Movimientos!E:E, Movimientos!D:D, A411, Movimientos!C:C, "Reserva")-SUMIFS(Movimientos!E:E, Movimientos!D:D, A411, Movimientos!C:C, "Libera_Reserva")),"")</f>
        <v/>
      </c>
      <c r="L411" s="6" t="str">
        <f aca="false">IFERROR(IF(A411="","",J411-K411),"")</f>
        <v/>
      </c>
      <c r="M411" s="6" t="str">
        <f aca="false">IFERROR(IF(Productos!A411="","",Productos!G411),"")</f>
        <v/>
      </c>
      <c r="N411" s="6" t="str">
        <f aca="false">IFERROR(IF(A411="","",IF(L411&lt;M411,"BAJO STOCK","OK")),"")</f>
        <v/>
      </c>
    </row>
    <row r="412" customFormat="false" ht="15" hidden="false" customHeight="false" outlineLevel="0" collapsed="false">
      <c r="A412" s="0" t="str">
        <f aca="false">IFERROR(IF(Productos!A412="","",Productos!A412),"")</f>
        <v/>
      </c>
      <c r="B412" s="0" t="str">
        <f aca="false">IFERROR(IF(Productos!A412="","",Productos!B412),"")</f>
        <v/>
      </c>
      <c r="C412" s="0" t="str">
        <f aca="false">IFERROR(IF(Productos!A412="","",Productos!C412),"")</f>
        <v/>
      </c>
      <c r="D412" s="0" t="str">
        <f aca="false">IFERROR(IF(Productos!A412="","",Productos!E412),"")</f>
        <v/>
      </c>
      <c r="E412" s="6" t="str">
        <f aca="false">IFERROR(IF(A412="","",SUMIFS(Movimientos!E:E, Movimientos!D:D, A412, Movimientos!C:C, "Ingreso", Movimientos!G:G, "TIN")+SUMIFS(Movimientos!E:E, Movimientos!D:D, A412, Movimientos!C:C, "Traslado", Movimientos!G:G, "TIN")-SUMIFS(Movimientos!E:E, Movimientos!D:D, A412, Movimientos!C:C, "Traslado", Movimientos!F:F, "TIN")-SUMIFS(Movimientos!E:E, Movimientos!D:D, A412, Movimientos!C:C, "Egreso", Movimientos!F:F, "TIN")+SUMIFS(Movimientos!E:E, Movimientos!D:D, A412, Movimientos!C:C, "Ajuste", Movimientos!F:F, "TIN")),"")</f>
        <v/>
      </c>
      <c r="F412" s="6" t="str">
        <f aca="false">IFERROR(IF(A412="","",SUMIFS(Movimientos!E:E, Movimientos!D:D, A412, Movimientos!C:C, "Ingreso", Movimientos!G:G, "G1000")+SUMIFS(Movimientos!E:E, Movimientos!D:D, A412, Movimientos!C:C, "Traslado", Movimientos!G:G, "G1000")-SUMIFS(Movimientos!E:E, Movimientos!D:D, A412, Movimientos!C:C, "Traslado", Movimientos!F:F, "G1000")-SUMIFS(Movimientos!E:E, Movimientos!D:D, A412, Movimientos!C:C, "Egreso", Movimientos!F:F, "G1000")+SUMIFS(Movimientos!E:E, Movimientos!D:D, A412, Movimientos!C:C, "Ajuste", Movimientos!F:F, "G1000")),"")</f>
        <v/>
      </c>
      <c r="G412" s="6" t="str">
        <f aca="false">IFERROR(IF(A412="","",SUMIFS(Movimientos!E:E, Movimientos!D:D, A412, Movimientos!C:C, "Ingreso", Movimientos!G:G, "G710")+SUMIFS(Movimientos!E:E, Movimientos!D:D, A412, Movimientos!C:C, "Traslado", Movimientos!G:G, "G710")-SUMIFS(Movimientos!E:E, Movimientos!D:D, A412, Movimientos!C:C, "Traslado", Movimientos!F:F, "G710")-SUMIFS(Movimientos!E:E, Movimientos!D:D, A412, Movimientos!C:C, "Egreso", Movimientos!F:F, "G710")+SUMIFS(Movimientos!E:E, Movimientos!D:D, A412, Movimientos!C:C, "Ajuste", Movimientos!F:F, "G710")),"")</f>
        <v/>
      </c>
      <c r="H412" s="6" t="str">
        <f aca="false">IFERROR(IF(A412="","",SUMIFS(Movimientos!E:E, Movimientos!D:D, A412, Movimientos!C:C, "Ingreso", Movimientos!G:G, "G5000")+SUMIFS(Movimientos!E:E, Movimientos!D:D, A412, Movimientos!C:C, "Traslado", Movimientos!G:G, "G5000")-SUMIFS(Movimientos!E:E, Movimientos!D:D, A412, Movimientos!C:C, "Traslado", Movimientos!F:F, "G5000")-SUMIFS(Movimientos!E:E, Movimientos!D:D, A412, Movimientos!C:C, "Egreso", Movimientos!F:F, "G5000")+SUMIFS(Movimientos!E:E, Movimientos!D:D, A412, Movimientos!C:C, "Ajuste", Movimientos!F:F, "G5000")),"")</f>
        <v/>
      </c>
      <c r="I412" s="6" t="str">
        <f aca="false">IFERROR(IF(A412="","",SUMIFS(Movimientos!E:E, Movimientos!D:D, A412, Movimientos!C:C, "Ingreso", Movimientos!G:G, "G3")+SUMIFS(Movimientos!E:E, Movimientos!D:D, A412, Movimientos!C:C, "Traslado", Movimientos!G:G, "G3")-SUMIFS(Movimientos!E:E, Movimientos!D:D, A412, Movimientos!C:C, "Traslado", Movimientos!F:F, "G3")-SUMIFS(Movimientos!E:E, Movimientos!D:D, A412, Movimientos!C:C, "Egreso", Movimientos!F:F, "G3")+SUMIFS(Movimientos!E:E, Movimientos!D:D, A412, Movimientos!C:C, "Ajuste", Movimientos!F:F, "G3")),"")</f>
        <v/>
      </c>
      <c r="J412" s="6" t="str">
        <f aca="false">IFERROR(IF(A412="","",SUM(E412:I412)),"")</f>
        <v/>
      </c>
      <c r="K412" s="6" t="str">
        <f aca="false">IFERROR(IF(A412="","",SUMIFS(Movimientos!E:E, Movimientos!D:D, A412, Movimientos!C:C, "Reserva")-SUMIFS(Movimientos!E:E, Movimientos!D:D, A412, Movimientos!C:C, "Libera_Reserva")),"")</f>
        <v/>
      </c>
      <c r="L412" s="6" t="str">
        <f aca="false">IFERROR(IF(A412="","",J412-K412),"")</f>
        <v/>
      </c>
      <c r="M412" s="6" t="str">
        <f aca="false">IFERROR(IF(Productos!A412="","",Productos!G412),"")</f>
        <v/>
      </c>
      <c r="N412" s="6" t="str">
        <f aca="false">IFERROR(IF(A412="","",IF(L412&lt;M412,"BAJO STOCK","OK")),"")</f>
        <v/>
      </c>
    </row>
    <row r="413" customFormat="false" ht="15" hidden="false" customHeight="false" outlineLevel="0" collapsed="false">
      <c r="A413" s="0" t="str">
        <f aca="false">IFERROR(IF(Productos!A413="","",Productos!A413),"")</f>
        <v/>
      </c>
      <c r="B413" s="0" t="str">
        <f aca="false">IFERROR(IF(Productos!A413="","",Productos!B413),"")</f>
        <v/>
      </c>
      <c r="C413" s="0" t="str">
        <f aca="false">IFERROR(IF(Productos!A413="","",Productos!C413),"")</f>
        <v/>
      </c>
      <c r="D413" s="0" t="str">
        <f aca="false">IFERROR(IF(Productos!A413="","",Productos!E413),"")</f>
        <v/>
      </c>
      <c r="E413" s="6" t="str">
        <f aca="false">IFERROR(IF(A413="","",SUMIFS(Movimientos!E:E, Movimientos!D:D, A413, Movimientos!C:C, "Ingreso", Movimientos!G:G, "TIN")+SUMIFS(Movimientos!E:E, Movimientos!D:D, A413, Movimientos!C:C, "Traslado", Movimientos!G:G, "TIN")-SUMIFS(Movimientos!E:E, Movimientos!D:D, A413, Movimientos!C:C, "Traslado", Movimientos!F:F, "TIN")-SUMIFS(Movimientos!E:E, Movimientos!D:D, A413, Movimientos!C:C, "Egreso", Movimientos!F:F, "TIN")+SUMIFS(Movimientos!E:E, Movimientos!D:D, A413, Movimientos!C:C, "Ajuste", Movimientos!F:F, "TIN")),"")</f>
        <v/>
      </c>
      <c r="F413" s="6" t="str">
        <f aca="false">IFERROR(IF(A413="","",SUMIFS(Movimientos!E:E, Movimientos!D:D, A413, Movimientos!C:C, "Ingreso", Movimientos!G:G, "G1000")+SUMIFS(Movimientos!E:E, Movimientos!D:D, A413, Movimientos!C:C, "Traslado", Movimientos!G:G, "G1000")-SUMIFS(Movimientos!E:E, Movimientos!D:D, A413, Movimientos!C:C, "Traslado", Movimientos!F:F, "G1000")-SUMIFS(Movimientos!E:E, Movimientos!D:D, A413, Movimientos!C:C, "Egreso", Movimientos!F:F, "G1000")+SUMIFS(Movimientos!E:E, Movimientos!D:D, A413, Movimientos!C:C, "Ajuste", Movimientos!F:F, "G1000")),"")</f>
        <v/>
      </c>
      <c r="G413" s="6" t="str">
        <f aca="false">IFERROR(IF(A413="","",SUMIFS(Movimientos!E:E, Movimientos!D:D, A413, Movimientos!C:C, "Ingreso", Movimientos!G:G, "G710")+SUMIFS(Movimientos!E:E, Movimientos!D:D, A413, Movimientos!C:C, "Traslado", Movimientos!G:G, "G710")-SUMIFS(Movimientos!E:E, Movimientos!D:D, A413, Movimientos!C:C, "Traslado", Movimientos!F:F, "G710")-SUMIFS(Movimientos!E:E, Movimientos!D:D, A413, Movimientos!C:C, "Egreso", Movimientos!F:F, "G710")+SUMIFS(Movimientos!E:E, Movimientos!D:D, A413, Movimientos!C:C, "Ajuste", Movimientos!F:F, "G710")),"")</f>
        <v/>
      </c>
      <c r="H413" s="6" t="str">
        <f aca="false">IFERROR(IF(A413="","",SUMIFS(Movimientos!E:E, Movimientos!D:D, A413, Movimientos!C:C, "Ingreso", Movimientos!G:G, "G5000")+SUMIFS(Movimientos!E:E, Movimientos!D:D, A413, Movimientos!C:C, "Traslado", Movimientos!G:G, "G5000")-SUMIFS(Movimientos!E:E, Movimientos!D:D, A413, Movimientos!C:C, "Traslado", Movimientos!F:F, "G5000")-SUMIFS(Movimientos!E:E, Movimientos!D:D, A413, Movimientos!C:C, "Egreso", Movimientos!F:F, "G5000")+SUMIFS(Movimientos!E:E, Movimientos!D:D, A413, Movimientos!C:C, "Ajuste", Movimientos!F:F, "G5000")),"")</f>
        <v/>
      </c>
      <c r="I413" s="6" t="str">
        <f aca="false">IFERROR(IF(A413="","",SUMIFS(Movimientos!E:E, Movimientos!D:D, A413, Movimientos!C:C, "Ingreso", Movimientos!G:G, "G3")+SUMIFS(Movimientos!E:E, Movimientos!D:D, A413, Movimientos!C:C, "Traslado", Movimientos!G:G, "G3")-SUMIFS(Movimientos!E:E, Movimientos!D:D, A413, Movimientos!C:C, "Traslado", Movimientos!F:F, "G3")-SUMIFS(Movimientos!E:E, Movimientos!D:D, A413, Movimientos!C:C, "Egreso", Movimientos!F:F, "G3")+SUMIFS(Movimientos!E:E, Movimientos!D:D, A413, Movimientos!C:C, "Ajuste", Movimientos!F:F, "G3")),"")</f>
        <v/>
      </c>
      <c r="J413" s="6" t="str">
        <f aca="false">IFERROR(IF(A413="","",SUM(E413:I413)),"")</f>
        <v/>
      </c>
      <c r="K413" s="6" t="str">
        <f aca="false">IFERROR(IF(A413="","",SUMIFS(Movimientos!E:E, Movimientos!D:D, A413, Movimientos!C:C, "Reserva")-SUMIFS(Movimientos!E:E, Movimientos!D:D, A413, Movimientos!C:C, "Libera_Reserva")),"")</f>
        <v/>
      </c>
      <c r="L413" s="6" t="str">
        <f aca="false">IFERROR(IF(A413="","",J413-K413),"")</f>
        <v/>
      </c>
      <c r="M413" s="6" t="str">
        <f aca="false">IFERROR(IF(Productos!A413="","",Productos!G413),"")</f>
        <v/>
      </c>
      <c r="N413" s="6" t="str">
        <f aca="false">IFERROR(IF(A413="","",IF(L413&lt;M413,"BAJO STOCK","OK")),"")</f>
        <v/>
      </c>
    </row>
    <row r="414" customFormat="false" ht="15" hidden="false" customHeight="false" outlineLevel="0" collapsed="false">
      <c r="A414" s="0" t="str">
        <f aca="false">IFERROR(IF(Productos!A414="","",Productos!A414),"")</f>
        <v/>
      </c>
      <c r="B414" s="0" t="str">
        <f aca="false">IFERROR(IF(Productos!A414="","",Productos!B414),"")</f>
        <v/>
      </c>
      <c r="C414" s="0" t="str">
        <f aca="false">IFERROR(IF(Productos!A414="","",Productos!C414),"")</f>
        <v/>
      </c>
      <c r="D414" s="0" t="str">
        <f aca="false">IFERROR(IF(Productos!A414="","",Productos!E414),"")</f>
        <v/>
      </c>
      <c r="E414" s="6" t="str">
        <f aca="false">IFERROR(IF(A414="","",SUMIFS(Movimientos!E:E, Movimientos!D:D, A414, Movimientos!C:C, "Ingreso", Movimientos!G:G, "TIN")+SUMIFS(Movimientos!E:E, Movimientos!D:D, A414, Movimientos!C:C, "Traslado", Movimientos!G:G, "TIN")-SUMIFS(Movimientos!E:E, Movimientos!D:D, A414, Movimientos!C:C, "Traslado", Movimientos!F:F, "TIN")-SUMIFS(Movimientos!E:E, Movimientos!D:D, A414, Movimientos!C:C, "Egreso", Movimientos!F:F, "TIN")+SUMIFS(Movimientos!E:E, Movimientos!D:D, A414, Movimientos!C:C, "Ajuste", Movimientos!F:F, "TIN")),"")</f>
        <v/>
      </c>
      <c r="F414" s="6" t="str">
        <f aca="false">IFERROR(IF(A414="","",SUMIFS(Movimientos!E:E, Movimientos!D:D, A414, Movimientos!C:C, "Ingreso", Movimientos!G:G, "G1000")+SUMIFS(Movimientos!E:E, Movimientos!D:D, A414, Movimientos!C:C, "Traslado", Movimientos!G:G, "G1000")-SUMIFS(Movimientos!E:E, Movimientos!D:D, A414, Movimientos!C:C, "Traslado", Movimientos!F:F, "G1000")-SUMIFS(Movimientos!E:E, Movimientos!D:D, A414, Movimientos!C:C, "Egreso", Movimientos!F:F, "G1000")+SUMIFS(Movimientos!E:E, Movimientos!D:D, A414, Movimientos!C:C, "Ajuste", Movimientos!F:F, "G1000")),"")</f>
        <v/>
      </c>
      <c r="G414" s="6" t="str">
        <f aca="false">IFERROR(IF(A414="","",SUMIFS(Movimientos!E:E, Movimientos!D:D, A414, Movimientos!C:C, "Ingreso", Movimientos!G:G, "G710")+SUMIFS(Movimientos!E:E, Movimientos!D:D, A414, Movimientos!C:C, "Traslado", Movimientos!G:G, "G710")-SUMIFS(Movimientos!E:E, Movimientos!D:D, A414, Movimientos!C:C, "Traslado", Movimientos!F:F, "G710")-SUMIFS(Movimientos!E:E, Movimientos!D:D, A414, Movimientos!C:C, "Egreso", Movimientos!F:F, "G710")+SUMIFS(Movimientos!E:E, Movimientos!D:D, A414, Movimientos!C:C, "Ajuste", Movimientos!F:F, "G710")),"")</f>
        <v/>
      </c>
      <c r="H414" s="6" t="str">
        <f aca="false">IFERROR(IF(A414="","",SUMIFS(Movimientos!E:E, Movimientos!D:D, A414, Movimientos!C:C, "Ingreso", Movimientos!G:G, "G5000")+SUMIFS(Movimientos!E:E, Movimientos!D:D, A414, Movimientos!C:C, "Traslado", Movimientos!G:G, "G5000")-SUMIFS(Movimientos!E:E, Movimientos!D:D, A414, Movimientos!C:C, "Traslado", Movimientos!F:F, "G5000")-SUMIFS(Movimientos!E:E, Movimientos!D:D, A414, Movimientos!C:C, "Egreso", Movimientos!F:F, "G5000")+SUMIFS(Movimientos!E:E, Movimientos!D:D, A414, Movimientos!C:C, "Ajuste", Movimientos!F:F, "G5000")),"")</f>
        <v/>
      </c>
      <c r="I414" s="6" t="str">
        <f aca="false">IFERROR(IF(A414="","",SUMIFS(Movimientos!E:E, Movimientos!D:D, A414, Movimientos!C:C, "Ingreso", Movimientos!G:G, "G3")+SUMIFS(Movimientos!E:E, Movimientos!D:D, A414, Movimientos!C:C, "Traslado", Movimientos!G:G, "G3")-SUMIFS(Movimientos!E:E, Movimientos!D:D, A414, Movimientos!C:C, "Traslado", Movimientos!F:F, "G3")-SUMIFS(Movimientos!E:E, Movimientos!D:D, A414, Movimientos!C:C, "Egreso", Movimientos!F:F, "G3")+SUMIFS(Movimientos!E:E, Movimientos!D:D, A414, Movimientos!C:C, "Ajuste", Movimientos!F:F, "G3")),"")</f>
        <v/>
      </c>
      <c r="J414" s="6" t="str">
        <f aca="false">IFERROR(IF(A414="","",SUM(E414:I414)),"")</f>
        <v/>
      </c>
      <c r="K414" s="6" t="str">
        <f aca="false">IFERROR(IF(A414="","",SUMIFS(Movimientos!E:E, Movimientos!D:D, A414, Movimientos!C:C, "Reserva")-SUMIFS(Movimientos!E:E, Movimientos!D:D, A414, Movimientos!C:C, "Libera_Reserva")),"")</f>
        <v/>
      </c>
      <c r="L414" s="6" t="str">
        <f aca="false">IFERROR(IF(A414="","",J414-K414),"")</f>
        <v/>
      </c>
      <c r="M414" s="6" t="str">
        <f aca="false">IFERROR(IF(Productos!A414="","",Productos!G414),"")</f>
        <v/>
      </c>
      <c r="N414" s="6" t="str">
        <f aca="false">IFERROR(IF(A414="","",IF(L414&lt;M414,"BAJO STOCK","OK")),"")</f>
        <v/>
      </c>
    </row>
    <row r="415" customFormat="false" ht="15" hidden="false" customHeight="false" outlineLevel="0" collapsed="false">
      <c r="A415" s="0" t="str">
        <f aca="false">IFERROR(IF(Productos!A415="","",Productos!A415),"")</f>
        <v/>
      </c>
      <c r="B415" s="0" t="str">
        <f aca="false">IFERROR(IF(Productos!A415="","",Productos!B415),"")</f>
        <v/>
      </c>
      <c r="C415" s="0" t="str">
        <f aca="false">IFERROR(IF(Productos!A415="","",Productos!C415),"")</f>
        <v/>
      </c>
      <c r="D415" s="0" t="str">
        <f aca="false">IFERROR(IF(Productos!A415="","",Productos!E415),"")</f>
        <v/>
      </c>
      <c r="E415" s="6" t="str">
        <f aca="false">IFERROR(IF(A415="","",SUMIFS(Movimientos!E:E, Movimientos!D:D, A415, Movimientos!C:C, "Ingreso", Movimientos!G:G, "TIN")+SUMIFS(Movimientos!E:E, Movimientos!D:D, A415, Movimientos!C:C, "Traslado", Movimientos!G:G, "TIN")-SUMIFS(Movimientos!E:E, Movimientos!D:D, A415, Movimientos!C:C, "Traslado", Movimientos!F:F, "TIN")-SUMIFS(Movimientos!E:E, Movimientos!D:D, A415, Movimientos!C:C, "Egreso", Movimientos!F:F, "TIN")+SUMIFS(Movimientos!E:E, Movimientos!D:D, A415, Movimientos!C:C, "Ajuste", Movimientos!F:F, "TIN")),"")</f>
        <v/>
      </c>
      <c r="F415" s="6" t="str">
        <f aca="false">IFERROR(IF(A415="","",SUMIFS(Movimientos!E:E, Movimientos!D:D, A415, Movimientos!C:C, "Ingreso", Movimientos!G:G, "G1000")+SUMIFS(Movimientos!E:E, Movimientos!D:D, A415, Movimientos!C:C, "Traslado", Movimientos!G:G, "G1000")-SUMIFS(Movimientos!E:E, Movimientos!D:D, A415, Movimientos!C:C, "Traslado", Movimientos!F:F, "G1000")-SUMIFS(Movimientos!E:E, Movimientos!D:D, A415, Movimientos!C:C, "Egreso", Movimientos!F:F, "G1000")+SUMIFS(Movimientos!E:E, Movimientos!D:D, A415, Movimientos!C:C, "Ajuste", Movimientos!F:F, "G1000")),"")</f>
        <v/>
      </c>
      <c r="G415" s="6" t="str">
        <f aca="false">IFERROR(IF(A415="","",SUMIFS(Movimientos!E:E, Movimientos!D:D, A415, Movimientos!C:C, "Ingreso", Movimientos!G:G, "G710")+SUMIFS(Movimientos!E:E, Movimientos!D:D, A415, Movimientos!C:C, "Traslado", Movimientos!G:G, "G710")-SUMIFS(Movimientos!E:E, Movimientos!D:D, A415, Movimientos!C:C, "Traslado", Movimientos!F:F, "G710")-SUMIFS(Movimientos!E:E, Movimientos!D:D, A415, Movimientos!C:C, "Egreso", Movimientos!F:F, "G710")+SUMIFS(Movimientos!E:E, Movimientos!D:D, A415, Movimientos!C:C, "Ajuste", Movimientos!F:F, "G710")),"")</f>
        <v/>
      </c>
      <c r="H415" s="6" t="str">
        <f aca="false">IFERROR(IF(A415="","",SUMIFS(Movimientos!E:E, Movimientos!D:D, A415, Movimientos!C:C, "Ingreso", Movimientos!G:G, "G5000")+SUMIFS(Movimientos!E:E, Movimientos!D:D, A415, Movimientos!C:C, "Traslado", Movimientos!G:G, "G5000")-SUMIFS(Movimientos!E:E, Movimientos!D:D, A415, Movimientos!C:C, "Traslado", Movimientos!F:F, "G5000")-SUMIFS(Movimientos!E:E, Movimientos!D:D, A415, Movimientos!C:C, "Egreso", Movimientos!F:F, "G5000")+SUMIFS(Movimientos!E:E, Movimientos!D:D, A415, Movimientos!C:C, "Ajuste", Movimientos!F:F, "G5000")),"")</f>
        <v/>
      </c>
      <c r="I415" s="6" t="str">
        <f aca="false">IFERROR(IF(A415="","",SUMIFS(Movimientos!E:E, Movimientos!D:D, A415, Movimientos!C:C, "Ingreso", Movimientos!G:G, "G3")+SUMIFS(Movimientos!E:E, Movimientos!D:D, A415, Movimientos!C:C, "Traslado", Movimientos!G:G, "G3")-SUMIFS(Movimientos!E:E, Movimientos!D:D, A415, Movimientos!C:C, "Traslado", Movimientos!F:F, "G3")-SUMIFS(Movimientos!E:E, Movimientos!D:D, A415, Movimientos!C:C, "Egreso", Movimientos!F:F, "G3")+SUMIFS(Movimientos!E:E, Movimientos!D:D, A415, Movimientos!C:C, "Ajuste", Movimientos!F:F, "G3")),"")</f>
        <v/>
      </c>
      <c r="J415" s="6" t="str">
        <f aca="false">IFERROR(IF(A415="","",SUM(E415:I415)),"")</f>
        <v/>
      </c>
      <c r="K415" s="6" t="str">
        <f aca="false">IFERROR(IF(A415="","",SUMIFS(Movimientos!E:E, Movimientos!D:D, A415, Movimientos!C:C, "Reserva")-SUMIFS(Movimientos!E:E, Movimientos!D:D, A415, Movimientos!C:C, "Libera_Reserva")),"")</f>
        <v/>
      </c>
      <c r="L415" s="6" t="str">
        <f aca="false">IFERROR(IF(A415="","",J415-K415),"")</f>
        <v/>
      </c>
      <c r="M415" s="6" t="str">
        <f aca="false">IFERROR(IF(Productos!A415="","",Productos!G415),"")</f>
        <v/>
      </c>
      <c r="N415" s="6" t="str">
        <f aca="false">IFERROR(IF(A415="","",IF(L415&lt;M415,"BAJO STOCK","OK")),"")</f>
        <v/>
      </c>
    </row>
    <row r="416" customFormat="false" ht="15" hidden="false" customHeight="false" outlineLevel="0" collapsed="false">
      <c r="A416" s="0" t="str">
        <f aca="false">IFERROR(IF(Productos!A416="","",Productos!A416),"")</f>
        <v/>
      </c>
      <c r="B416" s="0" t="str">
        <f aca="false">IFERROR(IF(Productos!A416="","",Productos!B416),"")</f>
        <v/>
      </c>
      <c r="C416" s="0" t="str">
        <f aca="false">IFERROR(IF(Productos!A416="","",Productos!C416),"")</f>
        <v/>
      </c>
      <c r="D416" s="0" t="str">
        <f aca="false">IFERROR(IF(Productos!A416="","",Productos!E416),"")</f>
        <v/>
      </c>
      <c r="E416" s="6" t="str">
        <f aca="false">IFERROR(IF(A416="","",SUMIFS(Movimientos!E:E, Movimientos!D:D, A416, Movimientos!C:C, "Ingreso", Movimientos!G:G, "TIN")+SUMIFS(Movimientos!E:E, Movimientos!D:D, A416, Movimientos!C:C, "Traslado", Movimientos!G:G, "TIN")-SUMIFS(Movimientos!E:E, Movimientos!D:D, A416, Movimientos!C:C, "Traslado", Movimientos!F:F, "TIN")-SUMIFS(Movimientos!E:E, Movimientos!D:D, A416, Movimientos!C:C, "Egreso", Movimientos!F:F, "TIN")+SUMIFS(Movimientos!E:E, Movimientos!D:D, A416, Movimientos!C:C, "Ajuste", Movimientos!F:F, "TIN")),"")</f>
        <v/>
      </c>
      <c r="F416" s="6" t="str">
        <f aca="false">IFERROR(IF(A416="","",SUMIFS(Movimientos!E:E, Movimientos!D:D, A416, Movimientos!C:C, "Ingreso", Movimientos!G:G, "G1000")+SUMIFS(Movimientos!E:E, Movimientos!D:D, A416, Movimientos!C:C, "Traslado", Movimientos!G:G, "G1000")-SUMIFS(Movimientos!E:E, Movimientos!D:D, A416, Movimientos!C:C, "Traslado", Movimientos!F:F, "G1000")-SUMIFS(Movimientos!E:E, Movimientos!D:D, A416, Movimientos!C:C, "Egreso", Movimientos!F:F, "G1000")+SUMIFS(Movimientos!E:E, Movimientos!D:D, A416, Movimientos!C:C, "Ajuste", Movimientos!F:F, "G1000")),"")</f>
        <v/>
      </c>
      <c r="G416" s="6" t="str">
        <f aca="false">IFERROR(IF(A416="","",SUMIFS(Movimientos!E:E, Movimientos!D:D, A416, Movimientos!C:C, "Ingreso", Movimientos!G:G, "G710")+SUMIFS(Movimientos!E:E, Movimientos!D:D, A416, Movimientos!C:C, "Traslado", Movimientos!G:G, "G710")-SUMIFS(Movimientos!E:E, Movimientos!D:D, A416, Movimientos!C:C, "Traslado", Movimientos!F:F, "G710")-SUMIFS(Movimientos!E:E, Movimientos!D:D, A416, Movimientos!C:C, "Egreso", Movimientos!F:F, "G710")+SUMIFS(Movimientos!E:E, Movimientos!D:D, A416, Movimientos!C:C, "Ajuste", Movimientos!F:F, "G710")),"")</f>
        <v/>
      </c>
      <c r="H416" s="6" t="str">
        <f aca="false">IFERROR(IF(A416="","",SUMIFS(Movimientos!E:E, Movimientos!D:D, A416, Movimientos!C:C, "Ingreso", Movimientos!G:G, "G5000")+SUMIFS(Movimientos!E:E, Movimientos!D:D, A416, Movimientos!C:C, "Traslado", Movimientos!G:G, "G5000")-SUMIFS(Movimientos!E:E, Movimientos!D:D, A416, Movimientos!C:C, "Traslado", Movimientos!F:F, "G5000")-SUMIFS(Movimientos!E:E, Movimientos!D:D, A416, Movimientos!C:C, "Egreso", Movimientos!F:F, "G5000")+SUMIFS(Movimientos!E:E, Movimientos!D:D, A416, Movimientos!C:C, "Ajuste", Movimientos!F:F, "G5000")),"")</f>
        <v/>
      </c>
      <c r="I416" s="6" t="str">
        <f aca="false">IFERROR(IF(A416="","",SUMIFS(Movimientos!E:E, Movimientos!D:D, A416, Movimientos!C:C, "Ingreso", Movimientos!G:G, "G3")+SUMIFS(Movimientos!E:E, Movimientos!D:D, A416, Movimientos!C:C, "Traslado", Movimientos!G:G, "G3")-SUMIFS(Movimientos!E:E, Movimientos!D:D, A416, Movimientos!C:C, "Traslado", Movimientos!F:F, "G3")-SUMIFS(Movimientos!E:E, Movimientos!D:D, A416, Movimientos!C:C, "Egreso", Movimientos!F:F, "G3")+SUMIFS(Movimientos!E:E, Movimientos!D:D, A416, Movimientos!C:C, "Ajuste", Movimientos!F:F, "G3")),"")</f>
        <v/>
      </c>
      <c r="J416" s="6" t="str">
        <f aca="false">IFERROR(IF(A416="","",SUM(E416:I416)),"")</f>
        <v/>
      </c>
      <c r="K416" s="6" t="str">
        <f aca="false">IFERROR(IF(A416="","",SUMIFS(Movimientos!E:E, Movimientos!D:D, A416, Movimientos!C:C, "Reserva")-SUMIFS(Movimientos!E:E, Movimientos!D:D, A416, Movimientos!C:C, "Libera_Reserva")),"")</f>
        <v/>
      </c>
      <c r="L416" s="6" t="str">
        <f aca="false">IFERROR(IF(A416="","",J416-K416),"")</f>
        <v/>
      </c>
      <c r="M416" s="6" t="str">
        <f aca="false">IFERROR(IF(Productos!A416="","",Productos!G416),"")</f>
        <v/>
      </c>
      <c r="N416" s="6" t="str">
        <f aca="false">IFERROR(IF(A416="","",IF(L416&lt;M416,"BAJO STOCK","OK")),"")</f>
        <v/>
      </c>
    </row>
    <row r="417" customFormat="false" ht="15" hidden="false" customHeight="false" outlineLevel="0" collapsed="false">
      <c r="A417" s="0" t="str">
        <f aca="false">IFERROR(IF(Productos!A417="","",Productos!A417),"")</f>
        <v/>
      </c>
      <c r="B417" s="0" t="str">
        <f aca="false">IFERROR(IF(Productos!A417="","",Productos!B417),"")</f>
        <v/>
      </c>
      <c r="C417" s="0" t="str">
        <f aca="false">IFERROR(IF(Productos!A417="","",Productos!C417),"")</f>
        <v/>
      </c>
      <c r="D417" s="0" t="str">
        <f aca="false">IFERROR(IF(Productos!A417="","",Productos!E417),"")</f>
        <v/>
      </c>
      <c r="E417" s="6" t="str">
        <f aca="false">IFERROR(IF(A417="","",SUMIFS(Movimientos!E:E, Movimientos!D:D, A417, Movimientos!C:C, "Ingreso", Movimientos!G:G, "TIN")+SUMIFS(Movimientos!E:E, Movimientos!D:D, A417, Movimientos!C:C, "Traslado", Movimientos!G:G, "TIN")-SUMIFS(Movimientos!E:E, Movimientos!D:D, A417, Movimientos!C:C, "Traslado", Movimientos!F:F, "TIN")-SUMIFS(Movimientos!E:E, Movimientos!D:D, A417, Movimientos!C:C, "Egreso", Movimientos!F:F, "TIN")+SUMIFS(Movimientos!E:E, Movimientos!D:D, A417, Movimientos!C:C, "Ajuste", Movimientos!F:F, "TIN")),"")</f>
        <v/>
      </c>
      <c r="F417" s="6" t="str">
        <f aca="false">IFERROR(IF(A417="","",SUMIFS(Movimientos!E:E, Movimientos!D:D, A417, Movimientos!C:C, "Ingreso", Movimientos!G:G, "G1000")+SUMIFS(Movimientos!E:E, Movimientos!D:D, A417, Movimientos!C:C, "Traslado", Movimientos!G:G, "G1000")-SUMIFS(Movimientos!E:E, Movimientos!D:D, A417, Movimientos!C:C, "Traslado", Movimientos!F:F, "G1000")-SUMIFS(Movimientos!E:E, Movimientos!D:D, A417, Movimientos!C:C, "Egreso", Movimientos!F:F, "G1000")+SUMIFS(Movimientos!E:E, Movimientos!D:D, A417, Movimientos!C:C, "Ajuste", Movimientos!F:F, "G1000")),"")</f>
        <v/>
      </c>
      <c r="G417" s="6" t="str">
        <f aca="false">IFERROR(IF(A417="","",SUMIFS(Movimientos!E:E, Movimientos!D:D, A417, Movimientos!C:C, "Ingreso", Movimientos!G:G, "G710")+SUMIFS(Movimientos!E:E, Movimientos!D:D, A417, Movimientos!C:C, "Traslado", Movimientos!G:G, "G710")-SUMIFS(Movimientos!E:E, Movimientos!D:D, A417, Movimientos!C:C, "Traslado", Movimientos!F:F, "G710")-SUMIFS(Movimientos!E:E, Movimientos!D:D, A417, Movimientos!C:C, "Egreso", Movimientos!F:F, "G710")+SUMIFS(Movimientos!E:E, Movimientos!D:D, A417, Movimientos!C:C, "Ajuste", Movimientos!F:F, "G710")),"")</f>
        <v/>
      </c>
      <c r="H417" s="6" t="str">
        <f aca="false">IFERROR(IF(A417="","",SUMIFS(Movimientos!E:E, Movimientos!D:D, A417, Movimientos!C:C, "Ingreso", Movimientos!G:G, "G5000")+SUMIFS(Movimientos!E:E, Movimientos!D:D, A417, Movimientos!C:C, "Traslado", Movimientos!G:G, "G5000")-SUMIFS(Movimientos!E:E, Movimientos!D:D, A417, Movimientos!C:C, "Traslado", Movimientos!F:F, "G5000")-SUMIFS(Movimientos!E:E, Movimientos!D:D, A417, Movimientos!C:C, "Egreso", Movimientos!F:F, "G5000")+SUMIFS(Movimientos!E:E, Movimientos!D:D, A417, Movimientos!C:C, "Ajuste", Movimientos!F:F, "G5000")),"")</f>
        <v/>
      </c>
      <c r="I417" s="6" t="str">
        <f aca="false">IFERROR(IF(A417="","",SUMIFS(Movimientos!E:E, Movimientos!D:D, A417, Movimientos!C:C, "Ingreso", Movimientos!G:G, "G3")+SUMIFS(Movimientos!E:E, Movimientos!D:D, A417, Movimientos!C:C, "Traslado", Movimientos!G:G, "G3")-SUMIFS(Movimientos!E:E, Movimientos!D:D, A417, Movimientos!C:C, "Traslado", Movimientos!F:F, "G3")-SUMIFS(Movimientos!E:E, Movimientos!D:D, A417, Movimientos!C:C, "Egreso", Movimientos!F:F, "G3")+SUMIFS(Movimientos!E:E, Movimientos!D:D, A417, Movimientos!C:C, "Ajuste", Movimientos!F:F, "G3")),"")</f>
        <v/>
      </c>
      <c r="J417" s="6" t="str">
        <f aca="false">IFERROR(IF(A417="","",SUM(E417:I417)),"")</f>
        <v/>
      </c>
      <c r="K417" s="6" t="str">
        <f aca="false">IFERROR(IF(A417="","",SUMIFS(Movimientos!E:E, Movimientos!D:D, A417, Movimientos!C:C, "Reserva")-SUMIFS(Movimientos!E:E, Movimientos!D:D, A417, Movimientos!C:C, "Libera_Reserva")),"")</f>
        <v/>
      </c>
      <c r="L417" s="6" t="str">
        <f aca="false">IFERROR(IF(A417="","",J417-K417),"")</f>
        <v/>
      </c>
      <c r="M417" s="6" t="str">
        <f aca="false">IFERROR(IF(Productos!A417="","",Productos!G417),"")</f>
        <v/>
      </c>
      <c r="N417" s="6" t="str">
        <f aca="false">IFERROR(IF(A417="","",IF(L417&lt;M417,"BAJO STOCK","OK")),"")</f>
        <v/>
      </c>
    </row>
    <row r="418" customFormat="false" ht="15" hidden="false" customHeight="false" outlineLevel="0" collapsed="false">
      <c r="A418" s="0" t="str">
        <f aca="false">IFERROR(IF(Productos!A418="","",Productos!A418),"")</f>
        <v/>
      </c>
      <c r="B418" s="0" t="str">
        <f aca="false">IFERROR(IF(Productos!A418="","",Productos!B418),"")</f>
        <v/>
      </c>
      <c r="C418" s="0" t="str">
        <f aca="false">IFERROR(IF(Productos!A418="","",Productos!C418),"")</f>
        <v/>
      </c>
      <c r="D418" s="0" t="str">
        <f aca="false">IFERROR(IF(Productos!A418="","",Productos!E418),"")</f>
        <v/>
      </c>
      <c r="E418" s="6" t="str">
        <f aca="false">IFERROR(IF(A418="","",SUMIFS(Movimientos!E:E, Movimientos!D:D, A418, Movimientos!C:C, "Ingreso", Movimientos!G:G, "TIN")+SUMIFS(Movimientos!E:E, Movimientos!D:D, A418, Movimientos!C:C, "Traslado", Movimientos!G:G, "TIN")-SUMIFS(Movimientos!E:E, Movimientos!D:D, A418, Movimientos!C:C, "Traslado", Movimientos!F:F, "TIN")-SUMIFS(Movimientos!E:E, Movimientos!D:D, A418, Movimientos!C:C, "Egreso", Movimientos!F:F, "TIN")+SUMIFS(Movimientos!E:E, Movimientos!D:D, A418, Movimientos!C:C, "Ajuste", Movimientos!F:F, "TIN")),"")</f>
        <v/>
      </c>
      <c r="F418" s="6" t="str">
        <f aca="false">IFERROR(IF(A418="","",SUMIFS(Movimientos!E:E, Movimientos!D:D, A418, Movimientos!C:C, "Ingreso", Movimientos!G:G, "G1000")+SUMIFS(Movimientos!E:E, Movimientos!D:D, A418, Movimientos!C:C, "Traslado", Movimientos!G:G, "G1000")-SUMIFS(Movimientos!E:E, Movimientos!D:D, A418, Movimientos!C:C, "Traslado", Movimientos!F:F, "G1000")-SUMIFS(Movimientos!E:E, Movimientos!D:D, A418, Movimientos!C:C, "Egreso", Movimientos!F:F, "G1000")+SUMIFS(Movimientos!E:E, Movimientos!D:D, A418, Movimientos!C:C, "Ajuste", Movimientos!F:F, "G1000")),"")</f>
        <v/>
      </c>
      <c r="G418" s="6" t="str">
        <f aca="false">IFERROR(IF(A418="","",SUMIFS(Movimientos!E:E, Movimientos!D:D, A418, Movimientos!C:C, "Ingreso", Movimientos!G:G, "G710")+SUMIFS(Movimientos!E:E, Movimientos!D:D, A418, Movimientos!C:C, "Traslado", Movimientos!G:G, "G710")-SUMIFS(Movimientos!E:E, Movimientos!D:D, A418, Movimientos!C:C, "Traslado", Movimientos!F:F, "G710")-SUMIFS(Movimientos!E:E, Movimientos!D:D, A418, Movimientos!C:C, "Egreso", Movimientos!F:F, "G710")+SUMIFS(Movimientos!E:E, Movimientos!D:D, A418, Movimientos!C:C, "Ajuste", Movimientos!F:F, "G710")),"")</f>
        <v/>
      </c>
      <c r="H418" s="6" t="str">
        <f aca="false">IFERROR(IF(A418="","",SUMIFS(Movimientos!E:E, Movimientos!D:D, A418, Movimientos!C:C, "Ingreso", Movimientos!G:G, "G5000")+SUMIFS(Movimientos!E:E, Movimientos!D:D, A418, Movimientos!C:C, "Traslado", Movimientos!G:G, "G5000")-SUMIFS(Movimientos!E:E, Movimientos!D:D, A418, Movimientos!C:C, "Traslado", Movimientos!F:F, "G5000")-SUMIFS(Movimientos!E:E, Movimientos!D:D, A418, Movimientos!C:C, "Egreso", Movimientos!F:F, "G5000")+SUMIFS(Movimientos!E:E, Movimientos!D:D, A418, Movimientos!C:C, "Ajuste", Movimientos!F:F, "G5000")),"")</f>
        <v/>
      </c>
      <c r="I418" s="6" t="str">
        <f aca="false">IFERROR(IF(A418="","",SUMIFS(Movimientos!E:E, Movimientos!D:D, A418, Movimientos!C:C, "Ingreso", Movimientos!G:G, "G3")+SUMIFS(Movimientos!E:E, Movimientos!D:D, A418, Movimientos!C:C, "Traslado", Movimientos!G:G, "G3")-SUMIFS(Movimientos!E:E, Movimientos!D:D, A418, Movimientos!C:C, "Traslado", Movimientos!F:F, "G3")-SUMIFS(Movimientos!E:E, Movimientos!D:D, A418, Movimientos!C:C, "Egreso", Movimientos!F:F, "G3")+SUMIFS(Movimientos!E:E, Movimientos!D:D, A418, Movimientos!C:C, "Ajuste", Movimientos!F:F, "G3")),"")</f>
        <v/>
      </c>
      <c r="J418" s="6" t="str">
        <f aca="false">IFERROR(IF(A418="","",SUM(E418:I418)),"")</f>
        <v/>
      </c>
      <c r="K418" s="6" t="str">
        <f aca="false">IFERROR(IF(A418="","",SUMIFS(Movimientos!E:E, Movimientos!D:D, A418, Movimientos!C:C, "Reserva")-SUMIFS(Movimientos!E:E, Movimientos!D:D, A418, Movimientos!C:C, "Libera_Reserva")),"")</f>
        <v/>
      </c>
      <c r="L418" s="6" t="str">
        <f aca="false">IFERROR(IF(A418="","",J418-K418),"")</f>
        <v/>
      </c>
      <c r="M418" s="6" t="str">
        <f aca="false">IFERROR(IF(Productos!A418="","",Productos!G418),"")</f>
        <v/>
      </c>
      <c r="N418" s="6" t="str">
        <f aca="false">IFERROR(IF(A418="","",IF(L418&lt;M418,"BAJO STOCK","OK")),"")</f>
        <v/>
      </c>
    </row>
    <row r="419" customFormat="false" ht="15" hidden="false" customHeight="false" outlineLevel="0" collapsed="false">
      <c r="A419" s="0" t="str">
        <f aca="false">IFERROR(IF(Productos!A419="","",Productos!A419),"")</f>
        <v/>
      </c>
      <c r="B419" s="0" t="str">
        <f aca="false">IFERROR(IF(Productos!A419="","",Productos!B419),"")</f>
        <v/>
      </c>
      <c r="C419" s="0" t="str">
        <f aca="false">IFERROR(IF(Productos!A419="","",Productos!C419),"")</f>
        <v/>
      </c>
      <c r="D419" s="0" t="str">
        <f aca="false">IFERROR(IF(Productos!A419="","",Productos!E419),"")</f>
        <v/>
      </c>
      <c r="E419" s="6" t="str">
        <f aca="false">IFERROR(IF(A419="","",SUMIFS(Movimientos!E:E, Movimientos!D:D, A419, Movimientos!C:C, "Ingreso", Movimientos!G:G, "TIN")+SUMIFS(Movimientos!E:E, Movimientos!D:D, A419, Movimientos!C:C, "Traslado", Movimientos!G:G, "TIN")-SUMIFS(Movimientos!E:E, Movimientos!D:D, A419, Movimientos!C:C, "Traslado", Movimientos!F:F, "TIN")-SUMIFS(Movimientos!E:E, Movimientos!D:D, A419, Movimientos!C:C, "Egreso", Movimientos!F:F, "TIN")+SUMIFS(Movimientos!E:E, Movimientos!D:D, A419, Movimientos!C:C, "Ajuste", Movimientos!F:F, "TIN")),"")</f>
        <v/>
      </c>
      <c r="F419" s="6" t="str">
        <f aca="false">IFERROR(IF(A419="","",SUMIFS(Movimientos!E:E, Movimientos!D:D, A419, Movimientos!C:C, "Ingreso", Movimientos!G:G, "G1000")+SUMIFS(Movimientos!E:E, Movimientos!D:D, A419, Movimientos!C:C, "Traslado", Movimientos!G:G, "G1000")-SUMIFS(Movimientos!E:E, Movimientos!D:D, A419, Movimientos!C:C, "Traslado", Movimientos!F:F, "G1000")-SUMIFS(Movimientos!E:E, Movimientos!D:D, A419, Movimientos!C:C, "Egreso", Movimientos!F:F, "G1000")+SUMIFS(Movimientos!E:E, Movimientos!D:D, A419, Movimientos!C:C, "Ajuste", Movimientos!F:F, "G1000")),"")</f>
        <v/>
      </c>
      <c r="G419" s="6" t="str">
        <f aca="false">IFERROR(IF(A419="","",SUMIFS(Movimientos!E:E, Movimientos!D:D, A419, Movimientos!C:C, "Ingreso", Movimientos!G:G, "G710")+SUMIFS(Movimientos!E:E, Movimientos!D:D, A419, Movimientos!C:C, "Traslado", Movimientos!G:G, "G710")-SUMIFS(Movimientos!E:E, Movimientos!D:D, A419, Movimientos!C:C, "Traslado", Movimientos!F:F, "G710")-SUMIFS(Movimientos!E:E, Movimientos!D:D, A419, Movimientos!C:C, "Egreso", Movimientos!F:F, "G710")+SUMIFS(Movimientos!E:E, Movimientos!D:D, A419, Movimientos!C:C, "Ajuste", Movimientos!F:F, "G710")),"")</f>
        <v/>
      </c>
      <c r="H419" s="6" t="str">
        <f aca="false">IFERROR(IF(A419="","",SUMIFS(Movimientos!E:E, Movimientos!D:D, A419, Movimientos!C:C, "Ingreso", Movimientos!G:G, "G5000")+SUMIFS(Movimientos!E:E, Movimientos!D:D, A419, Movimientos!C:C, "Traslado", Movimientos!G:G, "G5000")-SUMIFS(Movimientos!E:E, Movimientos!D:D, A419, Movimientos!C:C, "Traslado", Movimientos!F:F, "G5000")-SUMIFS(Movimientos!E:E, Movimientos!D:D, A419, Movimientos!C:C, "Egreso", Movimientos!F:F, "G5000")+SUMIFS(Movimientos!E:E, Movimientos!D:D, A419, Movimientos!C:C, "Ajuste", Movimientos!F:F, "G5000")),"")</f>
        <v/>
      </c>
      <c r="I419" s="6" t="str">
        <f aca="false">IFERROR(IF(A419="","",SUMIFS(Movimientos!E:E, Movimientos!D:D, A419, Movimientos!C:C, "Ingreso", Movimientos!G:G, "G3")+SUMIFS(Movimientos!E:E, Movimientos!D:D, A419, Movimientos!C:C, "Traslado", Movimientos!G:G, "G3")-SUMIFS(Movimientos!E:E, Movimientos!D:D, A419, Movimientos!C:C, "Traslado", Movimientos!F:F, "G3")-SUMIFS(Movimientos!E:E, Movimientos!D:D, A419, Movimientos!C:C, "Egreso", Movimientos!F:F, "G3")+SUMIFS(Movimientos!E:E, Movimientos!D:D, A419, Movimientos!C:C, "Ajuste", Movimientos!F:F, "G3")),"")</f>
        <v/>
      </c>
      <c r="J419" s="6" t="str">
        <f aca="false">IFERROR(IF(A419="","",SUM(E419:I419)),"")</f>
        <v/>
      </c>
      <c r="K419" s="6" t="str">
        <f aca="false">IFERROR(IF(A419="","",SUMIFS(Movimientos!E:E, Movimientos!D:D, A419, Movimientos!C:C, "Reserva")-SUMIFS(Movimientos!E:E, Movimientos!D:D, A419, Movimientos!C:C, "Libera_Reserva")),"")</f>
        <v/>
      </c>
      <c r="L419" s="6" t="str">
        <f aca="false">IFERROR(IF(A419="","",J419-K419),"")</f>
        <v/>
      </c>
      <c r="M419" s="6" t="str">
        <f aca="false">IFERROR(IF(Productos!A419="","",Productos!G419),"")</f>
        <v/>
      </c>
      <c r="N419" s="6" t="str">
        <f aca="false">IFERROR(IF(A419="","",IF(L419&lt;M419,"BAJO STOCK","OK")),"")</f>
        <v/>
      </c>
    </row>
    <row r="420" customFormat="false" ht="15" hidden="false" customHeight="false" outlineLevel="0" collapsed="false">
      <c r="A420" s="0" t="str">
        <f aca="false">IFERROR(IF(Productos!A420="","",Productos!A420),"")</f>
        <v/>
      </c>
      <c r="B420" s="0" t="str">
        <f aca="false">IFERROR(IF(Productos!A420="","",Productos!B420),"")</f>
        <v/>
      </c>
      <c r="C420" s="0" t="str">
        <f aca="false">IFERROR(IF(Productos!A420="","",Productos!C420),"")</f>
        <v/>
      </c>
      <c r="D420" s="0" t="str">
        <f aca="false">IFERROR(IF(Productos!A420="","",Productos!E420),"")</f>
        <v/>
      </c>
      <c r="E420" s="6" t="str">
        <f aca="false">IFERROR(IF(A420="","",SUMIFS(Movimientos!E:E, Movimientos!D:D, A420, Movimientos!C:C, "Ingreso", Movimientos!G:G, "TIN")+SUMIFS(Movimientos!E:E, Movimientos!D:D, A420, Movimientos!C:C, "Traslado", Movimientos!G:G, "TIN")-SUMIFS(Movimientos!E:E, Movimientos!D:D, A420, Movimientos!C:C, "Traslado", Movimientos!F:F, "TIN")-SUMIFS(Movimientos!E:E, Movimientos!D:D, A420, Movimientos!C:C, "Egreso", Movimientos!F:F, "TIN")+SUMIFS(Movimientos!E:E, Movimientos!D:D, A420, Movimientos!C:C, "Ajuste", Movimientos!F:F, "TIN")),"")</f>
        <v/>
      </c>
      <c r="F420" s="6" t="str">
        <f aca="false">IFERROR(IF(A420="","",SUMIFS(Movimientos!E:E, Movimientos!D:D, A420, Movimientos!C:C, "Ingreso", Movimientos!G:G, "G1000")+SUMIFS(Movimientos!E:E, Movimientos!D:D, A420, Movimientos!C:C, "Traslado", Movimientos!G:G, "G1000")-SUMIFS(Movimientos!E:E, Movimientos!D:D, A420, Movimientos!C:C, "Traslado", Movimientos!F:F, "G1000")-SUMIFS(Movimientos!E:E, Movimientos!D:D, A420, Movimientos!C:C, "Egreso", Movimientos!F:F, "G1000")+SUMIFS(Movimientos!E:E, Movimientos!D:D, A420, Movimientos!C:C, "Ajuste", Movimientos!F:F, "G1000")),"")</f>
        <v/>
      </c>
      <c r="G420" s="6" t="str">
        <f aca="false">IFERROR(IF(A420="","",SUMIFS(Movimientos!E:E, Movimientos!D:D, A420, Movimientos!C:C, "Ingreso", Movimientos!G:G, "G710")+SUMIFS(Movimientos!E:E, Movimientos!D:D, A420, Movimientos!C:C, "Traslado", Movimientos!G:G, "G710")-SUMIFS(Movimientos!E:E, Movimientos!D:D, A420, Movimientos!C:C, "Traslado", Movimientos!F:F, "G710")-SUMIFS(Movimientos!E:E, Movimientos!D:D, A420, Movimientos!C:C, "Egreso", Movimientos!F:F, "G710")+SUMIFS(Movimientos!E:E, Movimientos!D:D, A420, Movimientos!C:C, "Ajuste", Movimientos!F:F, "G710")),"")</f>
        <v/>
      </c>
      <c r="H420" s="6" t="str">
        <f aca="false">IFERROR(IF(A420="","",SUMIFS(Movimientos!E:E, Movimientos!D:D, A420, Movimientos!C:C, "Ingreso", Movimientos!G:G, "G5000")+SUMIFS(Movimientos!E:E, Movimientos!D:D, A420, Movimientos!C:C, "Traslado", Movimientos!G:G, "G5000")-SUMIFS(Movimientos!E:E, Movimientos!D:D, A420, Movimientos!C:C, "Traslado", Movimientos!F:F, "G5000")-SUMIFS(Movimientos!E:E, Movimientos!D:D, A420, Movimientos!C:C, "Egreso", Movimientos!F:F, "G5000")+SUMIFS(Movimientos!E:E, Movimientos!D:D, A420, Movimientos!C:C, "Ajuste", Movimientos!F:F, "G5000")),"")</f>
        <v/>
      </c>
      <c r="I420" s="6" t="str">
        <f aca="false">IFERROR(IF(A420="","",SUMIFS(Movimientos!E:E, Movimientos!D:D, A420, Movimientos!C:C, "Ingreso", Movimientos!G:G, "G3")+SUMIFS(Movimientos!E:E, Movimientos!D:D, A420, Movimientos!C:C, "Traslado", Movimientos!G:G, "G3")-SUMIFS(Movimientos!E:E, Movimientos!D:D, A420, Movimientos!C:C, "Traslado", Movimientos!F:F, "G3")-SUMIFS(Movimientos!E:E, Movimientos!D:D, A420, Movimientos!C:C, "Egreso", Movimientos!F:F, "G3")+SUMIFS(Movimientos!E:E, Movimientos!D:D, A420, Movimientos!C:C, "Ajuste", Movimientos!F:F, "G3")),"")</f>
        <v/>
      </c>
      <c r="J420" s="6" t="str">
        <f aca="false">IFERROR(IF(A420="","",SUM(E420:I420)),"")</f>
        <v/>
      </c>
      <c r="K420" s="6" t="str">
        <f aca="false">IFERROR(IF(A420="","",SUMIFS(Movimientos!E:E, Movimientos!D:D, A420, Movimientos!C:C, "Reserva")-SUMIFS(Movimientos!E:E, Movimientos!D:D, A420, Movimientos!C:C, "Libera_Reserva")),"")</f>
        <v/>
      </c>
      <c r="L420" s="6" t="str">
        <f aca="false">IFERROR(IF(A420="","",J420-K420),"")</f>
        <v/>
      </c>
      <c r="M420" s="6" t="str">
        <f aca="false">IFERROR(IF(Productos!A420="","",Productos!G420),"")</f>
        <v/>
      </c>
      <c r="N420" s="6" t="str">
        <f aca="false">IFERROR(IF(A420="","",IF(L420&lt;M420,"BAJO STOCK","OK")),"")</f>
        <v/>
      </c>
    </row>
    <row r="421" customFormat="false" ht="15" hidden="false" customHeight="false" outlineLevel="0" collapsed="false">
      <c r="A421" s="0" t="str">
        <f aca="false">IFERROR(IF(Productos!A421="","",Productos!A421),"")</f>
        <v/>
      </c>
      <c r="B421" s="0" t="str">
        <f aca="false">IFERROR(IF(Productos!A421="","",Productos!B421),"")</f>
        <v/>
      </c>
      <c r="C421" s="0" t="str">
        <f aca="false">IFERROR(IF(Productos!A421="","",Productos!C421),"")</f>
        <v/>
      </c>
      <c r="D421" s="0" t="str">
        <f aca="false">IFERROR(IF(Productos!A421="","",Productos!E421),"")</f>
        <v/>
      </c>
      <c r="E421" s="6" t="str">
        <f aca="false">IFERROR(IF(A421="","",SUMIFS(Movimientos!E:E, Movimientos!D:D, A421, Movimientos!C:C, "Ingreso", Movimientos!G:G, "TIN")+SUMIFS(Movimientos!E:E, Movimientos!D:D, A421, Movimientos!C:C, "Traslado", Movimientos!G:G, "TIN")-SUMIFS(Movimientos!E:E, Movimientos!D:D, A421, Movimientos!C:C, "Traslado", Movimientos!F:F, "TIN")-SUMIFS(Movimientos!E:E, Movimientos!D:D, A421, Movimientos!C:C, "Egreso", Movimientos!F:F, "TIN")+SUMIFS(Movimientos!E:E, Movimientos!D:D, A421, Movimientos!C:C, "Ajuste", Movimientos!F:F, "TIN")),"")</f>
        <v/>
      </c>
      <c r="F421" s="6" t="str">
        <f aca="false">IFERROR(IF(A421="","",SUMIFS(Movimientos!E:E, Movimientos!D:D, A421, Movimientos!C:C, "Ingreso", Movimientos!G:G, "G1000")+SUMIFS(Movimientos!E:E, Movimientos!D:D, A421, Movimientos!C:C, "Traslado", Movimientos!G:G, "G1000")-SUMIFS(Movimientos!E:E, Movimientos!D:D, A421, Movimientos!C:C, "Traslado", Movimientos!F:F, "G1000")-SUMIFS(Movimientos!E:E, Movimientos!D:D, A421, Movimientos!C:C, "Egreso", Movimientos!F:F, "G1000")+SUMIFS(Movimientos!E:E, Movimientos!D:D, A421, Movimientos!C:C, "Ajuste", Movimientos!F:F, "G1000")),"")</f>
        <v/>
      </c>
      <c r="G421" s="6" t="str">
        <f aca="false">IFERROR(IF(A421="","",SUMIFS(Movimientos!E:E, Movimientos!D:D, A421, Movimientos!C:C, "Ingreso", Movimientos!G:G, "G710")+SUMIFS(Movimientos!E:E, Movimientos!D:D, A421, Movimientos!C:C, "Traslado", Movimientos!G:G, "G710")-SUMIFS(Movimientos!E:E, Movimientos!D:D, A421, Movimientos!C:C, "Traslado", Movimientos!F:F, "G710")-SUMIFS(Movimientos!E:E, Movimientos!D:D, A421, Movimientos!C:C, "Egreso", Movimientos!F:F, "G710")+SUMIFS(Movimientos!E:E, Movimientos!D:D, A421, Movimientos!C:C, "Ajuste", Movimientos!F:F, "G710")),"")</f>
        <v/>
      </c>
      <c r="H421" s="6" t="str">
        <f aca="false">IFERROR(IF(A421="","",SUMIFS(Movimientos!E:E, Movimientos!D:D, A421, Movimientos!C:C, "Ingreso", Movimientos!G:G, "G5000")+SUMIFS(Movimientos!E:E, Movimientos!D:D, A421, Movimientos!C:C, "Traslado", Movimientos!G:G, "G5000")-SUMIFS(Movimientos!E:E, Movimientos!D:D, A421, Movimientos!C:C, "Traslado", Movimientos!F:F, "G5000")-SUMIFS(Movimientos!E:E, Movimientos!D:D, A421, Movimientos!C:C, "Egreso", Movimientos!F:F, "G5000")+SUMIFS(Movimientos!E:E, Movimientos!D:D, A421, Movimientos!C:C, "Ajuste", Movimientos!F:F, "G5000")),"")</f>
        <v/>
      </c>
      <c r="I421" s="6" t="str">
        <f aca="false">IFERROR(IF(A421="","",SUMIFS(Movimientos!E:E, Movimientos!D:D, A421, Movimientos!C:C, "Ingreso", Movimientos!G:G, "G3")+SUMIFS(Movimientos!E:E, Movimientos!D:D, A421, Movimientos!C:C, "Traslado", Movimientos!G:G, "G3")-SUMIFS(Movimientos!E:E, Movimientos!D:D, A421, Movimientos!C:C, "Traslado", Movimientos!F:F, "G3")-SUMIFS(Movimientos!E:E, Movimientos!D:D, A421, Movimientos!C:C, "Egreso", Movimientos!F:F, "G3")+SUMIFS(Movimientos!E:E, Movimientos!D:D, A421, Movimientos!C:C, "Ajuste", Movimientos!F:F, "G3")),"")</f>
        <v/>
      </c>
      <c r="J421" s="6" t="str">
        <f aca="false">IFERROR(IF(A421="","",SUM(E421:I421)),"")</f>
        <v/>
      </c>
      <c r="K421" s="6" t="str">
        <f aca="false">IFERROR(IF(A421="","",SUMIFS(Movimientos!E:E, Movimientos!D:D, A421, Movimientos!C:C, "Reserva")-SUMIFS(Movimientos!E:E, Movimientos!D:D, A421, Movimientos!C:C, "Libera_Reserva")),"")</f>
        <v/>
      </c>
      <c r="L421" s="6" t="str">
        <f aca="false">IFERROR(IF(A421="","",J421-K421),"")</f>
        <v/>
      </c>
      <c r="M421" s="6" t="str">
        <f aca="false">IFERROR(IF(Productos!A421="","",Productos!G421),"")</f>
        <v/>
      </c>
      <c r="N421" s="6" t="str">
        <f aca="false">IFERROR(IF(A421="","",IF(L421&lt;M421,"BAJO STOCK","OK")),"")</f>
        <v/>
      </c>
    </row>
    <row r="422" customFormat="false" ht="15" hidden="false" customHeight="false" outlineLevel="0" collapsed="false">
      <c r="A422" s="0" t="str">
        <f aca="false">IFERROR(IF(Productos!A422="","",Productos!A422),"")</f>
        <v/>
      </c>
      <c r="B422" s="0" t="str">
        <f aca="false">IFERROR(IF(Productos!A422="","",Productos!B422),"")</f>
        <v/>
      </c>
      <c r="C422" s="0" t="str">
        <f aca="false">IFERROR(IF(Productos!A422="","",Productos!C422),"")</f>
        <v/>
      </c>
      <c r="D422" s="0" t="str">
        <f aca="false">IFERROR(IF(Productos!A422="","",Productos!E422),"")</f>
        <v/>
      </c>
      <c r="E422" s="6" t="str">
        <f aca="false">IFERROR(IF(A422="","",SUMIFS(Movimientos!E:E, Movimientos!D:D, A422, Movimientos!C:C, "Ingreso", Movimientos!G:G, "TIN")+SUMIFS(Movimientos!E:E, Movimientos!D:D, A422, Movimientos!C:C, "Traslado", Movimientos!G:G, "TIN")-SUMIFS(Movimientos!E:E, Movimientos!D:D, A422, Movimientos!C:C, "Traslado", Movimientos!F:F, "TIN")-SUMIFS(Movimientos!E:E, Movimientos!D:D, A422, Movimientos!C:C, "Egreso", Movimientos!F:F, "TIN")+SUMIFS(Movimientos!E:E, Movimientos!D:D, A422, Movimientos!C:C, "Ajuste", Movimientos!F:F, "TIN")),"")</f>
        <v/>
      </c>
      <c r="F422" s="6" t="str">
        <f aca="false">IFERROR(IF(A422="","",SUMIFS(Movimientos!E:E, Movimientos!D:D, A422, Movimientos!C:C, "Ingreso", Movimientos!G:G, "G1000")+SUMIFS(Movimientos!E:E, Movimientos!D:D, A422, Movimientos!C:C, "Traslado", Movimientos!G:G, "G1000")-SUMIFS(Movimientos!E:E, Movimientos!D:D, A422, Movimientos!C:C, "Traslado", Movimientos!F:F, "G1000")-SUMIFS(Movimientos!E:E, Movimientos!D:D, A422, Movimientos!C:C, "Egreso", Movimientos!F:F, "G1000")+SUMIFS(Movimientos!E:E, Movimientos!D:D, A422, Movimientos!C:C, "Ajuste", Movimientos!F:F, "G1000")),"")</f>
        <v/>
      </c>
      <c r="G422" s="6" t="str">
        <f aca="false">IFERROR(IF(A422="","",SUMIFS(Movimientos!E:E, Movimientos!D:D, A422, Movimientos!C:C, "Ingreso", Movimientos!G:G, "G710")+SUMIFS(Movimientos!E:E, Movimientos!D:D, A422, Movimientos!C:C, "Traslado", Movimientos!G:G, "G710")-SUMIFS(Movimientos!E:E, Movimientos!D:D, A422, Movimientos!C:C, "Traslado", Movimientos!F:F, "G710")-SUMIFS(Movimientos!E:E, Movimientos!D:D, A422, Movimientos!C:C, "Egreso", Movimientos!F:F, "G710")+SUMIFS(Movimientos!E:E, Movimientos!D:D, A422, Movimientos!C:C, "Ajuste", Movimientos!F:F, "G710")),"")</f>
        <v/>
      </c>
      <c r="H422" s="6" t="str">
        <f aca="false">IFERROR(IF(A422="","",SUMIFS(Movimientos!E:E, Movimientos!D:D, A422, Movimientos!C:C, "Ingreso", Movimientos!G:G, "G5000")+SUMIFS(Movimientos!E:E, Movimientos!D:D, A422, Movimientos!C:C, "Traslado", Movimientos!G:G, "G5000")-SUMIFS(Movimientos!E:E, Movimientos!D:D, A422, Movimientos!C:C, "Traslado", Movimientos!F:F, "G5000")-SUMIFS(Movimientos!E:E, Movimientos!D:D, A422, Movimientos!C:C, "Egreso", Movimientos!F:F, "G5000")+SUMIFS(Movimientos!E:E, Movimientos!D:D, A422, Movimientos!C:C, "Ajuste", Movimientos!F:F, "G5000")),"")</f>
        <v/>
      </c>
      <c r="I422" s="6" t="str">
        <f aca="false">IFERROR(IF(A422="","",SUMIFS(Movimientos!E:E, Movimientos!D:D, A422, Movimientos!C:C, "Ingreso", Movimientos!G:G, "G3")+SUMIFS(Movimientos!E:E, Movimientos!D:D, A422, Movimientos!C:C, "Traslado", Movimientos!G:G, "G3")-SUMIFS(Movimientos!E:E, Movimientos!D:D, A422, Movimientos!C:C, "Traslado", Movimientos!F:F, "G3")-SUMIFS(Movimientos!E:E, Movimientos!D:D, A422, Movimientos!C:C, "Egreso", Movimientos!F:F, "G3")+SUMIFS(Movimientos!E:E, Movimientos!D:D, A422, Movimientos!C:C, "Ajuste", Movimientos!F:F, "G3")),"")</f>
        <v/>
      </c>
      <c r="J422" s="6" t="str">
        <f aca="false">IFERROR(IF(A422="","",SUM(E422:I422)),"")</f>
        <v/>
      </c>
      <c r="K422" s="6" t="str">
        <f aca="false">IFERROR(IF(A422="","",SUMIFS(Movimientos!E:E, Movimientos!D:D, A422, Movimientos!C:C, "Reserva")-SUMIFS(Movimientos!E:E, Movimientos!D:D, A422, Movimientos!C:C, "Libera_Reserva")),"")</f>
        <v/>
      </c>
      <c r="L422" s="6" t="str">
        <f aca="false">IFERROR(IF(A422="","",J422-K422),"")</f>
        <v/>
      </c>
      <c r="M422" s="6" t="str">
        <f aca="false">IFERROR(IF(Productos!A422="","",Productos!G422),"")</f>
        <v/>
      </c>
      <c r="N422" s="6" t="str">
        <f aca="false">IFERROR(IF(A422="","",IF(L422&lt;M422,"BAJO STOCK","OK")),"")</f>
        <v/>
      </c>
    </row>
    <row r="423" customFormat="false" ht="15" hidden="false" customHeight="false" outlineLevel="0" collapsed="false">
      <c r="A423" s="0" t="str">
        <f aca="false">IFERROR(IF(Productos!A423="","",Productos!A423),"")</f>
        <v/>
      </c>
      <c r="B423" s="0" t="str">
        <f aca="false">IFERROR(IF(Productos!A423="","",Productos!B423),"")</f>
        <v/>
      </c>
      <c r="C423" s="0" t="str">
        <f aca="false">IFERROR(IF(Productos!A423="","",Productos!C423),"")</f>
        <v/>
      </c>
      <c r="D423" s="0" t="str">
        <f aca="false">IFERROR(IF(Productos!A423="","",Productos!E423),"")</f>
        <v/>
      </c>
      <c r="E423" s="6" t="str">
        <f aca="false">IFERROR(IF(A423="","",SUMIFS(Movimientos!E:E, Movimientos!D:D, A423, Movimientos!C:C, "Ingreso", Movimientos!G:G, "TIN")+SUMIFS(Movimientos!E:E, Movimientos!D:D, A423, Movimientos!C:C, "Traslado", Movimientos!G:G, "TIN")-SUMIFS(Movimientos!E:E, Movimientos!D:D, A423, Movimientos!C:C, "Traslado", Movimientos!F:F, "TIN")-SUMIFS(Movimientos!E:E, Movimientos!D:D, A423, Movimientos!C:C, "Egreso", Movimientos!F:F, "TIN")+SUMIFS(Movimientos!E:E, Movimientos!D:D, A423, Movimientos!C:C, "Ajuste", Movimientos!F:F, "TIN")),"")</f>
        <v/>
      </c>
      <c r="F423" s="6" t="str">
        <f aca="false">IFERROR(IF(A423="","",SUMIFS(Movimientos!E:E, Movimientos!D:D, A423, Movimientos!C:C, "Ingreso", Movimientos!G:G, "G1000")+SUMIFS(Movimientos!E:E, Movimientos!D:D, A423, Movimientos!C:C, "Traslado", Movimientos!G:G, "G1000")-SUMIFS(Movimientos!E:E, Movimientos!D:D, A423, Movimientos!C:C, "Traslado", Movimientos!F:F, "G1000")-SUMIFS(Movimientos!E:E, Movimientos!D:D, A423, Movimientos!C:C, "Egreso", Movimientos!F:F, "G1000")+SUMIFS(Movimientos!E:E, Movimientos!D:D, A423, Movimientos!C:C, "Ajuste", Movimientos!F:F, "G1000")),"")</f>
        <v/>
      </c>
      <c r="G423" s="6" t="str">
        <f aca="false">IFERROR(IF(A423="","",SUMIFS(Movimientos!E:E, Movimientos!D:D, A423, Movimientos!C:C, "Ingreso", Movimientos!G:G, "G710")+SUMIFS(Movimientos!E:E, Movimientos!D:D, A423, Movimientos!C:C, "Traslado", Movimientos!G:G, "G710")-SUMIFS(Movimientos!E:E, Movimientos!D:D, A423, Movimientos!C:C, "Traslado", Movimientos!F:F, "G710")-SUMIFS(Movimientos!E:E, Movimientos!D:D, A423, Movimientos!C:C, "Egreso", Movimientos!F:F, "G710")+SUMIFS(Movimientos!E:E, Movimientos!D:D, A423, Movimientos!C:C, "Ajuste", Movimientos!F:F, "G710")),"")</f>
        <v/>
      </c>
      <c r="H423" s="6" t="str">
        <f aca="false">IFERROR(IF(A423="","",SUMIFS(Movimientos!E:E, Movimientos!D:D, A423, Movimientos!C:C, "Ingreso", Movimientos!G:G, "G5000")+SUMIFS(Movimientos!E:E, Movimientos!D:D, A423, Movimientos!C:C, "Traslado", Movimientos!G:G, "G5000")-SUMIFS(Movimientos!E:E, Movimientos!D:D, A423, Movimientos!C:C, "Traslado", Movimientos!F:F, "G5000")-SUMIFS(Movimientos!E:E, Movimientos!D:D, A423, Movimientos!C:C, "Egreso", Movimientos!F:F, "G5000")+SUMIFS(Movimientos!E:E, Movimientos!D:D, A423, Movimientos!C:C, "Ajuste", Movimientos!F:F, "G5000")),"")</f>
        <v/>
      </c>
      <c r="I423" s="6" t="str">
        <f aca="false">IFERROR(IF(A423="","",SUMIFS(Movimientos!E:E, Movimientos!D:D, A423, Movimientos!C:C, "Ingreso", Movimientos!G:G, "G3")+SUMIFS(Movimientos!E:E, Movimientos!D:D, A423, Movimientos!C:C, "Traslado", Movimientos!G:G, "G3")-SUMIFS(Movimientos!E:E, Movimientos!D:D, A423, Movimientos!C:C, "Traslado", Movimientos!F:F, "G3")-SUMIFS(Movimientos!E:E, Movimientos!D:D, A423, Movimientos!C:C, "Egreso", Movimientos!F:F, "G3")+SUMIFS(Movimientos!E:E, Movimientos!D:D, A423, Movimientos!C:C, "Ajuste", Movimientos!F:F, "G3")),"")</f>
        <v/>
      </c>
      <c r="J423" s="6" t="str">
        <f aca="false">IFERROR(IF(A423="","",SUM(E423:I423)),"")</f>
        <v/>
      </c>
      <c r="K423" s="6" t="str">
        <f aca="false">IFERROR(IF(A423="","",SUMIFS(Movimientos!E:E, Movimientos!D:D, A423, Movimientos!C:C, "Reserva")-SUMIFS(Movimientos!E:E, Movimientos!D:D, A423, Movimientos!C:C, "Libera_Reserva")),"")</f>
        <v/>
      </c>
      <c r="L423" s="6" t="str">
        <f aca="false">IFERROR(IF(A423="","",J423-K423),"")</f>
        <v/>
      </c>
      <c r="M423" s="6" t="str">
        <f aca="false">IFERROR(IF(Productos!A423="","",Productos!G423),"")</f>
        <v/>
      </c>
      <c r="N423" s="6" t="str">
        <f aca="false">IFERROR(IF(A423="","",IF(L423&lt;M423,"BAJO STOCK","OK")),"")</f>
        <v/>
      </c>
    </row>
    <row r="424" customFormat="false" ht="15" hidden="false" customHeight="false" outlineLevel="0" collapsed="false">
      <c r="A424" s="0" t="str">
        <f aca="false">IFERROR(IF(Productos!A424="","",Productos!A424),"")</f>
        <v/>
      </c>
      <c r="B424" s="0" t="str">
        <f aca="false">IFERROR(IF(Productos!A424="","",Productos!B424),"")</f>
        <v/>
      </c>
      <c r="C424" s="0" t="str">
        <f aca="false">IFERROR(IF(Productos!A424="","",Productos!C424),"")</f>
        <v/>
      </c>
      <c r="D424" s="0" t="str">
        <f aca="false">IFERROR(IF(Productos!A424="","",Productos!E424),"")</f>
        <v/>
      </c>
      <c r="E424" s="6" t="str">
        <f aca="false">IFERROR(IF(A424="","",SUMIFS(Movimientos!E:E, Movimientos!D:D, A424, Movimientos!C:C, "Ingreso", Movimientos!G:G, "TIN")+SUMIFS(Movimientos!E:E, Movimientos!D:D, A424, Movimientos!C:C, "Traslado", Movimientos!G:G, "TIN")-SUMIFS(Movimientos!E:E, Movimientos!D:D, A424, Movimientos!C:C, "Traslado", Movimientos!F:F, "TIN")-SUMIFS(Movimientos!E:E, Movimientos!D:D, A424, Movimientos!C:C, "Egreso", Movimientos!F:F, "TIN")+SUMIFS(Movimientos!E:E, Movimientos!D:D, A424, Movimientos!C:C, "Ajuste", Movimientos!F:F, "TIN")),"")</f>
        <v/>
      </c>
      <c r="F424" s="6" t="str">
        <f aca="false">IFERROR(IF(A424="","",SUMIFS(Movimientos!E:E, Movimientos!D:D, A424, Movimientos!C:C, "Ingreso", Movimientos!G:G, "G1000")+SUMIFS(Movimientos!E:E, Movimientos!D:D, A424, Movimientos!C:C, "Traslado", Movimientos!G:G, "G1000")-SUMIFS(Movimientos!E:E, Movimientos!D:D, A424, Movimientos!C:C, "Traslado", Movimientos!F:F, "G1000")-SUMIFS(Movimientos!E:E, Movimientos!D:D, A424, Movimientos!C:C, "Egreso", Movimientos!F:F, "G1000")+SUMIFS(Movimientos!E:E, Movimientos!D:D, A424, Movimientos!C:C, "Ajuste", Movimientos!F:F, "G1000")),"")</f>
        <v/>
      </c>
      <c r="G424" s="6" t="str">
        <f aca="false">IFERROR(IF(A424="","",SUMIFS(Movimientos!E:E, Movimientos!D:D, A424, Movimientos!C:C, "Ingreso", Movimientos!G:G, "G710")+SUMIFS(Movimientos!E:E, Movimientos!D:D, A424, Movimientos!C:C, "Traslado", Movimientos!G:G, "G710")-SUMIFS(Movimientos!E:E, Movimientos!D:D, A424, Movimientos!C:C, "Traslado", Movimientos!F:F, "G710")-SUMIFS(Movimientos!E:E, Movimientos!D:D, A424, Movimientos!C:C, "Egreso", Movimientos!F:F, "G710")+SUMIFS(Movimientos!E:E, Movimientos!D:D, A424, Movimientos!C:C, "Ajuste", Movimientos!F:F, "G710")),"")</f>
        <v/>
      </c>
      <c r="H424" s="6" t="str">
        <f aca="false">IFERROR(IF(A424="","",SUMIFS(Movimientos!E:E, Movimientos!D:D, A424, Movimientos!C:C, "Ingreso", Movimientos!G:G, "G5000")+SUMIFS(Movimientos!E:E, Movimientos!D:D, A424, Movimientos!C:C, "Traslado", Movimientos!G:G, "G5000")-SUMIFS(Movimientos!E:E, Movimientos!D:D, A424, Movimientos!C:C, "Traslado", Movimientos!F:F, "G5000")-SUMIFS(Movimientos!E:E, Movimientos!D:D, A424, Movimientos!C:C, "Egreso", Movimientos!F:F, "G5000")+SUMIFS(Movimientos!E:E, Movimientos!D:D, A424, Movimientos!C:C, "Ajuste", Movimientos!F:F, "G5000")),"")</f>
        <v/>
      </c>
      <c r="I424" s="6" t="str">
        <f aca="false">IFERROR(IF(A424="","",SUMIFS(Movimientos!E:E, Movimientos!D:D, A424, Movimientos!C:C, "Ingreso", Movimientos!G:G, "G3")+SUMIFS(Movimientos!E:E, Movimientos!D:D, A424, Movimientos!C:C, "Traslado", Movimientos!G:G, "G3")-SUMIFS(Movimientos!E:E, Movimientos!D:D, A424, Movimientos!C:C, "Traslado", Movimientos!F:F, "G3")-SUMIFS(Movimientos!E:E, Movimientos!D:D, A424, Movimientos!C:C, "Egreso", Movimientos!F:F, "G3")+SUMIFS(Movimientos!E:E, Movimientos!D:D, A424, Movimientos!C:C, "Ajuste", Movimientos!F:F, "G3")),"")</f>
        <v/>
      </c>
      <c r="J424" s="6" t="str">
        <f aca="false">IFERROR(IF(A424="","",SUM(E424:I424)),"")</f>
        <v/>
      </c>
      <c r="K424" s="6" t="str">
        <f aca="false">IFERROR(IF(A424="","",SUMIFS(Movimientos!E:E, Movimientos!D:D, A424, Movimientos!C:C, "Reserva")-SUMIFS(Movimientos!E:E, Movimientos!D:D, A424, Movimientos!C:C, "Libera_Reserva")),"")</f>
        <v/>
      </c>
      <c r="L424" s="6" t="str">
        <f aca="false">IFERROR(IF(A424="","",J424-K424),"")</f>
        <v/>
      </c>
      <c r="M424" s="6" t="str">
        <f aca="false">IFERROR(IF(Productos!A424="","",Productos!G424),"")</f>
        <v/>
      </c>
      <c r="N424" s="6" t="str">
        <f aca="false">IFERROR(IF(A424="","",IF(L424&lt;M424,"BAJO STOCK","OK")),"")</f>
        <v/>
      </c>
    </row>
    <row r="425" customFormat="false" ht="15" hidden="false" customHeight="false" outlineLevel="0" collapsed="false">
      <c r="A425" s="0" t="str">
        <f aca="false">IFERROR(IF(Productos!A425="","",Productos!A425),"")</f>
        <v/>
      </c>
      <c r="B425" s="0" t="str">
        <f aca="false">IFERROR(IF(Productos!A425="","",Productos!B425),"")</f>
        <v/>
      </c>
      <c r="C425" s="0" t="str">
        <f aca="false">IFERROR(IF(Productos!A425="","",Productos!C425),"")</f>
        <v/>
      </c>
      <c r="D425" s="0" t="str">
        <f aca="false">IFERROR(IF(Productos!A425="","",Productos!E425),"")</f>
        <v/>
      </c>
      <c r="E425" s="6" t="str">
        <f aca="false">IFERROR(IF(A425="","",SUMIFS(Movimientos!E:E, Movimientos!D:D, A425, Movimientos!C:C, "Ingreso", Movimientos!G:G, "TIN")+SUMIFS(Movimientos!E:E, Movimientos!D:D, A425, Movimientos!C:C, "Traslado", Movimientos!G:G, "TIN")-SUMIFS(Movimientos!E:E, Movimientos!D:D, A425, Movimientos!C:C, "Traslado", Movimientos!F:F, "TIN")-SUMIFS(Movimientos!E:E, Movimientos!D:D, A425, Movimientos!C:C, "Egreso", Movimientos!F:F, "TIN")+SUMIFS(Movimientos!E:E, Movimientos!D:D, A425, Movimientos!C:C, "Ajuste", Movimientos!F:F, "TIN")),"")</f>
        <v/>
      </c>
      <c r="F425" s="6" t="str">
        <f aca="false">IFERROR(IF(A425="","",SUMIFS(Movimientos!E:E, Movimientos!D:D, A425, Movimientos!C:C, "Ingreso", Movimientos!G:G, "G1000")+SUMIFS(Movimientos!E:E, Movimientos!D:D, A425, Movimientos!C:C, "Traslado", Movimientos!G:G, "G1000")-SUMIFS(Movimientos!E:E, Movimientos!D:D, A425, Movimientos!C:C, "Traslado", Movimientos!F:F, "G1000")-SUMIFS(Movimientos!E:E, Movimientos!D:D, A425, Movimientos!C:C, "Egreso", Movimientos!F:F, "G1000")+SUMIFS(Movimientos!E:E, Movimientos!D:D, A425, Movimientos!C:C, "Ajuste", Movimientos!F:F, "G1000")),"")</f>
        <v/>
      </c>
      <c r="G425" s="6" t="str">
        <f aca="false">IFERROR(IF(A425="","",SUMIFS(Movimientos!E:E, Movimientos!D:D, A425, Movimientos!C:C, "Ingreso", Movimientos!G:G, "G710")+SUMIFS(Movimientos!E:E, Movimientos!D:D, A425, Movimientos!C:C, "Traslado", Movimientos!G:G, "G710")-SUMIFS(Movimientos!E:E, Movimientos!D:D, A425, Movimientos!C:C, "Traslado", Movimientos!F:F, "G710")-SUMIFS(Movimientos!E:E, Movimientos!D:D, A425, Movimientos!C:C, "Egreso", Movimientos!F:F, "G710")+SUMIFS(Movimientos!E:E, Movimientos!D:D, A425, Movimientos!C:C, "Ajuste", Movimientos!F:F, "G710")),"")</f>
        <v/>
      </c>
      <c r="H425" s="6" t="str">
        <f aca="false">IFERROR(IF(A425="","",SUMIFS(Movimientos!E:E, Movimientos!D:D, A425, Movimientos!C:C, "Ingreso", Movimientos!G:G, "G5000")+SUMIFS(Movimientos!E:E, Movimientos!D:D, A425, Movimientos!C:C, "Traslado", Movimientos!G:G, "G5000")-SUMIFS(Movimientos!E:E, Movimientos!D:D, A425, Movimientos!C:C, "Traslado", Movimientos!F:F, "G5000")-SUMIFS(Movimientos!E:E, Movimientos!D:D, A425, Movimientos!C:C, "Egreso", Movimientos!F:F, "G5000")+SUMIFS(Movimientos!E:E, Movimientos!D:D, A425, Movimientos!C:C, "Ajuste", Movimientos!F:F, "G5000")),"")</f>
        <v/>
      </c>
      <c r="I425" s="6" t="str">
        <f aca="false">IFERROR(IF(A425="","",SUMIFS(Movimientos!E:E, Movimientos!D:D, A425, Movimientos!C:C, "Ingreso", Movimientos!G:G, "G3")+SUMIFS(Movimientos!E:E, Movimientos!D:D, A425, Movimientos!C:C, "Traslado", Movimientos!G:G, "G3")-SUMIFS(Movimientos!E:E, Movimientos!D:D, A425, Movimientos!C:C, "Traslado", Movimientos!F:F, "G3")-SUMIFS(Movimientos!E:E, Movimientos!D:D, A425, Movimientos!C:C, "Egreso", Movimientos!F:F, "G3")+SUMIFS(Movimientos!E:E, Movimientos!D:D, A425, Movimientos!C:C, "Ajuste", Movimientos!F:F, "G3")),"")</f>
        <v/>
      </c>
      <c r="J425" s="6" t="str">
        <f aca="false">IFERROR(IF(A425="","",SUM(E425:I425)),"")</f>
        <v/>
      </c>
      <c r="K425" s="6" t="str">
        <f aca="false">IFERROR(IF(A425="","",SUMIFS(Movimientos!E:E, Movimientos!D:D, A425, Movimientos!C:C, "Reserva")-SUMIFS(Movimientos!E:E, Movimientos!D:D, A425, Movimientos!C:C, "Libera_Reserva")),"")</f>
        <v/>
      </c>
      <c r="L425" s="6" t="str">
        <f aca="false">IFERROR(IF(A425="","",J425-K425),"")</f>
        <v/>
      </c>
      <c r="M425" s="6" t="str">
        <f aca="false">IFERROR(IF(Productos!A425="","",Productos!G425),"")</f>
        <v/>
      </c>
      <c r="N425" s="6" t="str">
        <f aca="false">IFERROR(IF(A425="","",IF(L425&lt;M425,"BAJO STOCK","OK")),"")</f>
        <v/>
      </c>
    </row>
    <row r="426" customFormat="false" ht="15" hidden="false" customHeight="false" outlineLevel="0" collapsed="false">
      <c r="A426" s="0" t="str">
        <f aca="false">IFERROR(IF(Productos!A426="","",Productos!A426),"")</f>
        <v/>
      </c>
      <c r="B426" s="0" t="str">
        <f aca="false">IFERROR(IF(Productos!A426="","",Productos!B426),"")</f>
        <v/>
      </c>
      <c r="C426" s="0" t="str">
        <f aca="false">IFERROR(IF(Productos!A426="","",Productos!C426),"")</f>
        <v/>
      </c>
      <c r="D426" s="0" t="str">
        <f aca="false">IFERROR(IF(Productos!A426="","",Productos!E426),"")</f>
        <v/>
      </c>
      <c r="E426" s="6" t="str">
        <f aca="false">IFERROR(IF(A426="","",SUMIFS(Movimientos!E:E, Movimientos!D:D, A426, Movimientos!C:C, "Ingreso", Movimientos!G:G, "TIN")+SUMIFS(Movimientos!E:E, Movimientos!D:D, A426, Movimientos!C:C, "Traslado", Movimientos!G:G, "TIN")-SUMIFS(Movimientos!E:E, Movimientos!D:D, A426, Movimientos!C:C, "Traslado", Movimientos!F:F, "TIN")-SUMIFS(Movimientos!E:E, Movimientos!D:D, A426, Movimientos!C:C, "Egreso", Movimientos!F:F, "TIN")+SUMIFS(Movimientos!E:E, Movimientos!D:D, A426, Movimientos!C:C, "Ajuste", Movimientos!F:F, "TIN")),"")</f>
        <v/>
      </c>
      <c r="F426" s="6" t="str">
        <f aca="false">IFERROR(IF(A426="","",SUMIFS(Movimientos!E:E, Movimientos!D:D, A426, Movimientos!C:C, "Ingreso", Movimientos!G:G, "G1000")+SUMIFS(Movimientos!E:E, Movimientos!D:D, A426, Movimientos!C:C, "Traslado", Movimientos!G:G, "G1000")-SUMIFS(Movimientos!E:E, Movimientos!D:D, A426, Movimientos!C:C, "Traslado", Movimientos!F:F, "G1000")-SUMIFS(Movimientos!E:E, Movimientos!D:D, A426, Movimientos!C:C, "Egreso", Movimientos!F:F, "G1000")+SUMIFS(Movimientos!E:E, Movimientos!D:D, A426, Movimientos!C:C, "Ajuste", Movimientos!F:F, "G1000")),"")</f>
        <v/>
      </c>
      <c r="G426" s="6" t="str">
        <f aca="false">IFERROR(IF(A426="","",SUMIFS(Movimientos!E:E, Movimientos!D:D, A426, Movimientos!C:C, "Ingreso", Movimientos!G:G, "G710")+SUMIFS(Movimientos!E:E, Movimientos!D:D, A426, Movimientos!C:C, "Traslado", Movimientos!G:G, "G710")-SUMIFS(Movimientos!E:E, Movimientos!D:D, A426, Movimientos!C:C, "Traslado", Movimientos!F:F, "G710")-SUMIFS(Movimientos!E:E, Movimientos!D:D, A426, Movimientos!C:C, "Egreso", Movimientos!F:F, "G710")+SUMIFS(Movimientos!E:E, Movimientos!D:D, A426, Movimientos!C:C, "Ajuste", Movimientos!F:F, "G710")),"")</f>
        <v/>
      </c>
      <c r="H426" s="6" t="str">
        <f aca="false">IFERROR(IF(A426="","",SUMIFS(Movimientos!E:E, Movimientos!D:D, A426, Movimientos!C:C, "Ingreso", Movimientos!G:G, "G5000")+SUMIFS(Movimientos!E:E, Movimientos!D:D, A426, Movimientos!C:C, "Traslado", Movimientos!G:G, "G5000")-SUMIFS(Movimientos!E:E, Movimientos!D:D, A426, Movimientos!C:C, "Traslado", Movimientos!F:F, "G5000")-SUMIFS(Movimientos!E:E, Movimientos!D:D, A426, Movimientos!C:C, "Egreso", Movimientos!F:F, "G5000")+SUMIFS(Movimientos!E:E, Movimientos!D:D, A426, Movimientos!C:C, "Ajuste", Movimientos!F:F, "G5000")),"")</f>
        <v/>
      </c>
      <c r="I426" s="6" t="str">
        <f aca="false">IFERROR(IF(A426="","",SUMIFS(Movimientos!E:E, Movimientos!D:D, A426, Movimientos!C:C, "Ingreso", Movimientos!G:G, "G3")+SUMIFS(Movimientos!E:E, Movimientos!D:D, A426, Movimientos!C:C, "Traslado", Movimientos!G:G, "G3")-SUMIFS(Movimientos!E:E, Movimientos!D:D, A426, Movimientos!C:C, "Traslado", Movimientos!F:F, "G3")-SUMIFS(Movimientos!E:E, Movimientos!D:D, A426, Movimientos!C:C, "Egreso", Movimientos!F:F, "G3")+SUMIFS(Movimientos!E:E, Movimientos!D:D, A426, Movimientos!C:C, "Ajuste", Movimientos!F:F, "G3")),"")</f>
        <v/>
      </c>
      <c r="J426" s="6" t="str">
        <f aca="false">IFERROR(IF(A426="","",SUM(E426:I426)),"")</f>
        <v/>
      </c>
      <c r="K426" s="6" t="str">
        <f aca="false">IFERROR(IF(A426="","",SUMIFS(Movimientos!E:E, Movimientos!D:D, A426, Movimientos!C:C, "Reserva")-SUMIFS(Movimientos!E:E, Movimientos!D:D, A426, Movimientos!C:C, "Libera_Reserva")),"")</f>
        <v/>
      </c>
      <c r="L426" s="6" t="str">
        <f aca="false">IFERROR(IF(A426="","",J426-K426),"")</f>
        <v/>
      </c>
      <c r="M426" s="6" t="str">
        <f aca="false">IFERROR(IF(Productos!A426="","",Productos!G426),"")</f>
        <v/>
      </c>
      <c r="N426" s="6" t="str">
        <f aca="false">IFERROR(IF(A426="","",IF(L426&lt;M426,"BAJO STOCK","OK")),"")</f>
        <v/>
      </c>
    </row>
    <row r="427" customFormat="false" ht="15" hidden="false" customHeight="false" outlineLevel="0" collapsed="false">
      <c r="A427" s="0" t="str">
        <f aca="false">IFERROR(IF(Productos!A427="","",Productos!A427),"")</f>
        <v/>
      </c>
      <c r="B427" s="0" t="str">
        <f aca="false">IFERROR(IF(Productos!A427="","",Productos!B427),"")</f>
        <v/>
      </c>
      <c r="C427" s="0" t="str">
        <f aca="false">IFERROR(IF(Productos!A427="","",Productos!C427),"")</f>
        <v/>
      </c>
      <c r="D427" s="0" t="str">
        <f aca="false">IFERROR(IF(Productos!A427="","",Productos!E427),"")</f>
        <v/>
      </c>
      <c r="E427" s="6" t="str">
        <f aca="false">IFERROR(IF(A427="","",SUMIFS(Movimientos!E:E, Movimientos!D:D, A427, Movimientos!C:C, "Ingreso", Movimientos!G:G, "TIN")+SUMIFS(Movimientos!E:E, Movimientos!D:D, A427, Movimientos!C:C, "Traslado", Movimientos!G:G, "TIN")-SUMIFS(Movimientos!E:E, Movimientos!D:D, A427, Movimientos!C:C, "Traslado", Movimientos!F:F, "TIN")-SUMIFS(Movimientos!E:E, Movimientos!D:D, A427, Movimientos!C:C, "Egreso", Movimientos!F:F, "TIN")+SUMIFS(Movimientos!E:E, Movimientos!D:D, A427, Movimientos!C:C, "Ajuste", Movimientos!F:F, "TIN")),"")</f>
        <v/>
      </c>
      <c r="F427" s="6" t="str">
        <f aca="false">IFERROR(IF(A427="","",SUMIFS(Movimientos!E:E, Movimientos!D:D, A427, Movimientos!C:C, "Ingreso", Movimientos!G:G, "G1000")+SUMIFS(Movimientos!E:E, Movimientos!D:D, A427, Movimientos!C:C, "Traslado", Movimientos!G:G, "G1000")-SUMIFS(Movimientos!E:E, Movimientos!D:D, A427, Movimientos!C:C, "Traslado", Movimientos!F:F, "G1000")-SUMIFS(Movimientos!E:E, Movimientos!D:D, A427, Movimientos!C:C, "Egreso", Movimientos!F:F, "G1000")+SUMIFS(Movimientos!E:E, Movimientos!D:D, A427, Movimientos!C:C, "Ajuste", Movimientos!F:F, "G1000")),"")</f>
        <v/>
      </c>
      <c r="G427" s="6" t="str">
        <f aca="false">IFERROR(IF(A427="","",SUMIFS(Movimientos!E:E, Movimientos!D:D, A427, Movimientos!C:C, "Ingreso", Movimientos!G:G, "G710")+SUMIFS(Movimientos!E:E, Movimientos!D:D, A427, Movimientos!C:C, "Traslado", Movimientos!G:G, "G710")-SUMIFS(Movimientos!E:E, Movimientos!D:D, A427, Movimientos!C:C, "Traslado", Movimientos!F:F, "G710")-SUMIFS(Movimientos!E:E, Movimientos!D:D, A427, Movimientos!C:C, "Egreso", Movimientos!F:F, "G710")+SUMIFS(Movimientos!E:E, Movimientos!D:D, A427, Movimientos!C:C, "Ajuste", Movimientos!F:F, "G710")),"")</f>
        <v/>
      </c>
      <c r="H427" s="6" t="str">
        <f aca="false">IFERROR(IF(A427="","",SUMIFS(Movimientos!E:E, Movimientos!D:D, A427, Movimientos!C:C, "Ingreso", Movimientos!G:G, "G5000")+SUMIFS(Movimientos!E:E, Movimientos!D:D, A427, Movimientos!C:C, "Traslado", Movimientos!G:G, "G5000")-SUMIFS(Movimientos!E:E, Movimientos!D:D, A427, Movimientos!C:C, "Traslado", Movimientos!F:F, "G5000")-SUMIFS(Movimientos!E:E, Movimientos!D:D, A427, Movimientos!C:C, "Egreso", Movimientos!F:F, "G5000")+SUMIFS(Movimientos!E:E, Movimientos!D:D, A427, Movimientos!C:C, "Ajuste", Movimientos!F:F, "G5000")),"")</f>
        <v/>
      </c>
      <c r="I427" s="6" t="str">
        <f aca="false">IFERROR(IF(A427="","",SUMIFS(Movimientos!E:E, Movimientos!D:D, A427, Movimientos!C:C, "Ingreso", Movimientos!G:G, "G3")+SUMIFS(Movimientos!E:E, Movimientos!D:D, A427, Movimientos!C:C, "Traslado", Movimientos!G:G, "G3")-SUMIFS(Movimientos!E:E, Movimientos!D:D, A427, Movimientos!C:C, "Traslado", Movimientos!F:F, "G3")-SUMIFS(Movimientos!E:E, Movimientos!D:D, A427, Movimientos!C:C, "Egreso", Movimientos!F:F, "G3")+SUMIFS(Movimientos!E:E, Movimientos!D:D, A427, Movimientos!C:C, "Ajuste", Movimientos!F:F, "G3")),"")</f>
        <v/>
      </c>
      <c r="J427" s="6" t="str">
        <f aca="false">IFERROR(IF(A427="","",SUM(E427:I427)),"")</f>
        <v/>
      </c>
      <c r="K427" s="6" t="str">
        <f aca="false">IFERROR(IF(A427="","",SUMIFS(Movimientos!E:E, Movimientos!D:D, A427, Movimientos!C:C, "Reserva")-SUMIFS(Movimientos!E:E, Movimientos!D:D, A427, Movimientos!C:C, "Libera_Reserva")),"")</f>
        <v/>
      </c>
      <c r="L427" s="6" t="str">
        <f aca="false">IFERROR(IF(A427="","",J427-K427),"")</f>
        <v/>
      </c>
      <c r="M427" s="6" t="str">
        <f aca="false">IFERROR(IF(Productos!A427="","",Productos!G427),"")</f>
        <v/>
      </c>
      <c r="N427" s="6" t="str">
        <f aca="false">IFERROR(IF(A427="","",IF(L427&lt;M427,"BAJO STOCK","OK")),"")</f>
        <v/>
      </c>
    </row>
    <row r="428" customFormat="false" ht="15" hidden="false" customHeight="false" outlineLevel="0" collapsed="false">
      <c r="A428" s="0" t="str">
        <f aca="false">IFERROR(IF(Productos!A428="","",Productos!A428),"")</f>
        <v/>
      </c>
      <c r="B428" s="0" t="str">
        <f aca="false">IFERROR(IF(Productos!A428="","",Productos!B428),"")</f>
        <v/>
      </c>
      <c r="C428" s="0" t="str">
        <f aca="false">IFERROR(IF(Productos!A428="","",Productos!C428),"")</f>
        <v/>
      </c>
      <c r="D428" s="0" t="str">
        <f aca="false">IFERROR(IF(Productos!A428="","",Productos!E428),"")</f>
        <v/>
      </c>
      <c r="E428" s="6" t="str">
        <f aca="false">IFERROR(IF(A428="","",SUMIFS(Movimientos!E:E, Movimientos!D:D, A428, Movimientos!C:C, "Ingreso", Movimientos!G:G, "TIN")+SUMIFS(Movimientos!E:E, Movimientos!D:D, A428, Movimientos!C:C, "Traslado", Movimientos!G:G, "TIN")-SUMIFS(Movimientos!E:E, Movimientos!D:D, A428, Movimientos!C:C, "Traslado", Movimientos!F:F, "TIN")-SUMIFS(Movimientos!E:E, Movimientos!D:D, A428, Movimientos!C:C, "Egreso", Movimientos!F:F, "TIN")+SUMIFS(Movimientos!E:E, Movimientos!D:D, A428, Movimientos!C:C, "Ajuste", Movimientos!F:F, "TIN")),"")</f>
        <v/>
      </c>
      <c r="F428" s="6" t="str">
        <f aca="false">IFERROR(IF(A428="","",SUMIFS(Movimientos!E:E, Movimientos!D:D, A428, Movimientos!C:C, "Ingreso", Movimientos!G:G, "G1000")+SUMIFS(Movimientos!E:E, Movimientos!D:D, A428, Movimientos!C:C, "Traslado", Movimientos!G:G, "G1000")-SUMIFS(Movimientos!E:E, Movimientos!D:D, A428, Movimientos!C:C, "Traslado", Movimientos!F:F, "G1000")-SUMIFS(Movimientos!E:E, Movimientos!D:D, A428, Movimientos!C:C, "Egreso", Movimientos!F:F, "G1000")+SUMIFS(Movimientos!E:E, Movimientos!D:D, A428, Movimientos!C:C, "Ajuste", Movimientos!F:F, "G1000")),"")</f>
        <v/>
      </c>
      <c r="G428" s="6" t="str">
        <f aca="false">IFERROR(IF(A428="","",SUMIFS(Movimientos!E:E, Movimientos!D:D, A428, Movimientos!C:C, "Ingreso", Movimientos!G:G, "G710")+SUMIFS(Movimientos!E:E, Movimientos!D:D, A428, Movimientos!C:C, "Traslado", Movimientos!G:G, "G710")-SUMIFS(Movimientos!E:E, Movimientos!D:D, A428, Movimientos!C:C, "Traslado", Movimientos!F:F, "G710")-SUMIFS(Movimientos!E:E, Movimientos!D:D, A428, Movimientos!C:C, "Egreso", Movimientos!F:F, "G710")+SUMIFS(Movimientos!E:E, Movimientos!D:D, A428, Movimientos!C:C, "Ajuste", Movimientos!F:F, "G710")),"")</f>
        <v/>
      </c>
      <c r="H428" s="6" t="str">
        <f aca="false">IFERROR(IF(A428="","",SUMIFS(Movimientos!E:E, Movimientos!D:D, A428, Movimientos!C:C, "Ingreso", Movimientos!G:G, "G5000")+SUMIFS(Movimientos!E:E, Movimientos!D:D, A428, Movimientos!C:C, "Traslado", Movimientos!G:G, "G5000")-SUMIFS(Movimientos!E:E, Movimientos!D:D, A428, Movimientos!C:C, "Traslado", Movimientos!F:F, "G5000")-SUMIFS(Movimientos!E:E, Movimientos!D:D, A428, Movimientos!C:C, "Egreso", Movimientos!F:F, "G5000")+SUMIFS(Movimientos!E:E, Movimientos!D:D, A428, Movimientos!C:C, "Ajuste", Movimientos!F:F, "G5000")),"")</f>
        <v/>
      </c>
      <c r="I428" s="6" t="str">
        <f aca="false">IFERROR(IF(A428="","",SUMIFS(Movimientos!E:E, Movimientos!D:D, A428, Movimientos!C:C, "Ingreso", Movimientos!G:G, "G3")+SUMIFS(Movimientos!E:E, Movimientos!D:D, A428, Movimientos!C:C, "Traslado", Movimientos!G:G, "G3")-SUMIFS(Movimientos!E:E, Movimientos!D:D, A428, Movimientos!C:C, "Traslado", Movimientos!F:F, "G3")-SUMIFS(Movimientos!E:E, Movimientos!D:D, A428, Movimientos!C:C, "Egreso", Movimientos!F:F, "G3")+SUMIFS(Movimientos!E:E, Movimientos!D:D, A428, Movimientos!C:C, "Ajuste", Movimientos!F:F, "G3")),"")</f>
        <v/>
      </c>
      <c r="J428" s="6" t="str">
        <f aca="false">IFERROR(IF(A428="","",SUM(E428:I428)),"")</f>
        <v/>
      </c>
      <c r="K428" s="6" t="str">
        <f aca="false">IFERROR(IF(A428="","",SUMIFS(Movimientos!E:E, Movimientos!D:D, A428, Movimientos!C:C, "Reserva")-SUMIFS(Movimientos!E:E, Movimientos!D:D, A428, Movimientos!C:C, "Libera_Reserva")),"")</f>
        <v/>
      </c>
      <c r="L428" s="6" t="str">
        <f aca="false">IFERROR(IF(A428="","",J428-K428),"")</f>
        <v/>
      </c>
      <c r="M428" s="6" t="str">
        <f aca="false">IFERROR(IF(Productos!A428="","",Productos!G428),"")</f>
        <v/>
      </c>
      <c r="N428" s="6" t="str">
        <f aca="false">IFERROR(IF(A428="","",IF(L428&lt;M428,"BAJO STOCK","OK")),"")</f>
        <v/>
      </c>
    </row>
    <row r="429" customFormat="false" ht="15" hidden="false" customHeight="false" outlineLevel="0" collapsed="false">
      <c r="A429" s="0" t="str">
        <f aca="false">IFERROR(IF(Productos!A429="","",Productos!A429),"")</f>
        <v/>
      </c>
      <c r="B429" s="0" t="str">
        <f aca="false">IFERROR(IF(Productos!A429="","",Productos!B429),"")</f>
        <v/>
      </c>
      <c r="C429" s="0" t="str">
        <f aca="false">IFERROR(IF(Productos!A429="","",Productos!C429),"")</f>
        <v/>
      </c>
      <c r="D429" s="0" t="str">
        <f aca="false">IFERROR(IF(Productos!A429="","",Productos!E429),"")</f>
        <v/>
      </c>
      <c r="E429" s="6" t="str">
        <f aca="false">IFERROR(IF(A429="","",SUMIFS(Movimientos!E:E, Movimientos!D:D, A429, Movimientos!C:C, "Ingreso", Movimientos!G:G, "TIN")+SUMIFS(Movimientos!E:E, Movimientos!D:D, A429, Movimientos!C:C, "Traslado", Movimientos!G:G, "TIN")-SUMIFS(Movimientos!E:E, Movimientos!D:D, A429, Movimientos!C:C, "Traslado", Movimientos!F:F, "TIN")-SUMIFS(Movimientos!E:E, Movimientos!D:D, A429, Movimientos!C:C, "Egreso", Movimientos!F:F, "TIN")+SUMIFS(Movimientos!E:E, Movimientos!D:D, A429, Movimientos!C:C, "Ajuste", Movimientos!F:F, "TIN")),"")</f>
        <v/>
      </c>
      <c r="F429" s="6" t="str">
        <f aca="false">IFERROR(IF(A429="","",SUMIFS(Movimientos!E:E, Movimientos!D:D, A429, Movimientos!C:C, "Ingreso", Movimientos!G:G, "G1000")+SUMIFS(Movimientos!E:E, Movimientos!D:D, A429, Movimientos!C:C, "Traslado", Movimientos!G:G, "G1000")-SUMIFS(Movimientos!E:E, Movimientos!D:D, A429, Movimientos!C:C, "Traslado", Movimientos!F:F, "G1000")-SUMIFS(Movimientos!E:E, Movimientos!D:D, A429, Movimientos!C:C, "Egreso", Movimientos!F:F, "G1000")+SUMIFS(Movimientos!E:E, Movimientos!D:D, A429, Movimientos!C:C, "Ajuste", Movimientos!F:F, "G1000")),"")</f>
        <v/>
      </c>
      <c r="G429" s="6" t="str">
        <f aca="false">IFERROR(IF(A429="","",SUMIFS(Movimientos!E:E, Movimientos!D:D, A429, Movimientos!C:C, "Ingreso", Movimientos!G:G, "G710")+SUMIFS(Movimientos!E:E, Movimientos!D:D, A429, Movimientos!C:C, "Traslado", Movimientos!G:G, "G710")-SUMIFS(Movimientos!E:E, Movimientos!D:D, A429, Movimientos!C:C, "Traslado", Movimientos!F:F, "G710")-SUMIFS(Movimientos!E:E, Movimientos!D:D, A429, Movimientos!C:C, "Egreso", Movimientos!F:F, "G710")+SUMIFS(Movimientos!E:E, Movimientos!D:D, A429, Movimientos!C:C, "Ajuste", Movimientos!F:F, "G710")),"")</f>
        <v/>
      </c>
      <c r="H429" s="6" t="str">
        <f aca="false">IFERROR(IF(A429="","",SUMIFS(Movimientos!E:E, Movimientos!D:D, A429, Movimientos!C:C, "Ingreso", Movimientos!G:G, "G5000")+SUMIFS(Movimientos!E:E, Movimientos!D:D, A429, Movimientos!C:C, "Traslado", Movimientos!G:G, "G5000")-SUMIFS(Movimientos!E:E, Movimientos!D:D, A429, Movimientos!C:C, "Traslado", Movimientos!F:F, "G5000")-SUMIFS(Movimientos!E:E, Movimientos!D:D, A429, Movimientos!C:C, "Egreso", Movimientos!F:F, "G5000")+SUMIFS(Movimientos!E:E, Movimientos!D:D, A429, Movimientos!C:C, "Ajuste", Movimientos!F:F, "G5000")),"")</f>
        <v/>
      </c>
      <c r="I429" s="6" t="str">
        <f aca="false">IFERROR(IF(A429="","",SUMIFS(Movimientos!E:E, Movimientos!D:D, A429, Movimientos!C:C, "Ingreso", Movimientos!G:G, "G3")+SUMIFS(Movimientos!E:E, Movimientos!D:D, A429, Movimientos!C:C, "Traslado", Movimientos!G:G, "G3")-SUMIFS(Movimientos!E:E, Movimientos!D:D, A429, Movimientos!C:C, "Traslado", Movimientos!F:F, "G3")-SUMIFS(Movimientos!E:E, Movimientos!D:D, A429, Movimientos!C:C, "Egreso", Movimientos!F:F, "G3")+SUMIFS(Movimientos!E:E, Movimientos!D:D, A429, Movimientos!C:C, "Ajuste", Movimientos!F:F, "G3")),"")</f>
        <v/>
      </c>
      <c r="J429" s="6" t="str">
        <f aca="false">IFERROR(IF(A429="","",SUM(E429:I429)),"")</f>
        <v/>
      </c>
      <c r="K429" s="6" t="str">
        <f aca="false">IFERROR(IF(A429="","",SUMIFS(Movimientos!E:E, Movimientos!D:D, A429, Movimientos!C:C, "Reserva")-SUMIFS(Movimientos!E:E, Movimientos!D:D, A429, Movimientos!C:C, "Libera_Reserva")),"")</f>
        <v/>
      </c>
      <c r="L429" s="6" t="str">
        <f aca="false">IFERROR(IF(A429="","",J429-K429),"")</f>
        <v/>
      </c>
      <c r="M429" s="6" t="str">
        <f aca="false">IFERROR(IF(Productos!A429="","",Productos!G429),"")</f>
        <v/>
      </c>
      <c r="N429" s="6" t="str">
        <f aca="false">IFERROR(IF(A429="","",IF(L429&lt;M429,"BAJO STOCK","OK")),"")</f>
        <v/>
      </c>
    </row>
    <row r="430" customFormat="false" ht="15" hidden="false" customHeight="false" outlineLevel="0" collapsed="false">
      <c r="A430" s="0" t="str">
        <f aca="false">IFERROR(IF(Productos!A430="","",Productos!A430),"")</f>
        <v/>
      </c>
      <c r="B430" s="0" t="str">
        <f aca="false">IFERROR(IF(Productos!A430="","",Productos!B430),"")</f>
        <v/>
      </c>
      <c r="C430" s="0" t="str">
        <f aca="false">IFERROR(IF(Productos!A430="","",Productos!C430),"")</f>
        <v/>
      </c>
      <c r="D430" s="0" t="str">
        <f aca="false">IFERROR(IF(Productos!A430="","",Productos!E430),"")</f>
        <v/>
      </c>
      <c r="E430" s="6" t="str">
        <f aca="false">IFERROR(IF(A430="","",SUMIFS(Movimientos!E:E, Movimientos!D:D, A430, Movimientos!C:C, "Ingreso", Movimientos!G:G, "TIN")+SUMIFS(Movimientos!E:E, Movimientos!D:D, A430, Movimientos!C:C, "Traslado", Movimientos!G:G, "TIN")-SUMIFS(Movimientos!E:E, Movimientos!D:D, A430, Movimientos!C:C, "Traslado", Movimientos!F:F, "TIN")-SUMIFS(Movimientos!E:E, Movimientos!D:D, A430, Movimientos!C:C, "Egreso", Movimientos!F:F, "TIN")+SUMIFS(Movimientos!E:E, Movimientos!D:D, A430, Movimientos!C:C, "Ajuste", Movimientos!F:F, "TIN")),"")</f>
        <v/>
      </c>
      <c r="F430" s="6" t="str">
        <f aca="false">IFERROR(IF(A430="","",SUMIFS(Movimientos!E:E, Movimientos!D:D, A430, Movimientos!C:C, "Ingreso", Movimientos!G:G, "G1000")+SUMIFS(Movimientos!E:E, Movimientos!D:D, A430, Movimientos!C:C, "Traslado", Movimientos!G:G, "G1000")-SUMIFS(Movimientos!E:E, Movimientos!D:D, A430, Movimientos!C:C, "Traslado", Movimientos!F:F, "G1000")-SUMIFS(Movimientos!E:E, Movimientos!D:D, A430, Movimientos!C:C, "Egreso", Movimientos!F:F, "G1000")+SUMIFS(Movimientos!E:E, Movimientos!D:D, A430, Movimientos!C:C, "Ajuste", Movimientos!F:F, "G1000")),"")</f>
        <v/>
      </c>
      <c r="G430" s="6" t="str">
        <f aca="false">IFERROR(IF(A430="","",SUMIFS(Movimientos!E:E, Movimientos!D:D, A430, Movimientos!C:C, "Ingreso", Movimientos!G:G, "G710")+SUMIFS(Movimientos!E:E, Movimientos!D:D, A430, Movimientos!C:C, "Traslado", Movimientos!G:G, "G710")-SUMIFS(Movimientos!E:E, Movimientos!D:D, A430, Movimientos!C:C, "Traslado", Movimientos!F:F, "G710")-SUMIFS(Movimientos!E:E, Movimientos!D:D, A430, Movimientos!C:C, "Egreso", Movimientos!F:F, "G710")+SUMIFS(Movimientos!E:E, Movimientos!D:D, A430, Movimientos!C:C, "Ajuste", Movimientos!F:F, "G710")),"")</f>
        <v/>
      </c>
      <c r="H430" s="6" t="str">
        <f aca="false">IFERROR(IF(A430="","",SUMIFS(Movimientos!E:E, Movimientos!D:D, A430, Movimientos!C:C, "Ingreso", Movimientos!G:G, "G5000")+SUMIFS(Movimientos!E:E, Movimientos!D:D, A430, Movimientos!C:C, "Traslado", Movimientos!G:G, "G5000")-SUMIFS(Movimientos!E:E, Movimientos!D:D, A430, Movimientos!C:C, "Traslado", Movimientos!F:F, "G5000")-SUMIFS(Movimientos!E:E, Movimientos!D:D, A430, Movimientos!C:C, "Egreso", Movimientos!F:F, "G5000")+SUMIFS(Movimientos!E:E, Movimientos!D:D, A430, Movimientos!C:C, "Ajuste", Movimientos!F:F, "G5000")),"")</f>
        <v/>
      </c>
      <c r="I430" s="6" t="str">
        <f aca="false">IFERROR(IF(A430="","",SUMIFS(Movimientos!E:E, Movimientos!D:D, A430, Movimientos!C:C, "Ingreso", Movimientos!G:G, "G3")+SUMIFS(Movimientos!E:E, Movimientos!D:D, A430, Movimientos!C:C, "Traslado", Movimientos!G:G, "G3")-SUMIFS(Movimientos!E:E, Movimientos!D:D, A430, Movimientos!C:C, "Traslado", Movimientos!F:F, "G3")-SUMIFS(Movimientos!E:E, Movimientos!D:D, A430, Movimientos!C:C, "Egreso", Movimientos!F:F, "G3")+SUMIFS(Movimientos!E:E, Movimientos!D:D, A430, Movimientos!C:C, "Ajuste", Movimientos!F:F, "G3")),"")</f>
        <v/>
      </c>
      <c r="J430" s="6" t="str">
        <f aca="false">IFERROR(IF(A430="","",SUM(E430:I430)),"")</f>
        <v/>
      </c>
      <c r="K430" s="6" t="str">
        <f aca="false">IFERROR(IF(A430="","",SUMIFS(Movimientos!E:E, Movimientos!D:D, A430, Movimientos!C:C, "Reserva")-SUMIFS(Movimientos!E:E, Movimientos!D:D, A430, Movimientos!C:C, "Libera_Reserva")),"")</f>
        <v/>
      </c>
      <c r="L430" s="6" t="str">
        <f aca="false">IFERROR(IF(A430="","",J430-K430),"")</f>
        <v/>
      </c>
      <c r="M430" s="6" t="str">
        <f aca="false">IFERROR(IF(Productos!A430="","",Productos!G430),"")</f>
        <v/>
      </c>
      <c r="N430" s="6" t="str">
        <f aca="false">IFERROR(IF(A430="","",IF(L430&lt;M430,"BAJO STOCK","OK")),"")</f>
        <v/>
      </c>
    </row>
    <row r="431" customFormat="false" ht="15" hidden="false" customHeight="false" outlineLevel="0" collapsed="false">
      <c r="A431" s="0" t="str">
        <f aca="false">IFERROR(IF(Productos!A431="","",Productos!A431),"")</f>
        <v/>
      </c>
      <c r="B431" s="0" t="str">
        <f aca="false">IFERROR(IF(Productos!A431="","",Productos!B431),"")</f>
        <v/>
      </c>
      <c r="C431" s="0" t="str">
        <f aca="false">IFERROR(IF(Productos!A431="","",Productos!C431),"")</f>
        <v/>
      </c>
      <c r="D431" s="0" t="str">
        <f aca="false">IFERROR(IF(Productos!A431="","",Productos!E431),"")</f>
        <v/>
      </c>
      <c r="E431" s="6" t="str">
        <f aca="false">IFERROR(IF(A431="","",SUMIFS(Movimientos!E:E, Movimientos!D:D, A431, Movimientos!C:C, "Ingreso", Movimientos!G:G, "TIN")+SUMIFS(Movimientos!E:E, Movimientos!D:D, A431, Movimientos!C:C, "Traslado", Movimientos!G:G, "TIN")-SUMIFS(Movimientos!E:E, Movimientos!D:D, A431, Movimientos!C:C, "Traslado", Movimientos!F:F, "TIN")-SUMIFS(Movimientos!E:E, Movimientos!D:D, A431, Movimientos!C:C, "Egreso", Movimientos!F:F, "TIN")+SUMIFS(Movimientos!E:E, Movimientos!D:D, A431, Movimientos!C:C, "Ajuste", Movimientos!F:F, "TIN")),"")</f>
        <v/>
      </c>
      <c r="F431" s="6" t="str">
        <f aca="false">IFERROR(IF(A431="","",SUMIFS(Movimientos!E:E, Movimientos!D:D, A431, Movimientos!C:C, "Ingreso", Movimientos!G:G, "G1000")+SUMIFS(Movimientos!E:E, Movimientos!D:D, A431, Movimientos!C:C, "Traslado", Movimientos!G:G, "G1000")-SUMIFS(Movimientos!E:E, Movimientos!D:D, A431, Movimientos!C:C, "Traslado", Movimientos!F:F, "G1000")-SUMIFS(Movimientos!E:E, Movimientos!D:D, A431, Movimientos!C:C, "Egreso", Movimientos!F:F, "G1000")+SUMIFS(Movimientos!E:E, Movimientos!D:D, A431, Movimientos!C:C, "Ajuste", Movimientos!F:F, "G1000")),"")</f>
        <v/>
      </c>
      <c r="G431" s="6" t="str">
        <f aca="false">IFERROR(IF(A431="","",SUMIFS(Movimientos!E:E, Movimientos!D:D, A431, Movimientos!C:C, "Ingreso", Movimientos!G:G, "G710")+SUMIFS(Movimientos!E:E, Movimientos!D:D, A431, Movimientos!C:C, "Traslado", Movimientos!G:G, "G710")-SUMIFS(Movimientos!E:E, Movimientos!D:D, A431, Movimientos!C:C, "Traslado", Movimientos!F:F, "G710")-SUMIFS(Movimientos!E:E, Movimientos!D:D, A431, Movimientos!C:C, "Egreso", Movimientos!F:F, "G710")+SUMIFS(Movimientos!E:E, Movimientos!D:D, A431, Movimientos!C:C, "Ajuste", Movimientos!F:F, "G710")),"")</f>
        <v/>
      </c>
      <c r="H431" s="6" t="str">
        <f aca="false">IFERROR(IF(A431="","",SUMIFS(Movimientos!E:E, Movimientos!D:D, A431, Movimientos!C:C, "Ingreso", Movimientos!G:G, "G5000")+SUMIFS(Movimientos!E:E, Movimientos!D:D, A431, Movimientos!C:C, "Traslado", Movimientos!G:G, "G5000")-SUMIFS(Movimientos!E:E, Movimientos!D:D, A431, Movimientos!C:C, "Traslado", Movimientos!F:F, "G5000")-SUMIFS(Movimientos!E:E, Movimientos!D:D, A431, Movimientos!C:C, "Egreso", Movimientos!F:F, "G5000")+SUMIFS(Movimientos!E:E, Movimientos!D:D, A431, Movimientos!C:C, "Ajuste", Movimientos!F:F, "G5000")),"")</f>
        <v/>
      </c>
      <c r="I431" s="6" t="str">
        <f aca="false">IFERROR(IF(A431="","",SUMIFS(Movimientos!E:E, Movimientos!D:D, A431, Movimientos!C:C, "Ingreso", Movimientos!G:G, "G3")+SUMIFS(Movimientos!E:E, Movimientos!D:D, A431, Movimientos!C:C, "Traslado", Movimientos!G:G, "G3")-SUMIFS(Movimientos!E:E, Movimientos!D:D, A431, Movimientos!C:C, "Traslado", Movimientos!F:F, "G3")-SUMIFS(Movimientos!E:E, Movimientos!D:D, A431, Movimientos!C:C, "Egreso", Movimientos!F:F, "G3")+SUMIFS(Movimientos!E:E, Movimientos!D:D, A431, Movimientos!C:C, "Ajuste", Movimientos!F:F, "G3")),"")</f>
        <v/>
      </c>
      <c r="J431" s="6" t="str">
        <f aca="false">IFERROR(IF(A431="","",SUM(E431:I431)),"")</f>
        <v/>
      </c>
      <c r="K431" s="6" t="str">
        <f aca="false">IFERROR(IF(A431="","",SUMIFS(Movimientos!E:E, Movimientos!D:D, A431, Movimientos!C:C, "Reserva")-SUMIFS(Movimientos!E:E, Movimientos!D:D, A431, Movimientos!C:C, "Libera_Reserva")),"")</f>
        <v/>
      </c>
      <c r="L431" s="6" t="str">
        <f aca="false">IFERROR(IF(A431="","",J431-K431),"")</f>
        <v/>
      </c>
      <c r="M431" s="6" t="str">
        <f aca="false">IFERROR(IF(Productos!A431="","",Productos!G431),"")</f>
        <v/>
      </c>
      <c r="N431" s="6" t="str">
        <f aca="false">IFERROR(IF(A431="","",IF(L431&lt;M431,"BAJO STOCK","OK")),"")</f>
        <v/>
      </c>
    </row>
    <row r="432" customFormat="false" ht="15" hidden="false" customHeight="false" outlineLevel="0" collapsed="false">
      <c r="A432" s="0" t="str">
        <f aca="false">IFERROR(IF(Productos!A432="","",Productos!A432),"")</f>
        <v/>
      </c>
      <c r="B432" s="0" t="str">
        <f aca="false">IFERROR(IF(Productos!A432="","",Productos!B432),"")</f>
        <v/>
      </c>
      <c r="C432" s="0" t="str">
        <f aca="false">IFERROR(IF(Productos!A432="","",Productos!C432),"")</f>
        <v/>
      </c>
      <c r="D432" s="0" t="str">
        <f aca="false">IFERROR(IF(Productos!A432="","",Productos!E432),"")</f>
        <v/>
      </c>
      <c r="E432" s="6" t="str">
        <f aca="false">IFERROR(IF(A432="","",SUMIFS(Movimientos!E:E, Movimientos!D:D, A432, Movimientos!C:C, "Ingreso", Movimientos!G:G, "TIN")+SUMIFS(Movimientos!E:E, Movimientos!D:D, A432, Movimientos!C:C, "Traslado", Movimientos!G:G, "TIN")-SUMIFS(Movimientos!E:E, Movimientos!D:D, A432, Movimientos!C:C, "Traslado", Movimientos!F:F, "TIN")-SUMIFS(Movimientos!E:E, Movimientos!D:D, A432, Movimientos!C:C, "Egreso", Movimientos!F:F, "TIN")+SUMIFS(Movimientos!E:E, Movimientos!D:D, A432, Movimientos!C:C, "Ajuste", Movimientos!F:F, "TIN")),"")</f>
        <v/>
      </c>
      <c r="F432" s="6" t="str">
        <f aca="false">IFERROR(IF(A432="","",SUMIFS(Movimientos!E:E, Movimientos!D:D, A432, Movimientos!C:C, "Ingreso", Movimientos!G:G, "G1000")+SUMIFS(Movimientos!E:E, Movimientos!D:D, A432, Movimientos!C:C, "Traslado", Movimientos!G:G, "G1000")-SUMIFS(Movimientos!E:E, Movimientos!D:D, A432, Movimientos!C:C, "Traslado", Movimientos!F:F, "G1000")-SUMIFS(Movimientos!E:E, Movimientos!D:D, A432, Movimientos!C:C, "Egreso", Movimientos!F:F, "G1000")+SUMIFS(Movimientos!E:E, Movimientos!D:D, A432, Movimientos!C:C, "Ajuste", Movimientos!F:F, "G1000")),"")</f>
        <v/>
      </c>
      <c r="G432" s="6" t="str">
        <f aca="false">IFERROR(IF(A432="","",SUMIFS(Movimientos!E:E, Movimientos!D:D, A432, Movimientos!C:C, "Ingreso", Movimientos!G:G, "G710")+SUMIFS(Movimientos!E:E, Movimientos!D:D, A432, Movimientos!C:C, "Traslado", Movimientos!G:G, "G710")-SUMIFS(Movimientos!E:E, Movimientos!D:D, A432, Movimientos!C:C, "Traslado", Movimientos!F:F, "G710")-SUMIFS(Movimientos!E:E, Movimientos!D:D, A432, Movimientos!C:C, "Egreso", Movimientos!F:F, "G710")+SUMIFS(Movimientos!E:E, Movimientos!D:D, A432, Movimientos!C:C, "Ajuste", Movimientos!F:F, "G710")),"")</f>
        <v/>
      </c>
      <c r="H432" s="6" t="str">
        <f aca="false">IFERROR(IF(A432="","",SUMIFS(Movimientos!E:E, Movimientos!D:D, A432, Movimientos!C:C, "Ingreso", Movimientos!G:G, "G5000")+SUMIFS(Movimientos!E:E, Movimientos!D:D, A432, Movimientos!C:C, "Traslado", Movimientos!G:G, "G5000")-SUMIFS(Movimientos!E:E, Movimientos!D:D, A432, Movimientos!C:C, "Traslado", Movimientos!F:F, "G5000")-SUMIFS(Movimientos!E:E, Movimientos!D:D, A432, Movimientos!C:C, "Egreso", Movimientos!F:F, "G5000")+SUMIFS(Movimientos!E:E, Movimientos!D:D, A432, Movimientos!C:C, "Ajuste", Movimientos!F:F, "G5000")),"")</f>
        <v/>
      </c>
      <c r="I432" s="6" t="str">
        <f aca="false">IFERROR(IF(A432="","",SUMIFS(Movimientos!E:E, Movimientos!D:D, A432, Movimientos!C:C, "Ingreso", Movimientos!G:G, "G3")+SUMIFS(Movimientos!E:E, Movimientos!D:D, A432, Movimientos!C:C, "Traslado", Movimientos!G:G, "G3")-SUMIFS(Movimientos!E:E, Movimientos!D:D, A432, Movimientos!C:C, "Traslado", Movimientos!F:F, "G3")-SUMIFS(Movimientos!E:E, Movimientos!D:D, A432, Movimientos!C:C, "Egreso", Movimientos!F:F, "G3")+SUMIFS(Movimientos!E:E, Movimientos!D:D, A432, Movimientos!C:C, "Ajuste", Movimientos!F:F, "G3")),"")</f>
        <v/>
      </c>
      <c r="J432" s="6" t="str">
        <f aca="false">IFERROR(IF(A432="","",SUM(E432:I432)),"")</f>
        <v/>
      </c>
      <c r="K432" s="6" t="str">
        <f aca="false">IFERROR(IF(A432="","",SUMIFS(Movimientos!E:E, Movimientos!D:D, A432, Movimientos!C:C, "Reserva")-SUMIFS(Movimientos!E:E, Movimientos!D:D, A432, Movimientos!C:C, "Libera_Reserva")),"")</f>
        <v/>
      </c>
      <c r="L432" s="6" t="str">
        <f aca="false">IFERROR(IF(A432="","",J432-K432),"")</f>
        <v/>
      </c>
      <c r="M432" s="6" t="str">
        <f aca="false">IFERROR(IF(Productos!A432="","",Productos!G432),"")</f>
        <v/>
      </c>
      <c r="N432" s="6" t="str">
        <f aca="false">IFERROR(IF(A432="","",IF(L432&lt;M432,"BAJO STOCK","OK")),"")</f>
        <v/>
      </c>
    </row>
    <row r="433" customFormat="false" ht="15" hidden="false" customHeight="false" outlineLevel="0" collapsed="false">
      <c r="A433" s="0" t="str">
        <f aca="false">IFERROR(IF(Productos!A433="","",Productos!A433),"")</f>
        <v/>
      </c>
      <c r="B433" s="0" t="str">
        <f aca="false">IFERROR(IF(Productos!A433="","",Productos!B433),"")</f>
        <v/>
      </c>
      <c r="C433" s="0" t="str">
        <f aca="false">IFERROR(IF(Productos!A433="","",Productos!C433),"")</f>
        <v/>
      </c>
      <c r="D433" s="0" t="str">
        <f aca="false">IFERROR(IF(Productos!A433="","",Productos!E433),"")</f>
        <v/>
      </c>
      <c r="E433" s="6" t="str">
        <f aca="false">IFERROR(IF(A433="","",SUMIFS(Movimientos!E:E, Movimientos!D:D, A433, Movimientos!C:C, "Ingreso", Movimientos!G:G, "TIN")+SUMIFS(Movimientos!E:E, Movimientos!D:D, A433, Movimientos!C:C, "Traslado", Movimientos!G:G, "TIN")-SUMIFS(Movimientos!E:E, Movimientos!D:D, A433, Movimientos!C:C, "Traslado", Movimientos!F:F, "TIN")-SUMIFS(Movimientos!E:E, Movimientos!D:D, A433, Movimientos!C:C, "Egreso", Movimientos!F:F, "TIN")+SUMIFS(Movimientos!E:E, Movimientos!D:D, A433, Movimientos!C:C, "Ajuste", Movimientos!F:F, "TIN")),"")</f>
        <v/>
      </c>
      <c r="F433" s="6" t="str">
        <f aca="false">IFERROR(IF(A433="","",SUMIFS(Movimientos!E:E, Movimientos!D:D, A433, Movimientos!C:C, "Ingreso", Movimientos!G:G, "G1000")+SUMIFS(Movimientos!E:E, Movimientos!D:D, A433, Movimientos!C:C, "Traslado", Movimientos!G:G, "G1000")-SUMIFS(Movimientos!E:E, Movimientos!D:D, A433, Movimientos!C:C, "Traslado", Movimientos!F:F, "G1000")-SUMIFS(Movimientos!E:E, Movimientos!D:D, A433, Movimientos!C:C, "Egreso", Movimientos!F:F, "G1000")+SUMIFS(Movimientos!E:E, Movimientos!D:D, A433, Movimientos!C:C, "Ajuste", Movimientos!F:F, "G1000")),"")</f>
        <v/>
      </c>
      <c r="G433" s="6" t="str">
        <f aca="false">IFERROR(IF(A433="","",SUMIFS(Movimientos!E:E, Movimientos!D:D, A433, Movimientos!C:C, "Ingreso", Movimientos!G:G, "G710")+SUMIFS(Movimientos!E:E, Movimientos!D:D, A433, Movimientos!C:C, "Traslado", Movimientos!G:G, "G710")-SUMIFS(Movimientos!E:E, Movimientos!D:D, A433, Movimientos!C:C, "Traslado", Movimientos!F:F, "G710")-SUMIFS(Movimientos!E:E, Movimientos!D:D, A433, Movimientos!C:C, "Egreso", Movimientos!F:F, "G710")+SUMIFS(Movimientos!E:E, Movimientos!D:D, A433, Movimientos!C:C, "Ajuste", Movimientos!F:F, "G710")),"")</f>
        <v/>
      </c>
      <c r="H433" s="6" t="str">
        <f aca="false">IFERROR(IF(A433="","",SUMIFS(Movimientos!E:E, Movimientos!D:D, A433, Movimientos!C:C, "Ingreso", Movimientos!G:G, "G5000")+SUMIFS(Movimientos!E:E, Movimientos!D:D, A433, Movimientos!C:C, "Traslado", Movimientos!G:G, "G5000")-SUMIFS(Movimientos!E:E, Movimientos!D:D, A433, Movimientos!C:C, "Traslado", Movimientos!F:F, "G5000")-SUMIFS(Movimientos!E:E, Movimientos!D:D, A433, Movimientos!C:C, "Egreso", Movimientos!F:F, "G5000")+SUMIFS(Movimientos!E:E, Movimientos!D:D, A433, Movimientos!C:C, "Ajuste", Movimientos!F:F, "G5000")),"")</f>
        <v/>
      </c>
      <c r="I433" s="6" t="str">
        <f aca="false">IFERROR(IF(A433="","",SUMIFS(Movimientos!E:E, Movimientos!D:D, A433, Movimientos!C:C, "Ingreso", Movimientos!G:G, "G3")+SUMIFS(Movimientos!E:E, Movimientos!D:D, A433, Movimientos!C:C, "Traslado", Movimientos!G:G, "G3")-SUMIFS(Movimientos!E:E, Movimientos!D:D, A433, Movimientos!C:C, "Traslado", Movimientos!F:F, "G3")-SUMIFS(Movimientos!E:E, Movimientos!D:D, A433, Movimientos!C:C, "Egreso", Movimientos!F:F, "G3")+SUMIFS(Movimientos!E:E, Movimientos!D:D, A433, Movimientos!C:C, "Ajuste", Movimientos!F:F, "G3")),"")</f>
        <v/>
      </c>
      <c r="J433" s="6" t="str">
        <f aca="false">IFERROR(IF(A433="","",SUM(E433:I433)),"")</f>
        <v/>
      </c>
      <c r="K433" s="6" t="str">
        <f aca="false">IFERROR(IF(A433="","",SUMIFS(Movimientos!E:E, Movimientos!D:D, A433, Movimientos!C:C, "Reserva")-SUMIFS(Movimientos!E:E, Movimientos!D:D, A433, Movimientos!C:C, "Libera_Reserva")),"")</f>
        <v/>
      </c>
      <c r="L433" s="6" t="str">
        <f aca="false">IFERROR(IF(A433="","",J433-K433),"")</f>
        <v/>
      </c>
      <c r="M433" s="6" t="str">
        <f aca="false">IFERROR(IF(Productos!A433="","",Productos!G433),"")</f>
        <v/>
      </c>
      <c r="N433" s="6" t="str">
        <f aca="false">IFERROR(IF(A433="","",IF(L433&lt;M433,"BAJO STOCK","OK")),"")</f>
        <v/>
      </c>
    </row>
    <row r="434" customFormat="false" ht="15" hidden="false" customHeight="false" outlineLevel="0" collapsed="false">
      <c r="A434" s="0" t="str">
        <f aca="false">IFERROR(IF(Productos!A434="","",Productos!A434),"")</f>
        <v/>
      </c>
      <c r="B434" s="0" t="str">
        <f aca="false">IFERROR(IF(Productos!A434="","",Productos!B434),"")</f>
        <v/>
      </c>
      <c r="C434" s="0" t="str">
        <f aca="false">IFERROR(IF(Productos!A434="","",Productos!C434),"")</f>
        <v/>
      </c>
      <c r="D434" s="0" t="str">
        <f aca="false">IFERROR(IF(Productos!A434="","",Productos!E434),"")</f>
        <v/>
      </c>
      <c r="E434" s="6" t="str">
        <f aca="false">IFERROR(IF(A434="","",SUMIFS(Movimientos!E:E, Movimientos!D:D, A434, Movimientos!C:C, "Ingreso", Movimientos!G:G, "TIN")+SUMIFS(Movimientos!E:E, Movimientos!D:D, A434, Movimientos!C:C, "Traslado", Movimientos!G:G, "TIN")-SUMIFS(Movimientos!E:E, Movimientos!D:D, A434, Movimientos!C:C, "Traslado", Movimientos!F:F, "TIN")-SUMIFS(Movimientos!E:E, Movimientos!D:D, A434, Movimientos!C:C, "Egreso", Movimientos!F:F, "TIN")+SUMIFS(Movimientos!E:E, Movimientos!D:D, A434, Movimientos!C:C, "Ajuste", Movimientos!F:F, "TIN")),"")</f>
        <v/>
      </c>
      <c r="F434" s="6" t="str">
        <f aca="false">IFERROR(IF(A434="","",SUMIFS(Movimientos!E:E, Movimientos!D:D, A434, Movimientos!C:C, "Ingreso", Movimientos!G:G, "G1000")+SUMIFS(Movimientos!E:E, Movimientos!D:D, A434, Movimientos!C:C, "Traslado", Movimientos!G:G, "G1000")-SUMIFS(Movimientos!E:E, Movimientos!D:D, A434, Movimientos!C:C, "Traslado", Movimientos!F:F, "G1000")-SUMIFS(Movimientos!E:E, Movimientos!D:D, A434, Movimientos!C:C, "Egreso", Movimientos!F:F, "G1000")+SUMIFS(Movimientos!E:E, Movimientos!D:D, A434, Movimientos!C:C, "Ajuste", Movimientos!F:F, "G1000")),"")</f>
        <v/>
      </c>
      <c r="G434" s="6" t="str">
        <f aca="false">IFERROR(IF(A434="","",SUMIFS(Movimientos!E:E, Movimientos!D:D, A434, Movimientos!C:C, "Ingreso", Movimientos!G:G, "G710")+SUMIFS(Movimientos!E:E, Movimientos!D:D, A434, Movimientos!C:C, "Traslado", Movimientos!G:G, "G710")-SUMIFS(Movimientos!E:E, Movimientos!D:D, A434, Movimientos!C:C, "Traslado", Movimientos!F:F, "G710")-SUMIFS(Movimientos!E:E, Movimientos!D:D, A434, Movimientos!C:C, "Egreso", Movimientos!F:F, "G710")+SUMIFS(Movimientos!E:E, Movimientos!D:D, A434, Movimientos!C:C, "Ajuste", Movimientos!F:F, "G710")),"")</f>
        <v/>
      </c>
      <c r="H434" s="6" t="str">
        <f aca="false">IFERROR(IF(A434="","",SUMIFS(Movimientos!E:E, Movimientos!D:D, A434, Movimientos!C:C, "Ingreso", Movimientos!G:G, "G5000")+SUMIFS(Movimientos!E:E, Movimientos!D:D, A434, Movimientos!C:C, "Traslado", Movimientos!G:G, "G5000")-SUMIFS(Movimientos!E:E, Movimientos!D:D, A434, Movimientos!C:C, "Traslado", Movimientos!F:F, "G5000")-SUMIFS(Movimientos!E:E, Movimientos!D:D, A434, Movimientos!C:C, "Egreso", Movimientos!F:F, "G5000")+SUMIFS(Movimientos!E:E, Movimientos!D:D, A434, Movimientos!C:C, "Ajuste", Movimientos!F:F, "G5000")),"")</f>
        <v/>
      </c>
      <c r="I434" s="6" t="str">
        <f aca="false">IFERROR(IF(A434="","",SUMIFS(Movimientos!E:E, Movimientos!D:D, A434, Movimientos!C:C, "Ingreso", Movimientos!G:G, "G3")+SUMIFS(Movimientos!E:E, Movimientos!D:D, A434, Movimientos!C:C, "Traslado", Movimientos!G:G, "G3")-SUMIFS(Movimientos!E:E, Movimientos!D:D, A434, Movimientos!C:C, "Traslado", Movimientos!F:F, "G3")-SUMIFS(Movimientos!E:E, Movimientos!D:D, A434, Movimientos!C:C, "Egreso", Movimientos!F:F, "G3")+SUMIFS(Movimientos!E:E, Movimientos!D:D, A434, Movimientos!C:C, "Ajuste", Movimientos!F:F, "G3")),"")</f>
        <v/>
      </c>
      <c r="J434" s="6" t="str">
        <f aca="false">IFERROR(IF(A434="","",SUM(E434:I434)),"")</f>
        <v/>
      </c>
      <c r="K434" s="6" t="str">
        <f aca="false">IFERROR(IF(A434="","",SUMIFS(Movimientos!E:E, Movimientos!D:D, A434, Movimientos!C:C, "Reserva")-SUMIFS(Movimientos!E:E, Movimientos!D:D, A434, Movimientos!C:C, "Libera_Reserva")),"")</f>
        <v/>
      </c>
      <c r="L434" s="6" t="str">
        <f aca="false">IFERROR(IF(A434="","",J434-K434),"")</f>
        <v/>
      </c>
      <c r="M434" s="6" t="str">
        <f aca="false">IFERROR(IF(Productos!A434="","",Productos!G434),"")</f>
        <v/>
      </c>
      <c r="N434" s="6" t="str">
        <f aca="false">IFERROR(IF(A434="","",IF(L434&lt;M434,"BAJO STOCK","OK")),"")</f>
        <v/>
      </c>
    </row>
    <row r="435" customFormat="false" ht="15" hidden="false" customHeight="false" outlineLevel="0" collapsed="false">
      <c r="A435" s="0" t="str">
        <f aca="false">IFERROR(IF(Productos!A435="","",Productos!A435),"")</f>
        <v/>
      </c>
      <c r="B435" s="0" t="str">
        <f aca="false">IFERROR(IF(Productos!A435="","",Productos!B435),"")</f>
        <v/>
      </c>
      <c r="C435" s="0" t="str">
        <f aca="false">IFERROR(IF(Productos!A435="","",Productos!C435),"")</f>
        <v/>
      </c>
      <c r="D435" s="0" t="str">
        <f aca="false">IFERROR(IF(Productos!A435="","",Productos!E435),"")</f>
        <v/>
      </c>
      <c r="E435" s="6" t="str">
        <f aca="false">IFERROR(IF(A435="","",SUMIFS(Movimientos!E:E, Movimientos!D:D, A435, Movimientos!C:C, "Ingreso", Movimientos!G:G, "TIN")+SUMIFS(Movimientos!E:E, Movimientos!D:D, A435, Movimientos!C:C, "Traslado", Movimientos!G:G, "TIN")-SUMIFS(Movimientos!E:E, Movimientos!D:D, A435, Movimientos!C:C, "Traslado", Movimientos!F:F, "TIN")-SUMIFS(Movimientos!E:E, Movimientos!D:D, A435, Movimientos!C:C, "Egreso", Movimientos!F:F, "TIN")+SUMIFS(Movimientos!E:E, Movimientos!D:D, A435, Movimientos!C:C, "Ajuste", Movimientos!F:F, "TIN")),"")</f>
        <v/>
      </c>
      <c r="F435" s="6" t="str">
        <f aca="false">IFERROR(IF(A435="","",SUMIFS(Movimientos!E:E, Movimientos!D:D, A435, Movimientos!C:C, "Ingreso", Movimientos!G:G, "G1000")+SUMIFS(Movimientos!E:E, Movimientos!D:D, A435, Movimientos!C:C, "Traslado", Movimientos!G:G, "G1000")-SUMIFS(Movimientos!E:E, Movimientos!D:D, A435, Movimientos!C:C, "Traslado", Movimientos!F:F, "G1000")-SUMIFS(Movimientos!E:E, Movimientos!D:D, A435, Movimientos!C:C, "Egreso", Movimientos!F:F, "G1000")+SUMIFS(Movimientos!E:E, Movimientos!D:D, A435, Movimientos!C:C, "Ajuste", Movimientos!F:F, "G1000")),"")</f>
        <v/>
      </c>
      <c r="G435" s="6" t="str">
        <f aca="false">IFERROR(IF(A435="","",SUMIFS(Movimientos!E:E, Movimientos!D:D, A435, Movimientos!C:C, "Ingreso", Movimientos!G:G, "G710")+SUMIFS(Movimientos!E:E, Movimientos!D:D, A435, Movimientos!C:C, "Traslado", Movimientos!G:G, "G710")-SUMIFS(Movimientos!E:E, Movimientos!D:D, A435, Movimientos!C:C, "Traslado", Movimientos!F:F, "G710")-SUMIFS(Movimientos!E:E, Movimientos!D:D, A435, Movimientos!C:C, "Egreso", Movimientos!F:F, "G710")+SUMIFS(Movimientos!E:E, Movimientos!D:D, A435, Movimientos!C:C, "Ajuste", Movimientos!F:F, "G710")),"")</f>
        <v/>
      </c>
      <c r="H435" s="6" t="str">
        <f aca="false">IFERROR(IF(A435="","",SUMIFS(Movimientos!E:E, Movimientos!D:D, A435, Movimientos!C:C, "Ingreso", Movimientos!G:G, "G5000")+SUMIFS(Movimientos!E:E, Movimientos!D:D, A435, Movimientos!C:C, "Traslado", Movimientos!G:G, "G5000")-SUMIFS(Movimientos!E:E, Movimientos!D:D, A435, Movimientos!C:C, "Traslado", Movimientos!F:F, "G5000")-SUMIFS(Movimientos!E:E, Movimientos!D:D, A435, Movimientos!C:C, "Egreso", Movimientos!F:F, "G5000")+SUMIFS(Movimientos!E:E, Movimientos!D:D, A435, Movimientos!C:C, "Ajuste", Movimientos!F:F, "G5000")),"")</f>
        <v/>
      </c>
      <c r="I435" s="6" t="str">
        <f aca="false">IFERROR(IF(A435="","",SUMIFS(Movimientos!E:E, Movimientos!D:D, A435, Movimientos!C:C, "Ingreso", Movimientos!G:G, "G3")+SUMIFS(Movimientos!E:E, Movimientos!D:D, A435, Movimientos!C:C, "Traslado", Movimientos!G:G, "G3")-SUMIFS(Movimientos!E:E, Movimientos!D:D, A435, Movimientos!C:C, "Traslado", Movimientos!F:F, "G3")-SUMIFS(Movimientos!E:E, Movimientos!D:D, A435, Movimientos!C:C, "Egreso", Movimientos!F:F, "G3")+SUMIFS(Movimientos!E:E, Movimientos!D:D, A435, Movimientos!C:C, "Ajuste", Movimientos!F:F, "G3")),"")</f>
        <v/>
      </c>
      <c r="J435" s="6" t="str">
        <f aca="false">IFERROR(IF(A435="","",SUM(E435:I435)),"")</f>
        <v/>
      </c>
      <c r="K435" s="6" t="str">
        <f aca="false">IFERROR(IF(A435="","",SUMIFS(Movimientos!E:E, Movimientos!D:D, A435, Movimientos!C:C, "Reserva")-SUMIFS(Movimientos!E:E, Movimientos!D:D, A435, Movimientos!C:C, "Libera_Reserva")),"")</f>
        <v/>
      </c>
      <c r="L435" s="6" t="str">
        <f aca="false">IFERROR(IF(A435="","",J435-K435),"")</f>
        <v/>
      </c>
      <c r="M435" s="6" t="str">
        <f aca="false">IFERROR(IF(Productos!A435="","",Productos!G435),"")</f>
        <v/>
      </c>
      <c r="N435" s="6" t="str">
        <f aca="false">IFERROR(IF(A435="","",IF(L435&lt;M435,"BAJO STOCK","OK")),"")</f>
        <v/>
      </c>
    </row>
    <row r="436" customFormat="false" ht="15" hidden="false" customHeight="false" outlineLevel="0" collapsed="false">
      <c r="A436" s="0" t="str">
        <f aca="false">IFERROR(IF(Productos!A436="","",Productos!A436),"")</f>
        <v/>
      </c>
      <c r="B436" s="0" t="str">
        <f aca="false">IFERROR(IF(Productos!A436="","",Productos!B436),"")</f>
        <v/>
      </c>
      <c r="C436" s="0" t="str">
        <f aca="false">IFERROR(IF(Productos!A436="","",Productos!C436),"")</f>
        <v/>
      </c>
      <c r="D436" s="0" t="str">
        <f aca="false">IFERROR(IF(Productos!A436="","",Productos!E436),"")</f>
        <v/>
      </c>
      <c r="E436" s="6" t="str">
        <f aca="false">IFERROR(IF(A436="","",SUMIFS(Movimientos!E:E, Movimientos!D:D, A436, Movimientos!C:C, "Ingreso", Movimientos!G:G, "TIN")+SUMIFS(Movimientos!E:E, Movimientos!D:D, A436, Movimientos!C:C, "Traslado", Movimientos!G:G, "TIN")-SUMIFS(Movimientos!E:E, Movimientos!D:D, A436, Movimientos!C:C, "Traslado", Movimientos!F:F, "TIN")-SUMIFS(Movimientos!E:E, Movimientos!D:D, A436, Movimientos!C:C, "Egreso", Movimientos!F:F, "TIN")+SUMIFS(Movimientos!E:E, Movimientos!D:D, A436, Movimientos!C:C, "Ajuste", Movimientos!F:F, "TIN")),"")</f>
        <v/>
      </c>
      <c r="F436" s="6" t="str">
        <f aca="false">IFERROR(IF(A436="","",SUMIFS(Movimientos!E:E, Movimientos!D:D, A436, Movimientos!C:C, "Ingreso", Movimientos!G:G, "G1000")+SUMIFS(Movimientos!E:E, Movimientos!D:D, A436, Movimientos!C:C, "Traslado", Movimientos!G:G, "G1000")-SUMIFS(Movimientos!E:E, Movimientos!D:D, A436, Movimientos!C:C, "Traslado", Movimientos!F:F, "G1000")-SUMIFS(Movimientos!E:E, Movimientos!D:D, A436, Movimientos!C:C, "Egreso", Movimientos!F:F, "G1000")+SUMIFS(Movimientos!E:E, Movimientos!D:D, A436, Movimientos!C:C, "Ajuste", Movimientos!F:F, "G1000")),"")</f>
        <v/>
      </c>
      <c r="G436" s="6" t="str">
        <f aca="false">IFERROR(IF(A436="","",SUMIFS(Movimientos!E:E, Movimientos!D:D, A436, Movimientos!C:C, "Ingreso", Movimientos!G:G, "G710")+SUMIFS(Movimientos!E:E, Movimientos!D:D, A436, Movimientos!C:C, "Traslado", Movimientos!G:G, "G710")-SUMIFS(Movimientos!E:E, Movimientos!D:D, A436, Movimientos!C:C, "Traslado", Movimientos!F:F, "G710")-SUMIFS(Movimientos!E:E, Movimientos!D:D, A436, Movimientos!C:C, "Egreso", Movimientos!F:F, "G710")+SUMIFS(Movimientos!E:E, Movimientos!D:D, A436, Movimientos!C:C, "Ajuste", Movimientos!F:F, "G710")),"")</f>
        <v/>
      </c>
      <c r="H436" s="6" t="str">
        <f aca="false">IFERROR(IF(A436="","",SUMIFS(Movimientos!E:E, Movimientos!D:D, A436, Movimientos!C:C, "Ingreso", Movimientos!G:G, "G5000")+SUMIFS(Movimientos!E:E, Movimientos!D:D, A436, Movimientos!C:C, "Traslado", Movimientos!G:G, "G5000")-SUMIFS(Movimientos!E:E, Movimientos!D:D, A436, Movimientos!C:C, "Traslado", Movimientos!F:F, "G5000")-SUMIFS(Movimientos!E:E, Movimientos!D:D, A436, Movimientos!C:C, "Egreso", Movimientos!F:F, "G5000")+SUMIFS(Movimientos!E:E, Movimientos!D:D, A436, Movimientos!C:C, "Ajuste", Movimientos!F:F, "G5000")),"")</f>
        <v/>
      </c>
      <c r="I436" s="6" t="str">
        <f aca="false">IFERROR(IF(A436="","",SUMIFS(Movimientos!E:E, Movimientos!D:D, A436, Movimientos!C:C, "Ingreso", Movimientos!G:G, "G3")+SUMIFS(Movimientos!E:E, Movimientos!D:D, A436, Movimientos!C:C, "Traslado", Movimientos!G:G, "G3")-SUMIFS(Movimientos!E:E, Movimientos!D:D, A436, Movimientos!C:C, "Traslado", Movimientos!F:F, "G3")-SUMIFS(Movimientos!E:E, Movimientos!D:D, A436, Movimientos!C:C, "Egreso", Movimientos!F:F, "G3")+SUMIFS(Movimientos!E:E, Movimientos!D:D, A436, Movimientos!C:C, "Ajuste", Movimientos!F:F, "G3")),"")</f>
        <v/>
      </c>
      <c r="J436" s="6" t="str">
        <f aca="false">IFERROR(IF(A436="","",SUM(E436:I436)),"")</f>
        <v/>
      </c>
      <c r="K436" s="6" t="str">
        <f aca="false">IFERROR(IF(A436="","",SUMIFS(Movimientos!E:E, Movimientos!D:D, A436, Movimientos!C:C, "Reserva")-SUMIFS(Movimientos!E:E, Movimientos!D:D, A436, Movimientos!C:C, "Libera_Reserva")),"")</f>
        <v/>
      </c>
      <c r="L436" s="6" t="str">
        <f aca="false">IFERROR(IF(A436="","",J436-K436),"")</f>
        <v/>
      </c>
      <c r="M436" s="6" t="str">
        <f aca="false">IFERROR(IF(Productos!A436="","",Productos!G436),"")</f>
        <v/>
      </c>
      <c r="N436" s="6" t="str">
        <f aca="false">IFERROR(IF(A436="","",IF(L436&lt;M436,"BAJO STOCK","OK")),"")</f>
        <v/>
      </c>
    </row>
    <row r="437" customFormat="false" ht="15" hidden="false" customHeight="false" outlineLevel="0" collapsed="false">
      <c r="A437" s="0" t="str">
        <f aca="false">IFERROR(IF(Productos!A437="","",Productos!A437),"")</f>
        <v/>
      </c>
      <c r="B437" s="0" t="str">
        <f aca="false">IFERROR(IF(Productos!A437="","",Productos!B437),"")</f>
        <v/>
      </c>
      <c r="C437" s="0" t="str">
        <f aca="false">IFERROR(IF(Productos!A437="","",Productos!C437),"")</f>
        <v/>
      </c>
      <c r="D437" s="0" t="str">
        <f aca="false">IFERROR(IF(Productos!A437="","",Productos!E437),"")</f>
        <v/>
      </c>
      <c r="E437" s="6" t="str">
        <f aca="false">IFERROR(IF(A437="","",SUMIFS(Movimientos!E:E, Movimientos!D:D, A437, Movimientos!C:C, "Ingreso", Movimientos!G:G, "TIN")+SUMIFS(Movimientos!E:E, Movimientos!D:D, A437, Movimientos!C:C, "Traslado", Movimientos!G:G, "TIN")-SUMIFS(Movimientos!E:E, Movimientos!D:D, A437, Movimientos!C:C, "Traslado", Movimientos!F:F, "TIN")-SUMIFS(Movimientos!E:E, Movimientos!D:D, A437, Movimientos!C:C, "Egreso", Movimientos!F:F, "TIN")+SUMIFS(Movimientos!E:E, Movimientos!D:D, A437, Movimientos!C:C, "Ajuste", Movimientos!F:F, "TIN")),"")</f>
        <v/>
      </c>
      <c r="F437" s="6" t="str">
        <f aca="false">IFERROR(IF(A437="","",SUMIFS(Movimientos!E:E, Movimientos!D:D, A437, Movimientos!C:C, "Ingreso", Movimientos!G:G, "G1000")+SUMIFS(Movimientos!E:E, Movimientos!D:D, A437, Movimientos!C:C, "Traslado", Movimientos!G:G, "G1000")-SUMIFS(Movimientos!E:E, Movimientos!D:D, A437, Movimientos!C:C, "Traslado", Movimientos!F:F, "G1000")-SUMIFS(Movimientos!E:E, Movimientos!D:D, A437, Movimientos!C:C, "Egreso", Movimientos!F:F, "G1000")+SUMIFS(Movimientos!E:E, Movimientos!D:D, A437, Movimientos!C:C, "Ajuste", Movimientos!F:F, "G1000")),"")</f>
        <v/>
      </c>
      <c r="G437" s="6" t="str">
        <f aca="false">IFERROR(IF(A437="","",SUMIFS(Movimientos!E:E, Movimientos!D:D, A437, Movimientos!C:C, "Ingreso", Movimientos!G:G, "G710")+SUMIFS(Movimientos!E:E, Movimientos!D:D, A437, Movimientos!C:C, "Traslado", Movimientos!G:G, "G710")-SUMIFS(Movimientos!E:E, Movimientos!D:D, A437, Movimientos!C:C, "Traslado", Movimientos!F:F, "G710")-SUMIFS(Movimientos!E:E, Movimientos!D:D, A437, Movimientos!C:C, "Egreso", Movimientos!F:F, "G710")+SUMIFS(Movimientos!E:E, Movimientos!D:D, A437, Movimientos!C:C, "Ajuste", Movimientos!F:F, "G710")),"")</f>
        <v/>
      </c>
      <c r="H437" s="6" t="str">
        <f aca="false">IFERROR(IF(A437="","",SUMIFS(Movimientos!E:E, Movimientos!D:D, A437, Movimientos!C:C, "Ingreso", Movimientos!G:G, "G5000")+SUMIFS(Movimientos!E:E, Movimientos!D:D, A437, Movimientos!C:C, "Traslado", Movimientos!G:G, "G5000")-SUMIFS(Movimientos!E:E, Movimientos!D:D, A437, Movimientos!C:C, "Traslado", Movimientos!F:F, "G5000")-SUMIFS(Movimientos!E:E, Movimientos!D:D, A437, Movimientos!C:C, "Egreso", Movimientos!F:F, "G5000")+SUMIFS(Movimientos!E:E, Movimientos!D:D, A437, Movimientos!C:C, "Ajuste", Movimientos!F:F, "G5000")),"")</f>
        <v/>
      </c>
      <c r="I437" s="6" t="str">
        <f aca="false">IFERROR(IF(A437="","",SUMIFS(Movimientos!E:E, Movimientos!D:D, A437, Movimientos!C:C, "Ingreso", Movimientos!G:G, "G3")+SUMIFS(Movimientos!E:E, Movimientos!D:D, A437, Movimientos!C:C, "Traslado", Movimientos!G:G, "G3")-SUMIFS(Movimientos!E:E, Movimientos!D:D, A437, Movimientos!C:C, "Traslado", Movimientos!F:F, "G3")-SUMIFS(Movimientos!E:E, Movimientos!D:D, A437, Movimientos!C:C, "Egreso", Movimientos!F:F, "G3")+SUMIFS(Movimientos!E:E, Movimientos!D:D, A437, Movimientos!C:C, "Ajuste", Movimientos!F:F, "G3")),"")</f>
        <v/>
      </c>
      <c r="J437" s="6" t="str">
        <f aca="false">IFERROR(IF(A437="","",SUM(E437:I437)),"")</f>
        <v/>
      </c>
      <c r="K437" s="6" t="str">
        <f aca="false">IFERROR(IF(A437="","",SUMIFS(Movimientos!E:E, Movimientos!D:D, A437, Movimientos!C:C, "Reserva")-SUMIFS(Movimientos!E:E, Movimientos!D:D, A437, Movimientos!C:C, "Libera_Reserva")),"")</f>
        <v/>
      </c>
      <c r="L437" s="6" t="str">
        <f aca="false">IFERROR(IF(A437="","",J437-K437),"")</f>
        <v/>
      </c>
      <c r="M437" s="6" t="str">
        <f aca="false">IFERROR(IF(Productos!A437="","",Productos!G437),"")</f>
        <v/>
      </c>
      <c r="N437" s="6" t="str">
        <f aca="false">IFERROR(IF(A437="","",IF(L437&lt;M437,"BAJO STOCK","OK")),"")</f>
        <v/>
      </c>
    </row>
    <row r="438" customFormat="false" ht="15" hidden="false" customHeight="false" outlineLevel="0" collapsed="false">
      <c r="A438" s="0" t="str">
        <f aca="false">IFERROR(IF(Productos!A438="","",Productos!A438),"")</f>
        <v/>
      </c>
      <c r="B438" s="0" t="str">
        <f aca="false">IFERROR(IF(Productos!A438="","",Productos!B438),"")</f>
        <v/>
      </c>
      <c r="C438" s="0" t="str">
        <f aca="false">IFERROR(IF(Productos!A438="","",Productos!C438),"")</f>
        <v/>
      </c>
      <c r="D438" s="0" t="str">
        <f aca="false">IFERROR(IF(Productos!A438="","",Productos!E438),"")</f>
        <v/>
      </c>
      <c r="E438" s="6" t="str">
        <f aca="false">IFERROR(IF(A438="","",SUMIFS(Movimientos!E:E, Movimientos!D:D, A438, Movimientos!C:C, "Ingreso", Movimientos!G:G, "TIN")+SUMIFS(Movimientos!E:E, Movimientos!D:D, A438, Movimientos!C:C, "Traslado", Movimientos!G:G, "TIN")-SUMIFS(Movimientos!E:E, Movimientos!D:D, A438, Movimientos!C:C, "Traslado", Movimientos!F:F, "TIN")-SUMIFS(Movimientos!E:E, Movimientos!D:D, A438, Movimientos!C:C, "Egreso", Movimientos!F:F, "TIN")+SUMIFS(Movimientos!E:E, Movimientos!D:D, A438, Movimientos!C:C, "Ajuste", Movimientos!F:F, "TIN")),"")</f>
        <v/>
      </c>
      <c r="F438" s="6" t="str">
        <f aca="false">IFERROR(IF(A438="","",SUMIFS(Movimientos!E:E, Movimientos!D:D, A438, Movimientos!C:C, "Ingreso", Movimientos!G:G, "G1000")+SUMIFS(Movimientos!E:E, Movimientos!D:D, A438, Movimientos!C:C, "Traslado", Movimientos!G:G, "G1000")-SUMIFS(Movimientos!E:E, Movimientos!D:D, A438, Movimientos!C:C, "Traslado", Movimientos!F:F, "G1000")-SUMIFS(Movimientos!E:E, Movimientos!D:D, A438, Movimientos!C:C, "Egreso", Movimientos!F:F, "G1000")+SUMIFS(Movimientos!E:E, Movimientos!D:D, A438, Movimientos!C:C, "Ajuste", Movimientos!F:F, "G1000")),"")</f>
        <v/>
      </c>
      <c r="G438" s="6" t="str">
        <f aca="false">IFERROR(IF(A438="","",SUMIFS(Movimientos!E:E, Movimientos!D:D, A438, Movimientos!C:C, "Ingreso", Movimientos!G:G, "G710")+SUMIFS(Movimientos!E:E, Movimientos!D:D, A438, Movimientos!C:C, "Traslado", Movimientos!G:G, "G710")-SUMIFS(Movimientos!E:E, Movimientos!D:D, A438, Movimientos!C:C, "Traslado", Movimientos!F:F, "G710")-SUMIFS(Movimientos!E:E, Movimientos!D:D, A438, Movimientos!C:C, "Egreso", Movimientos!F:F, "G710")+SUMIFS(Movimientos!E:E, Movimientos!D:D, A438, Movimientos!C:C, "Ajuste", Movimientos!F:F, "G710")),"")</f>
        <v/>
      </c>
      <c r="H438" s="6" t="str">
        <f aca="false">IFERROR(IF(A438="","",SUMIFS(Movimientos!E:E, Movimientos!D:D, A438, Movimientos!C:C, "Ingreso", Movimientos!G:G, "G5000")+SUMIFS(Movimientos!E:E, Movimientos!D:D, A438, Movimientos!C:C, "Traslado", Movimientos!G:G, "G5000")-SUMIFS(Movimientos!E:E, Movimientos!D:D, A438, Movimientos!C:C, "Traslado", Movimientos!F:F, "G5000")-SUMIFS(Movimientos!E:E, Movimientos!D:D, A438, Movimientos!C:C, "Egreso", Movimientos!F:F, "G5000")+SUMIFS(Movimientos!E:E, Movimientos!D:D, A438, Movimientos!C:C, "Ajuste", Movimientos!F:F, "G5000")),"")</f>
        <v/>
      </c>
      <c r="I438" s="6" t="str">
        <f aca="false">IFERROR(IF(A438="","",SUMIFS(Movimientos!E:E, Movimientos!D:D, A438, Movimientos!C:C, "Ingreso", Movimientos!G:G, "G3")+SUMIFS(Movimientos!E:E, Movimientos!D:D, A438, Movimientos!C:C, "Traslado", Movimientos!G:G, "G3")-SUMIFS(Movimientos!E:E, Movimientos!D:D, A438, Movimientos!C:C, "Traslado", Movimientos!F:F, "G3")-SUMIFS(Movimientos!E:E, Movimientos!D:D, A438, Movimientos!C:C, "Egreso", Movimientos!F:F, "G3")+SUMIFS(Movimientos!E:E, Movimientos!D:D, A438, Movimientos!C:C, "Ajuste", Movimientos!F:F, "G3")),"")</f>
        <v/>
      </c>
      <c r="J438" s="6" t="str">
        <f aca="false">IFERROR(IF(A438="","",SUM(E438:I438)),"")</f>
        <v/>
      </c>
      <c r="K438" s="6" t="str">
        <f aca="false">IFERROR(IF(A438="","",SUMIFS(Movimientos!E:E, Movimientos!D:D, A438, Movimientos!C:C, "Reserva")-SUMIFS(Movimientos!E:E, Movimientos!D:D, A438, Movimientos!C:C, "Libera_Reserva")),"")</f>
        <v/>
      </c>
      <c r="L438" s="6" t="str">
        <f aca="false">IFERROR(IF(A438="","",J438-K438),"")</f>
        <v/>
      </c>
      <c r="M438" s="6" t="str">
        <f aca="false">IFERROR(IF(Productos!A438="","",Productos!G438),"")</f>
        <v/>
      </c>
      <c r="N438" s="6" t="str">
        <f aca="false">IFERROR(IF(A438="","",IF(L438&lt;M438,"BAJO STOCK","OK")),"")</f>
        <v/>
      </c>
    </row>
    <row r="439" customFormat="false" ht="15" hidden="false" customHeight="false" outlineLevel="0" collapsed="false">
      <c r="A439" s="0" t="str">
        <f aca="false">IFERROR(IF(Productos!A439="","",Productos!A439),"")</f>
        <v/>
      </c>
      <c r="B439" s="0" t="str">
        <f aca="false">IFERROR(IF(Productos!A439="","",Productos!B439),"")</f>
        <v/>
      </c>
      <c r="C439" s="0" t="str">
        <f aca="false">IFERROR(IF(Productos!A439="","",Productos!C439),"")</f>
        <v/>
      </c>
      <c r="D439" s="0" t="str">
        <f aca="false">IFERROR(IF(Productos!A439="","",Productos!E439),"")</f>
        <v/>
      </c>
      <c r="E439" s="6" t="str">
        <f aca="false">IFERROR(IF(A439="","",SUMIFS(Movimientos!E:E, Movimientos!D:D, A439, Movimientos!C:C, "Ingreso", Movimientos!G:G, "TIN")+SUMIFS(Movimientos!E:E, Movimientos!D:D, A439, Movimientos!C:C, "Traslado", Movimientos!G:G, "TIN")-SUMIFS(Movimientos!E:E, Movimientos!D:D, A439, Movimientos!C:C, "Traslado", Movimientos!F:F, "TIN")-SUMIFS(Movimientos!E:E, Movimientos!D:D, A439, Movimientos!C:C, "Egreso", Movimientos!F:F, "TIN")+SUMIFS(Movimientos!E:E, Movimientos!D:D, A439, Movimientos!C:C, "Ajuste", Movimientos!F:F, "TIN")),"")</f>
        <v/>
      </c>
      <c r="F439" s="6" t="str">
        <f aca="false">IFERROR(IF(A439="","",SUMIFS(Movimientos!E:E, Movimientos!D:D, A439, Movimientos!C:C, "Ingreso", Movimientos!G:G, "G1000")+SUMIFS(Movimientos!E:E, Movimientos!D:D, A439, Movimientos!C:C, "Traslado", Movimientos!G:G, "G1000")-SUMIFS(Movimientos!E:E, Movimientos!D:D, A439, Movimientos!C:C, "Traslado", Movimientos!F:F, "G1000")-SUMIFS(Movimientos!E:E, Movimientos!D:D, A439, Movimientos!C:C, "Egreso", Movimientos!F:F, "G1000")+SUMIFS(Movimientos!E:E, Movimientos!D:D, A439, Movimientos!C:C, "Ajuste", Movimientos!F:F, "G1000")),"")</f>
        <v/>
      </c>
      <c r="G439" s="6" t="str">
        <f aca="false">IFERROR(IF(A439="","",SUMIFS(Movimientos!E:E, Movimientos!D:D, A439, Movimientos!C:C, "Ingreso", Movimientos!G:G, "G710")+SUMIFS(Movimientos!E:E, Movimientos!D:D, A439, Movimientos!C:C, "Traslado", Movimientos!G:G, "G710")-SUMIFS(Movimientos!E:E, Movimientos!D:D, A439, Movimientos!C:C, "Traslado", Movimientos!F:F, "G710")-SUMIFS(Movimientos!E:E, Movimientos!D:D, A439, Movimientos!C:C, "Egreso", Movimientos!F:F, "G710")+SUMIFS(Movimientos!E:E, Movimientos!D:D, A439, Movimientos!C:C, "Ajuste", Movimientos!F:F, "G710")),"")</f>
        <v/>
      </c>
      <c r="H439" s="6" t="str">
        <f aca="false">IFERROR(IF(A439="","",SUMIFS(Movimientos!E:E, Movimientos!D:D, A439, Movimientos!C:C, "Ingreso", Movimientos!G:G, "G5000")+SUMIFS(Movimientos!E:E, Movimientos!D:D, A439, Movimientos!C:C, "Traslado", Movimientos!G:G, "G5000")-SUMIFS(Movimientos!E:E, Movimientos!D:D, A439, Movimientos!C:C, "Traslado", Movimientos!F:F, "G5000")-SUMIFS(Movimientos!E:E, Movimientos!D:D, A439, Movimientos!C:C, "Egreso", Movimientos!F:F, "G5000")+SUMIFS(Movimientos!E:E, Movimientos!D:D, A439, Movimientos!C:C, "Ajuste", Movimientos!F:F, "G5000")),"")</f>
        <v/>
      </c>
      <c r="I439" s="6" t="str">
        <f aca="false">IFERROR(IF(A439="","",SUMIFS(Movimientos!E:E, Movimientos!D:D, A439, Movimientos!C:C, "Ingreso", Movimientos!G:G, "G3")+SUMIFS(Movimientos!E:E, Movimientos!D:D, A439, Movimientos!C:C, "Traslado", Movimientos!G:G, "G3")-SUMIFS(Movimientos!E:E, Movimientos!D:D, A439, Movimientos!C:C, "Traslado", Movimientos!F:F, "G3")-SUMIFS(Movimientos!E:E, Movimientos!D:D, A439, Movimientos!C:C, "Egreso", Movimientos!F:F, "G3")+SUMIFS(Movimientos!E:E, Movimientos!D:D, A439, Movimientos!C:C, "Ajuste", Movimientos!F:F, "G3")),"")</f>
        <v/>
      </c>
      <c r="J439" s="6" t="str">
        <f aca="false">IFERROR(IF(A439="","",SUM(E439:I439)),"")</f>
        <v/>
      </c>
      <c r="K439" s="6" t="str">
        <f aca="false">IFERROR(IF(A439="","",SUMIFS(Movimientos!E:E, Movimientos!D:D, A439, Movimientos!C:C, "Reserva")-SUMIFS(Movimientos!E:E, Movimientos!D:D, A439, Movimientos!C:C, "Libera_Reserva")),"")</f>
        <v/>
      </c>
      <c r="L439" s="6" t="str">
        <f aca="false">IFERROR(IF(A439="","",J439-K439),"")</f>
        <v/>
      </c>
      <c r="M439" s="6" t="str">
        <f aca="false">IFERROR(IF(Productos!A439="","",Productos!G439),"")</f>
        <v/>
      </c>
      <c r="N439" s="6" t="str">
        <f aca="false">IFERROR(IF(A439="","",IF(L439&lt;M439,"BAJO STOCK","OK")),"")</f>
        <v/>
      </c>
    </row>
    <row r="440" customFormat="false" ht="15" hidden="false" customHeight="false" outlineLevel="0" collapsed="false">
      <c r="A440" s="0" t="str">
        <f aca="false">IFERROR(IF(Productos!A440="","",Productos!A440),"")</f>
        <v/>
      </c>
      <c r="B440" s="0" t="str">
        <f aca="false">IFERROR(IF(Productos!A440="","",Productos!B440),"")</f>
        <v/>
      </c>
      <c r="C440" s="0" t="str">
        <f aca="false">IFERROR(IF(Productos!A440="","",Productos!C440),"")</f>
        <v/>
      </c>
      <c r="D440" s="0" t="str">
        <f aca="false">IFERROR(IF(Productos!A440="","",Productos!E440),"")</f>
        <v/>
      </c>
      <c r="E440" s="6" t="str">
        <f aca="false">IFERROR(IF(A440="","",SUMIFS(Movimientos!E:E, Movimientos!D:D, A440, Movimientos!C:C, "Ingreso", Movimientos!G:G, "TIN")+SUMIFS(Movimientos!E:E, Movimientos!D:D, A440, Movimientos!C:C, "Traslado", Movimientos!G:G, "TIN")-SUMIFS(Movimientos!E:E, Movimientos!D:D, A440, Movimientos!C:C, "Traslado", Movimientos!F:F, "TIN")-SUMIFS(Movimientos!E:E, Movimientos!D:D, A440, Movimientos!C:C, "Egreso", Movimientos!F:F, "TIN")+SUMIFS(Movimientos!E:E, Movimientos!D:D, A440, Movimientos!C:C, "Ajuste", Movimientos!F:F, "TIN")),"")</f>
        <v/>
      </c>
      <c r="F440" s="6" t="str">
        <f aca="false">IFERROR(IF(A440="","",SUMIFS(Movimientos!E:E, Movimientos!D:D, A440, Movimientos!C:C, "Ingreso", Movimientos!G:G, "G1000")+SUMIFS(Movimientos!E:E, Movimientos!D:D, A440, Movimientos!C:C, "Traslado", Movimientos!G:G, "G1000")-SUMIFS(Movimientos!E:E, Movimientos!D:D, A440, Movimientos!C:C, "Traslado", Movimientos!F:F, "G1000")-SUMIFS(Movimientos!E:E, Movimientos!D:D, A440, Movimientos!C:C, "Egreso", Movimientos!F:F, "G1000")+SUMIFS(Movimientos!E:E, Movimientos!D:D, A440, Movimientos!C:C, "Ajuste", Movimientos!F:F, "G1000")),"")</f>
        <v/>
      </c>
      <c r="G440" s="6" t="str">
        <f aca="false">IFERROR(IF(A440="","",SUMIFS(Movimientos!E:E, Movimientos!D:D, A440, Movimientos!C:C, "Ingreso", Movimientos!G:G, "G710")+SUMIFS(Movimientos!E:E, Movimientos!D:D, A440, Movimientos!C:C, "Traslado", Movimientos!G:G, "G710")-SUMIFS(Movimientos!E:E, Movimientos!D:D, A440, Movimientos!C:C, "Traslado", Movimientos!F:F, "G710")-SUMIFS(Movimientos!E:E, Movimientos!D:D, A440, Movimientos!C:C, "Egreso", Movimientos!F:F, "G710")+SUMIFS(Movimientos!E:E, Movimientos!D:D, A440, Movimientos!C:C, "Ajuste", Movimientos!F:F, "G710")),"")</f>
        <v/>
      </c>
      <c r="H440" s="6" t="str">
        <f aca="false">IFERROR(IF(A440="","",SUMIFS(Movimientos!E:E, Movimientos!D:D, A440, Movimientos!C:C, "Ingreso", Movimientos!G:G, "G5000")+SUMIFS(Movimientos!E:E, Movimientos!D:D, A440, Movimientos!C:C, "Traslado", Movimientos!G:G, "G5000")-SUMIFS(Movimientos!E:E, Movimientos!D:D, A440, Movimientos!C:C, "Traslado", Movimientos!F:F, "G5000")-SUMIFS(Movimientos!E:E, Movimientos!D:D, A440, Movimientos!C:C, "Egreso", Movimientos!F:F, "G5000")+SUMIFS(Movimientos!E:E, Movimientos!D:D, A440, Movimientos!C:C, "Ajuste", Movimientos!F:F, "G5000")),"")</f>
        <v/>
      </c>
      <c r="I440" s="6" t="str">
        <f aca="false">IFERROR(IF(A440="","",SUMIFS(Movimientos!E:E, Movimientos!D:D, A440, Movimientos!C:C, "Ingreso", Movimientos!G:G, "G3")+SUMIFS(Movimientos!E:E, Movimientos!D:D, A440, Movimientos!C:C, "Traslado", Movimientos!G:G, "G3")-SUMIFS(Movimientos!E:E, Movimientos!D:D, A440, Movimientos!C:C, "Traslado", Movimientos!F:F, "G3")-SUMIFS(Movimientos!E:E, Movimientos!D:D, A440, Movimientos!C:C, "Egreso", Movimientos!F:F, "G3")+SUMIFS(Movimientos!E:E, Movimientos!D:D, A440, Movimientos!C:C, "Ajuste", Movimientos!F:F, "G3")),"")</f>
        <v/>
      </c>
      <c r="J440" s="6" t="str">
        <f aca="false">IFERROR(IF(A440="","",SUM(E440:I440)),"")</f>
        <v/>
      </c>
      <c r="K440" s="6" t="str">
        <f aca="false">IFERROR(IF(A440="","",SUMIFS(Movimientos!E:E, Movimientos!D:D, A440, Movimientos!C:C, "Reserva")-SUMIFS(Movimientos!E:E, Movimientos!D:D, A440, Movimientos!C:C, "Libera_Reserva")),"")</f>
        <v/>
      </c>
      <c r="L440" s="6" t="str">
        <f aca="false">IFERROR(IF(A440="","",J440-K440),"")</f>
        <v/>
      </c>
      <c r="M440" s="6" t="str">
        <f aca="false">IFERROR(IF(Productos!A440="","",Productos!G440),"")</f>
        <v/>
      </c>
      <c r="N440" s="6" t="str">
        <f aca="false">IFERROR(IF(A440="","",IF(L440&lt;M440,"BAJO STOCK","OK")),"")</f>
        <v/>
      </c>
    </row>
    <row r="441" customFormat="false" ht="15" hidden="false" customHeight="false" outlineLevel="0" collapsed="false">
      <c r="A441" s="0" t="str">
        <f aca="false">IFERROR(IF(Productos!A441="","",Productos!A441),"")</f>
        <v/>
      </c>
      <c r="B441" s="0" t="str">
        <f aca="false">IFERROR(IF(Productos!A441="","",Productos!B441),"")</f>
        <v/>
      </c>
      <c r="C441" s="0" t="str">
        <f aca="false">IFERROR(IF(Productos!A441="","",Productos!C441),"")</f>
        <v/>
      </c>
      <c r="D441" s="0" t="str">
        <f aca="false">IFERROR(IF(Productos!A441="","",Productos!E441),"")</f>
        <v/>
      </c>
      <c r="E441" s="6" t="str">
        <f aca="false">IFERROR(IF(A441="","",SUMIFS(Movimientos!E:E, Movimientos!D:D, A441, Movimientos!C:C, "Ingreso", Movimientos!G:G, "TIN")+SUMIFS(Movimientos!E:E, Movimientos!D:D, A441, Movimientos!C:C, "Traslado", Movimientos!G:G, "TIN")-SUMIFS(Movimientos!E:E, Movimientos!D:D, A441, Movimientos!C:C, "Traslado", Movimientos!F:F, "TIN")-SUMIFS(Movimientos!E:E, Movimientos!D:D, A441, Movimientos!C:C, "Egreso", Movimientos!F:F, "TIN")+SUMIFS(Movimientos!E:E, Movimientos!D:D, A441, Movimientos!C:C, "Ajuste", Movimientos!F:F, "TIN")),"")</f>
        <v/>
      </c>
      <c r="F441" s="6" t="str">
        <f aca="false">IFERROR(IF(A441="","",SUMIFS(Movimientos!E:E, Movimientos!D:D, A441, Movimientos!C:C, "Ingreso", Movimientos!G:G, "G1000")+SUMIFS(Movimientos!E:E, Movimientos!D:D, A441, Movimientos!C:C, "Traslado", Movimientos!G:G, "G1000")-SUMIFS(Movimientos!E:E, Movimientos!D:D, A441, Movimientos!C:C, "Traslado", Movimientos!F:F, "G1000")-SUMIFS(Movimientos!E:E, Movimientos!D:D, A441, Movimientos!C:C, "Egreso", Movimientos!F:F, "G1000")+SUMIFS(Movimientos!E:E, Movimientos!D:D, A441, Movimientos!C:C, "Ajuste", Movimientos!F:F, "G1000")),"")</f>
        <v/>
      </c>
      <c r="G441" s="6" t="str">
        <f aca="false">IFERROR(IF(A441="","",SUMIFS(Movimientos!E:E, Movimientos!D:D, A441, Movimientos!C:C, "Ingreso", Movimientos!G:G, "G710")+SUMIFS(Movimientos!E:E, Movimientos!D:D, A441, Movimientos!C:C, "Traslado", Movimientos!G:G, "G710")-SUMIFS(Movimientos!E:E, Movimientos!D:D, A441, Movimientos!C:C, "Traslado", Movimientos!F:F, "G710")-SUMIFS(Movimientos!E:E, Movimientos!D:D, A441, Movimientos!C:C, "Egreso", Movimientos!F:F, "G710")+SUMIFS(Movimientos!E:E, Movimientos!D:D, A441, Movimientos!C:C, "Ajuste", Movimientos!F:F, "G710")),"")</f>
        <v/>
      </c>
      <c r="H441" s="6" t="str">
        <f aca="false">IFERROR(IF(A441="","",SUMIFS(Movimientos!E:E, Movimientos!D:D, A441, Movimientos!C:C, "Ingreso", Movimientos!G:G, "G5000")+SUMIFS(Movimientos!E:E, Movimientos!D:D, A441, Movimientos!C:C, "Traslado", Movimientos!G:G, "G5000")-SUMIFS(Movimientos!E:E, Movimientos!D:D, A441, Movimientos!C:C, "Traslado", Movimientos!F:F, "G5000")-SUMIFS(Movimientos!E:E, Movimientos!D:D, A441, Movimientos!C:C, "Egreso", Movimientos!F:F, "G5000")+SUMIFS(Movimientos!E:E, Movimientos!D:D, A441, Movimientos!C:C, "Ajuste", Movimientos!F:F, "G5000")),"")</f>
        <v/>
      </c>
      <c r="I441" s="6" t="str">
        <f aca="false">IFERROR(IF(A441="","",SUMIFS(Movimientos!E:E, Movimientos!D:D, A441, Movimientos!C:C, "Ingreso", Movimientos!G:G, "G3")+SUMIFS(Movimientos!E:E, Movimientos!D:D, A441, Movimientos!C:C, "Traslado", Movimientos!G:G, "G3")-SUMIFS(Movimientos!E:E, Movimientos!D:D, A441, Movimientos!C:C, "Traslado", Movimientos!F:F, "G3")-SUMIFS(Movimientos!E:E, Movimientos!D:D, A441, Movimientos!C:C, "Egreso", Movimientos!F:F, "G3")+SUMIFS(Movimientos!E:E, Movimientos!D:D, A441, Movimientos!C:C, "Ajuste", Movimientos!F:F, "G3")),"")</f>
        <v/>
      </c>
      <c r="J441" s="6" t="str">
        <f aca="false">IFERROR(IF(A441="","",SUM(E441:I441)),"")</f>
        <v/>
      </c>
      <c r="K441" s="6" t="str">
        <f aca="false">IFERROR(IF(A441="","",SUMIFS(Movimientos!E:E, Movimientos!D:D, A441, Movimientos!C:C, "Reserva")-SUMIFS(Movimientos!E:E, Movimientos!D:D, A441, Movimientos!C:C, "Libera_Reserva")),"")</f>
        <v/>
      </c>
      <c r="L441" s="6" t="str">
        <f aca="false">IFERROR(IF(A441="","",J441-K441),"")</f>
        <v/>
      </c>
      <c r="M441" s="6" t="str">
        <f aca="false">IFERROR(IF(Productos!A441="","",Productos!G441),"")</f>
        <v/>
      </c>
      <c r="N441" s="6" t="str">
        <f aca="false">IFERROR(IF(A441="","",IF(L441&lt;M441,"BAJO STOCK","OK")),"")</f>
        <v/>
      </c>
    </row>
    <row r="442" customFormat="false" ht="15" hidden="false" customHeight="false" outlineLevel="0" collapsed="false">
      <c r="A442" s="0" t="str">
        <f aca="false">IFERROR(IF(Productos!A442="","",Productos!A442),"")</f>
        <v/>
      </c>
      <c r="B442" s="0" t="str">
        <f aca="false">IFERROR(IF(Productos!A442="","",Productos!B442),"")</f>
        <v/>
      </c>
      <c r="C442" s="0" t="str">
        <f aca="false">IFERROR(IF(Productos!A442="","",Productos!C442),"")</f>
        <v/>
      </c>
      <c r="D442" s="0" t="str">
        <f aca="false">IFERROR(IF(Productos!A442="","",Productos!E442),"")</f>
        <v/>
      </c>
      <c r="E442" s="6" t="str">
        <f aca="false">IFERROR(IF(A442="","",SUMIFS(Movimientos!E:E, Movimientos!D:D, A442, Movimientos!C:C, "Ingreso", Movimientos!G:G, "TIN")+SUMIFS(Movimientos!E:E, Movimientos!D:D, A442, Movimientos!C:C, "Traslado", Movimientos!G:G, "TIN")-SUMIFS(Movimientos!E:E, Movimientos!D:D, A442, Movimientos!C:C, "Traslado", Movimientos!F:F, "TIN")-SUMIFS(Movimientos!E:E, Movimientos!D:D, A442, Movimientos!C:C, "Egreso", Movimientos!F:F, "TIN")+SUMIFS(Movimientos!E:E, Movimientos!D:D, A442, Movimientos!C:C, "Ajuste", Movimientos!F:F, "TIN")),"")</f>
        <v/>
      </c>
      <c r="F442" s="6" t="str">
        <f aca="false">IFERROR(IF(A442="","",SUMIFS(Movimientos!E:E, Movimientos!D:D, A442, Movimientos!C:C, "Ingreso", Movimientos!G:G, "G1000")+SUMIFS(Movimientos!E:E, Movimientos!D:D, A442, Movimientos!C:C, "Traslado", Movimientos!G:G, "G1000")-SUMIFS(Movimientos!E:E, Movimientos!D:D, A442, Movimientos!C:C, "Traslado", Movimientos!F:F, "G1000")-SUMIFS(Movimientos!E:E, Movimientos!D:D, A442, Movimientos!C:C, "Egreso", Movimientos!F:F, "G1000")+SUMIFS(Movimientos!E:E, Movimientos!D:D, A442, Movimientos!C:C, "Ajuste", Movimientos!F:F, "G1000")),"")</f>
        <v/>
      </c>
      <c r="G442" s="6" t="str">
        <f aca="false">IFERROR(IF(A442="","",SUMIFS(Movimientos!E:E, Movimientos!D:D, A442, Movimientos!C:C, "Ingreso", Movimientos!G:G, "G710")+SUMIFS(Movimientos!E:E, Movimientos!D:D, A442, Movimientos!C:C, "Traslado", Movimientos!G:G, "G710")-SUMIFS(Movimientos!E:E, Movimientos!D:D, A442, Movimientos!C:C, "Traslado", Movimientos!F:F, "G710")-SUMIFS(Movimientos!E:E, Movimientos!D:D, A442, Movimientos!C:C, "Egreso", Movimientos!F:F, "G710")+SUMIFS(Movimientos!E:E, Movimientos!D:D, A442, Movimientos!C:C, "Ajuste", Movimientos!F:F, "G710")),"")</f>
        <v/>
      </c>
      <c r="H442" s="6" t="str">
        <f aca="false">IFERROR(IF(A442="","",SUMIFS(Movimientos!E:E, Movimientos!D:D, A442, Movimientos!C:C, "Ingreso", Movimientos!G:G, "G5000")+SUMIFS(Movimientos!E:E, Movimientos!D:D, A442, Movimientos!C:C, "Traslado", Movimientos!G:G, "G5000")-SUMIFS(Movimientos!E:E, Movimientos!D:D, A442, Movimientos!C:C, "Traslado", Movimientos!F:F, "G5000")-SUMIFS(Movimientos!E:E, Movimientos!D:D, A442, Movimientos!C:C, "Egreso", Movimientos!F:F, "G5000")+SUMIFS(Movimientos!E:E, Movimientos!D:D, A442, Movimientos!C:C, "Ajuste", Movimientos!F:F, "G5000")),"")</f>
        <v/>
      </c>
      <c r="I442" s="6" t="str">
        <f aca="false">IFERROR(IF(A442="","",SUMIFS(Movimientos!E:E, Movimientos!D:D, A442, Movimientos!C:C, "Ingreso", Movimientos!G:G, "G3")+SUMIFS(Movimientos!E:E, Movimientos!D:D, A442, Movimientos!C:C, "Traslado", Movimientos!G:G, "G3")-SUMIFS(Movimientos!E:E, Movimientos!D:D, A442, Movimientos!C:C, "Traslado", Movimientos!F:F, "G3")-SUMIFS(Movimientos!E:E, Movimientos!D:D, A442, Movimientos!C:C, "Egreso", Movimientos!F:F, "G3")+SUMIFS(Movimientos!E:E, Movimientos!D:D, A442, Movimientos!C:C, "Ajuste", Movimientos!F:F, "G3")),"")</f>
        <v/>
      </c>
      <c r="J442" s="6" t="str">
        <f aca="false">IFERROR(IF(A442="","",SUM(E442:I442)),"")</f>
        <v/>
      </c>
      <c r="K442" s="6" t="str">
        <f aca="false">IFERROR(IF(A442="","",SUMIFS(Movimientos!E:E, Movimientos!D:D, A442, Movimientos!C:C, "Reserva")-SUMIFS(Movimientos!E:E, Movimientos!D:D, A442, Movimientos!C:C, "Libera_Reserva")),"")</f>
        <v/>
      </c>
      <c r="L442" s="6" t="str">
        <f aca="false">IFERROR(IF(A442="","",J442-K442),"")</f>
        <v/>
      </c>
      <c r="M442" s="6" t="str">
        <f aca="false">IFERROR(IF(Productos!A442="","",Productos!G442),"")</f>
        <v/>
      </c>
      <c r="N442" s="6" t="str">
        <f aca="false">IFERROR(IF(A442="","",IF(L442&lt;M442,"BAJO STOCK","OK")),"")</f>
        <v/>
      </c>
    </row>
    <row r="443" customFormat="false" ht="15" hidden="false" customHeight="false" outlineLevel="0" collapsed="false">
      <c r="A443" s="0" t="str">
        <f aca="false">IFERROR(IF(Productos!A443="","",Productos!A443),"")</f>
        <v/>
      </c>
      <c r="B443" s="0" t="str">
        <f aca="false">IFERROR(IF(Productos!A443="","",Productos!B443),"")</f>
        <v/>
      </c>
      <c r="C443" s="0" t="str">
        <f aca="false">IFERROR(IF(Productos!A443="","",Productos!C443),"")</f>
        <v/>
      </c>
      <c r="D443" s="0" t="str">
        <f aca="false">IFERROR(IF(Productos!A443="","",Productos!E443),"")</f>
        <v/>
      </c>
      <c r="E443" s="6" t="str">
        <f aca="false">IFERROR(IF(A443="","",SUMIFS(Movimientos!E:E, Movimientos!D:D, A443, Movimientos!C:C, "Ingreso", Movimientos!G:G, "TIN")+SUMIFS(Movimientos!E:E, Movimientos!D:D, A443, Movimientos!C:C, "Traslado", Movimientos!G:G, "TIN")-SUMIFS(Movimientos!E:E, Movimientos!D:D, A443, Movimientos!C:C, "Traslado", Movimientos!F:F, "TIN")-SUMIFS(Movimientos!E:E, Movimientos!D:D, A443, Movimientos!C:C, "Egreso", Movimientos!F:F, "TIN")+SUMIFS(Movimientos!E:E, Movimientos!D:D, A443, Movimientos!C:C, "Ajuste", Movimientos!F:F, "TIN")),"")</f>
        <v/>
      </c>
      <c r="F443" s="6" t="str">
        <f aca="false">IFERROR(IF(A443="","",SUMIFS(Movimientos!E:E, Movimientos!D:D, A443, Movimientos!C:C, "Ingreso", Movimientos!G:G, "G1000")+SUMIFS(Movimientos!E:E, Movimientos!D:D, A443, Movimientos!C:C, "Traslado", Movimientos!G:G, "G1000")-SUMIFS(Movimientos!E:E, Movimientos!D:D, A443, Movimientos!C:C, "Traslado", Movimientos!F:F, "G1000")-SUMIFS(Movimientos!E:E, Movimientos!D:D, A443, Movimientos!C:C, "Egreso", Movimientos!F:F, "G1000")+SUMIFS(Movimientos!E:E, Movimientos!D:D, A443, Movimientos!C:C, "Ajuste", Movimientos!F:F, "G1000")),"")</f>
        <v/>
      </c>
      <c r="G443" s="6" t="str">
        <f aca="false">IFERROR(IF(A443="","",SUMIFS(Movimientos!E:E, Movimientos!D:D, A443, Movimientos!C:C, "Ingreso", Movimientos!G:G, "G710")+SUMIFS(Movimientos!E:E, Movimientos!D:D, A443, Movimientos!C:C, "Traslado", Movimientos!G:G, "G710")-SUMIFS(Movimientos!E:E, Movimientos!D:D, A443, Movimientos!C:C, "Traslado", Movimientos!F:F, "G710")-SUMIFS(Movimientos!E:E, Movimientos!D:D, A443, Movimientos!C:C, "Egreso", Movimientos!F:F, "G710")+SUMIFS(Movimientos!E:E, Movimientos!D:D, A443, Movimientos!C:C, "Ajuste", Movimientos!F:F, "G710")),"")</f>
        <v/>
      </c>
      <c r="H443" s="6" t="str">
        <f aca="false">IFERROR(IF(A443="","",SUMIFS(Movimientos!E:E, Movimientos!D:D, A443, Movimientos!C:C, "Ingreso", Movimientos!G:G, "G5000")+SUMIFS(Movimientos!E:E, Movimientos!D:D, A443, Movimientos!C:C, "Traslado", Movimientos!G:G, "G5000")-SUMIFS(Movimientos!E:E, Movimientos!D:D, A443, Movimientos!C:C, "Traslado", Movimientos!F:F, "G5000")-SUMIFS(Movimientos!E:E, Movimientos!D:D, A443, Movimientos!C:C, "Egreso", Movimientos!F:F, "G5000")+SUMIFS(Movimientos!E:E, Movimientos!D:D, A443, Movimientos!C:C, "Ajuste", Movimientos!F:F, "G5000")),"")</f>
        <v/>
      </c>
      <c r="I443" s="6" t="str">
        <f aca="false">IFERROR(IF(A443="","",SUMIFS(Movimientos!E:E, Movimientos!D:D, A443, Movimientos!C:C, "Ingreso", Movimientos!G:G, "G3")+SUMIFS(Movimientos!E:E, Movimientos!D:D, A443, Movimientos!C:C, "Traslado", Movimientos!G:G, "G3")-SUMIFS(Movimientos!E:E, Movimientos!D:D, A443, Movimientos!C:C, "Traslado", Movimientos!F:F, "G3")-SUMIFS(Movimientos!E:E, Movimientos!D:D, A443, Movimientos!C:C, "Egreso", Movimientos!F:F, "G3")+SUMIFS(Movimientos!E:E, Movimientos!D:D, A443, Movimientos!C:C, "Ajuste", Movimientos!F:F, "G3")),"")</f>
        <v/>
      </c>
      <c r="J443" s="6" t="str">
        <f aca="false">IFERROR(IF(A443="","",SUM(E443:I443)),"")</f>
        <v/>
      </c>
      <c r="K443" s="6" t="str">
        <f aca="false">IFERROR(IF(A443="","",SUMIFS(Movimientos!E:E, Movimientos!D:D, A443, Movimientos!C:C, "Reserva")-SUMIFS(Movimientos!E:E, Movimientos!D:D, A443, Movimientos!C:C, "Libera_Reserva")),"")</f>
        <v/>
      </c>
      <c r="L443" s="6" t="str">
        <f aca="false">IFERROR(IF(A443="","",J443-K443),"")</f>
        <v/>
      </c>
      <c r="M443" s="6" t="str">
        <f aca="false">IFERROR(IF(Productos!A443="","",Productos!G443),"")</f>
        <v/>
      </c>
      <c r="N443" s="6" t="str">
        <f aca="false">IFERROR(IF(A443="","",IF(L443&lt;M443,"BAJO STOCK","OK")),"")</f>
        <v/>
      </c>
    </row>
    <row r="444" customFormat="false" ht="15" hidden="false" customHeight="false" outlineLevel="0" collapsed="false">
      <c r="A444" s="0" t="str">
        <f aca="false">IFERROR(IF(Productos!A444="","",Productos!A444),"")</f>
        <v/>
      </c>
      <c r="B444" s="0" t="str">
        <f aca="false">IFERROR(IF(Productos!A444="","",Productos!B444),"")</f>
        <v/>
      </c>
      <c r="C444" s="0" t="str">
        <f aca="false">IFERROR(IF(Productos!A444="","",Productos!C444),"")</f>
        <v/>
      </c>
      <c r="D444" s="0" t="str">
        <f aca="false">IFERROR(IF(Productos!A444="","",Productos!E444),"")</f>
        <v/>
      </c>
      <c r="E444" s="6" t="str">
        <f aca="false">IFERROR(IF(A444="","",SUMIFS(Movimientos!E:E, Movimientos!D:D, A444, Movimientos!C:C, "Ingreso", Movimientos!G:G, "TIN")+SUMIFS(Movimientos!E:E, Movimientos!D:D, A444, Movimientos!C:C, "Traslado", Movimientos!G:G, "TIN")-SUMIFS(Movimientos!E:E, Movimientos!D:D, A444, Movimientos!C:C, "Traslado", Movimientos!F:F, "TIN")-SUMIFS(Movimientos!E:E, Movimientos!D:D, A444, Movimientos!C:C, "Egreso", Movimientos!F:F, "TIN")+SUMIFS(Movimientos!E:E, Movimientos!D:D, A444, Movimientos!C:C, "Ajuste", Movimientos!F:F, "TIN")),"")</f>
        <v/>
      </c>
      <c r="F444" s="6" t="str">
        <f aca="false">IFERROR(IF(A444="","",SUMIFS(Movimientos!E:E, Movimientos!D:D, A444, Movimientos!C:C, "Ingreso", Movimientos!G:G, "G1000")+SUMIFS(Movimientos!E:E, Movimientos!D:D, A444, Movimientos!C:C, "Traslado", Movimientos!G:G, "G1000")-SUMIFS(Movimientos!E:E, Movimientos!D:D, A444, Movimientos!C:C, "Traslado", Movimientos!F:F, "G1000")-SUMIFS(Movimientos!E:E, Movimientos!D:D, A444, Movimientos!C:C, "Egreso", Movimientos!F:F, "G1000")+SUMIFS(Movimientos!E:E, Movimientos!D:D, A444, Movimientos!C:C, "Ajuste", Movimientos!F:F, "G1000")),"")</f>
        <v/>
      </c>
      <c r="G444" s="6" t="str">
        <f aca="false">IFERROR(IF(A444="","",SUMIFS(Movimientos!E:E, Movimientos!D:D, A444, Movimientos!C:C, "Ingreso", Movimientos!G:G, "G710")+SUMIFS(Movimientos!E:E, Movimientos!D:D, A444, Movimientos!C:C, "Traslado", Movimientos!G:G, "G710")-SUMIFS(Movimientos!E:E, Movimientos!D:D, A444, Movimientos!C:C, "Traslado", Movimientos!F:F, "G710")-SUMIFS(Movimientos!E:E, Movimientos!D:D, A444, Movimientos!C:C, "Egreso", Movimientos!F:F, "G710")+SUMIFS(Movimientos!E:E, Movimientos!D:D, A444, Movimientos!C:C, "Ajuste", Movimientos!F:F, "G710")),"")</f>
        <v/>
      </c>
      <c r="H444" s="6" t="str">
        <f aca="false">IFERROR(IF(A444="","",SUMIFS(Movimientos!E:E, Movimientos!D:D, A444, Movimientos!C:C, "Ingreso", Movimientos!G:G, "G5000")+SUMIFS(Movimientos!E:E, Movimientos!D:D, A444, Movimientos!C:C, "Traslado", Movimientos!G:G, "G5000")-SUMIFS(Movimientos!E:E, Movimientos!D:D, A444, Movimientos!C:C, "Traslado", Movimientos!F:F, "G5000")-SUMIFS(Movimientos!E:E, Movimientos!D:D, A444, Movimientos!C:C, "Egreso", Movimientos!F:F, "G5000")+SUMIFS(Movimientos!E:E, Movimientos!D:D, A444, Movimientos!C:C, "Ajuste", Movimientos!F:F, "G5000")),"")</f>
        <v/>
      </c>
      <c r="I444" s="6" t="str">
        <f aca="false">IFERROR(IF(A444="","",SUMIFS(Movimientos!E:E, Movimientos!D:D, A444, Movimientos!C:C, "Ingreso", Movimientos!G:G, "G3")+SUMIFS(Movimientos!E:E, Movimientos!D:D, A444, Movimientos!C:C, "Traslado", Movimientos!G:G, "G3")-SUMIFS(Movimientos!E:E, Movimientos!D:D, A444, Movimientos!C:C, "Traslado", Movimientos!F:F, "G3")-SUMIFS(Movimientos!E:E, Movimientos!D:D, A444, Movimientos!C:C, "Egreso", Movimientos!F:F, "G3")+SUMIFS(Movimientos!E:E, Movimientos!D:D, A444, Movimientos!C:C, "Ajuste", Movimientos!F:F, "G3")),"")</f>
        <v/>
      </c>
      <c r="J444" s="6" t="str">
        <f aca="false">IFERROR(IF(A444="","",SUM(E444:I444)),"")</f>
        <v/>
      </c>
      <c r="K444" s="6" t="str">
        <f aca="false">IFERROR(IF(A444="","",SUMIFS(Movimientos!E:E, Movimientos!D:D, A444, Movimientos!C:C, "Reserva")-SUMIFS(Movimientos!E:E, Movimientos!D:D, A444, Movimientos!C:C, "Libera_Reserva")),"")</f>
        <v/>
      </c>
      <c r="L444" s="6" t="str">
        <f aca="false">IFERROR(IF(A444="","",J444-K444),"")</f>
        <v/>
      </c>
      <c r="M444" s="6" t="str">
        <f aca="false">IFERROR(IF(Productos!A444="","",Productos!G444),"")</f>
        <v/>
      </c>
      <c r="N444" s="6" t="str">
        <f aca="false">IFERROR(IF(A444="","",IF(L444&lt;M444,"BAJO STOCK","OK")),"")</f>
        <v/>
      </c>
    </row>
    <row r="445" customFormat="false" ht="15" hidden="false" customHeight="false" outlineLevel="0" collapsed="false">
      <c r="A445" s="0" t="str">
        <f aca="false">IFERROR(IF(Productos!A445="","",Productos!A445),"")</f>
        <v/>
      </c>
      <c r="B445" s="0" t="str">
        <f aca="false">IFERROR(IF(Productos!A445="","",Productos!B445),"")</f>
        <v/>
      </c>
      <c r="C445" s="0" t="str">
        <f aca="false">IFERROR(IF(Productos!A445="","",Productos!C445),"")</f>
        <v/>
      </c>
      <c r="D445" s="0" t="str">
        <f aca="false">IFERROR(IF(Productos!A445="","",Productos!E445),"")</f>
        <v/>
      </c>
      <c r="E445" s="6" t="str">
        <f aca="false">IFERROR(IF(A445="","",SUMIFS(Movimientos!E:E, Movimientos!D:D, A445, Movimientos!C:C, "Ingreso", Movimientos!G:G, "TIN")+SUMIFS(Movimientos!E:E, Movimientos!D:D, A445, Movimientos!C:C, "Traslado", Movimientos!G:G, "TIN")-SUMIFS(Movimientos!E:E, Movimientos!D:D, A445, Movimientos!C:C, "Traslado", Movimientos!F:F, "TIN")-SUMIFS(Movimientos!E:E, Movimientos!D:D, A445, Movimientos!C:C, "Egreso", Movimientos!F:F, "TIN")+SUMIFS(Movimientos!E:E, Movimientos!D:D, A445, Movimientos!C:C, "Ajuste", Movimientos!F:F, "TIN")),"")</f>
        <v/>
      </c>
      <c r="F445" s="6" t="str">
        <f aca="false">IFERROR(IF(A445="","",SUMIFS(Movimientos!E:E, Movimientos!D:D, A445, Movimientos!C:C, "Ingreso", Movimientos!G:G, "G1000")+SUMIFS(Movimientos!E:E, Movimientos!D:D, A445, Movimientos!C:C, "Traslado", Movimientos!G:G, "G1000")-SUMIFS(Movimientos!E:E, Movimientos!D:D, A445, Movimientos!C:C, "Traslado", Movimientos!F:F, "G1000")-SUMIFS(Movimientos!E:E, Movimientos!D:D, A445, Movimientos!C:C, "Egreso", Movimientos!F:F, "G1000")+SUMIFS(Movimientos!E:E, Movimientos!D:D, A445, Movimientos!C:C, "Ajuste", Movimientos!F:F, "G1000")),"")</f>
        <v/>
      </c>
      <c r="G445" s="6" t="str">
        <f aca="false">IFERROR(IF(A445="","",SUMIFS(Movimientos!E:E, Movimientos!D:D, A445, Movimientos!C:C, "Ingreso", Movimientos!G:G, "G710")+SUMIFS(Movimientos!E:E, Movimientos!D:D, A445, Movimientos!C:C, "Traslado", Movimientos!G:G, "G710")-SUMIFS(Movimientos!E:E, Movimientos!D:D, A445, Movimientos!C:C, "Traslado", Movimientos!F:F, "G710")-SUMIFS(Movimientos!E:E, Movimientos!D:D, A445, Movimientos!C:C, "Egreso", Movimientos!F:F, "G710")+SUMIFS(Movimientos!E:E, Movimientos!D:D, A445, Movimientos!C:C, "Ajuste", Movimientos!F:F, "G710")),"")</f>
        <v/>
      </c>
      <c r="H445" s="6" t="str">
        <f aca="false">IFERROR(IF(A445="","",SUMIFS(Movimientos!E:E, Movimientos!D:D, A445, Movimientos!C:C, "Ingreso", Movimientos!G:G, "G5000")+SUMIFS(Movimientos!E:E, Movimientos!D:D, A445, Movimientos!C:C, "Traslado", Movimientos!G:G, "G5000")-SUMIFS(Movimientos!E:E, Movimientos!D:D, A445, Movimientos!C:C, "Traslado", Movimientos!F:F, "G5000")-SUMIFS(Movimientos!E:E, Movimientos!D:D, A445, Movimientos!C:C, "Egreso", Movimientos!F:F, "G5000")+SUMIFS(Movimientos!E:E, Movimientos!D:D, A445, Movimientos!C:C, "Ajuste", Movimientos!F:F, "G5000")),"")</f>
        <v/>
      </c>
      <c r="I445" s="6" t="str">
        <f aca="false">IFERROR(IF(A445="","",SUMIFS(Movimientos!E:E, Movimientos!D:D, A445, Movimientos!C:C, "Ingreso", Movimientos!G:G, "G3")+SUMIFS(Movimientos!E:E, Movimientos!D:D, A445, Movimientos!C:C, "Traslado", Movimientos!G:G, "G3")-SUMIFS(Movimientos!E:E, Movimientos!D:D, A445, Movimientos!C:C, "Traslado", Movimientos!F:F, "G3")-SUMIFS(Movimientos!E:E, Movimientos!D:D, A445, Movimientos!C:C, "Egreso", Movimientos!F:F, "G3")+SUMIFS(Movimientos!E:E, Movimientos!D:D, A445, Movimientos!C:C, "Ajuste", Movimientos!F:F, "G3")),"")</f>
        <v/>
      </c>
      <c r="J445" s="6" t="str">
        <f aca="false">IFERROR(IF(A445="","",SUM(E445:I445)),"")</f>
        <v/>
      </c>
      <c r="K445" s="6" t="str">
        <f aca="false">IFERROR(IF(A445="","",SUMIFS(Movimientos!E:E, Movimientos!D:D, A445, Movimientos!C:C, "Reserva")-SUMIFS(Movimientos!E:E, Movimientos!D:D, A445, Movimientos!C:C, "Libera_Reserva")),"")</f>
        <v/>
      </c>
      <c r="L445" s="6" t="str">
        <f aca="false">IFERROR(IF(A445="","",J445-K445),"")</f>
        <v/>
      </c>
      <c r="M445" s="6" t="str">
        <f aca="false">IFERROR(IF(Productos!A445="","",Productos!G445),"")</f>
        <v/>
      </c>
      <c r="N445" s="6" t="str">
        <f aca="false">IFERROR(IF(A445="","",IF(L445&lt;M445,"BAJO STOCK","OK")),"")</f>
        <v/>
      </c>
    </row>
    <row r="446" customFormat="false" ht="15" hidden="false" customHeight="false" outlineLevel="0" collapsed="false">
      <c r="A446" s="0" t="str">
        <f aca="false">IFERROR(IF(Productos!A446="","",Productos!A446),"")</f>
        <v/>
      </c>
      <c r="B446" s="0" t="str">
        <f aca="false">IFERROR(IF(Productos!A446="","",Productos!B446),"")</f>
        <v/>
      </c>
      <c r="C446" s="0" t="str">
        <f aca="false">IFERROR(IF(Productos!A446="","",Productos!C446),"")</f>
        <v/>
      </c>
      <c r="D446" s="0" t="str">
        <f aca="false">IFERROR(IF(Productos!A446="","",Productos!E446),"")</f>
        <v/>
      </c>
      <c r="E446" s="6" t="str">
        <f aca="false">IFERROR(IF(A446="","",SUMIFS(Movimientos!E:E, Movimientos!D:D, A446, Movimientos!C:C, "Ingreso", Movimientos!G:G, "TIN")+SUMIFS(Movimientos!E:E, Movimientos!D:D, A446, Movimientos!C:C, "Traslado", Movimientos!G:G, "TIN")-SUMIFS(Movimientos!E:E, Movimientos!D:D, A446, Movimientos!C:C, "Traslado", Movimientos!F:F, "TIN")-SUMIFS(Movimientos!E:E, Movimientos!D:D, A446, Movimientos!C:C, "Egreso", Movimientos!F:F, "TIN")+SUMIFS(Movimientos!E:E, Movimientos!D:D, A446, Movimientos!C:C, "Ajuste", Movimientos!F:F, "TIN")),"")</f>
        <v/>
      </c>
      <c r="F446" s="6" t="str">
        <f aca="false">IFERROR(IF(A446="","",SUMIFS(Movimientos!E:E, Movimientos!D:D, A446, Movimientos!C:C, "Ingreso", Movimientos!G:G, "G1000")+SUMIFS(Movimientos!E:E, Movimientos!D:D, A446, Movimientos!C:C, "Traslado", Movimientos!G:G, "G1000")-SUMIFS(Movimientos!E:E, Movimientos!D:D, A446, Movimientos!C:C, "Traslado", Movimientos!F:F, "G1000")-SUMIFS(Movimientos!E:E, Movimientos!D:D, A446, Movimientos!C:C, "Egreso", Movimientos!F:F, "G1000")+SUMIFS(Movimientos!E:E, Movimientos!D:D, A446, Movimientos!C:C, "Ajuste", Movimientos!F:F, "G1000")),"")</f>
        <v/>
      </c>
      <c r="G446" s="6" t="str">
        <f aca="false">IFERROR(IF(A446="","",SUMIFS(Movimientos!E:E, Movimientos!D:D, A446, Movimientos!C:C, "Ingreso", Movimientos!G:G, "G710")+SUMIFS(Movimientos!E:E, Movimientos!D:D, A446, Movimientos!C:C, "Traslado", Movimientos!G:G, "G710")-SUMIFS(Movimientos!E:E, Movimientos!D:D, A446, Movimientos!C:C, "Traslado", Movimientos!F:F, "G710")-SUMIFS(Movimientos!E:E, Movimientos!D:D, A446, Movimientos!C:C, "Egreso", Movimientos!F:F, "G710")+SUMIFS(Movimientos!E:E, Movimientos!D:D, A446, Movimientos!C:C, "Ajuste", Movimientos!F:F, "G710")),"")</f>
        <v/>
      </c>
      <c r="H446" s="6" t="str">
        <f aca="false">IFERROR(IF(A446="","",SUMIFS(Movimientos!E:E, Movimientos!D:D, A446, Movimientos!C:C, "Ingreso", Movimientos!G:G, "G5000")+SUMIFS(Movimientos!E:E, Movimientos!D:D, A446, Movimientos!C:C, "Traslado", Movimientos!G:G, "G5000")-SUMIFS(Movimientos!E:E, Movimientos!D:D, A446, Movimientos!C:C, "Traslado", Movimientos!F:F, "G5000")-SUMIFS(Movimientos!E:E, Movimientos!D:D, A446, Movimientos!C:C, "Egreso", Movimientos!F:F, "G5000")+SUMIFS(Movimientos!E:E, Movimientos!D:D, A446, Movimientos!C:C, "Ajuste", Movimientos!F:F, "G5000")),"")</f>
        <v/>
      </c>
      <c r="I446" s="6" t="str">
        <f aca="false">IFERROR(IF(A446="","",SUMIFS(Movimientos!E:E, Movimientos!D:D, A446, Movimientos!C:C, "Ingreso", Movimientos!G:G, "G3")+SUMIFS(Movimientos!E:E, Movimientos!D:D, A446, Movimientos!C:C, "Traslado", Movimientos!G:G, "G3")-SUMIFS(Movimientos!E:E, Movimientos!D:D, A446, Movimientos!C:C, "Traslado", Movimientos!F:F, "G3")-SUMIFS(Movimientos!E:E, Movimientos!D:D, A446, Movimientos!C:C, "Egreso", Movimientos!F:F, "G3")+SUMIFS(Movimientos!E:E, Movimientos!D:D, A446, Movimientos!C:C, "Ajuste", Movimientos!F:F, "G3")),"")</f>
        <v/>
      </c>
      <c r="J446" s="6" t="str">
        <f aca="false">IFERROR(IF(A446="","",SUM(E446:I446)),"")</f>
        <v/>
      </c>
      <c r="K446" s="6" t="str">
        <f aca="false">IFERROR(IF(A446="","",SUMIFS(Movimientos!E:E, Movimientos!D:D, A446, Movimientos!C:C, "Reserva")-SUMIFS(Movimientos!E:E, Movimientos!D:D, A446, Movimientos!C:C, "Libera_Reserva")),"")</f>
        <v/>
      </c>
      <c r="L446" s="6" t="str">
        <f aca="false">IFERROR(IF(A446="","",J446-K446),"")</f>
        <v/>
      </c>
      <c r="M446" s="6" t="str">
        <f aca="false">IFERROR(IF(Productos!A446="","",Productos!G446),"")</f>
        <v/>
      </c>
      <c r="N446" s="6" t="str">
        <f aca="false">IFERROR(IF(A446="","",IF(L446&lt;M446,"BAJO STOCK","OK")),"")</f>
        <v/>
      </c>
    </row>
    <row r="447" customFormat="false" ht="15" hidden="false" customHeight="false" outlineLevel="0" collapsed="false">
      <c r="A447" s="0" t="str">
        <f aca="false">IFERROR(IF(Productos!A447="","",Productos!A447),"")</f>
        <v/>
      </c>
      <c r="B447" s="0" t="str">
        <f aca="false">IFERROR(IF(Productos!A447="","",Productos!B447),"")</f>
        <v/>
      </c>
      <c r="C447" s="0" t="str">
        <f aca="false">IFERROR(IF(Productos!A447="","",Productos!C447),"")</f>
        <v/>
      </c>
      <c r="D447" s="0" t="str">
        <f aca="false">IFERROR(IF(Productos!A447="","",Productos!E447),"")</f>
        <v/>
      </c>
      <c r="E447" s="6" t="str">
        <f aca="false">IFERROR(IF(A447="","",SUMIFS(Movimientos!E:E, Movimientos!D:D, A447, Movimientos!C:C, "Ingreso", Movimientos!G:G, "TIN")+SUMIFS(Movimientos!E:E, Movimientos!D:D, A447, Movimientos!C:C, "Traslado", Movimientos!G:G, "TIN")-SUMIFS(Movimientos!E:E, Movimientos!D:D, A447, Movimientos!C:C, "Traslado", Movimientos!F:F, "TIN")-SUMIFS(Movimientos!E:E, Movimientos!D:D, A447, Movimientos!C:C, "Egreso", Movimientos!F:F, "TIN")+SUMIFS(Movimientos!E:E, Movimientos!D:D, A447, Movimientos!C:C, "Ajuste", Movimientos!F:F, "TIN")),"")</f>
        <v/>
      </c>
      <c r="F447" s="6" t="str">
        <f aca="false">IFERROR(IF(A447="","",SUMIFS(Movimientos!E:E, Movimientos!D:D, A447, Movimientos!C:C, "Ingreso", Movimientos!G:G, "G1000")+SUMIFS(Movimientos!E:E, Movimientos!D:D, A447, Movimientos!C:C, "Traslado", Movimientos!G:G, "G1000")-SUMIFS(Movimientos!E:E, Movimientos!D:D, A447, Movimientos!C:C, "Traslado", Movimientos!F:F, "G1000")-SUMIFS(Movimientos!E:E, Movimientos!D:D, A447, Movimientos!C:C, "Egreso", Movimientos!F:F, "G1000")+SUMIFS(Movimientos!E:E, Movimientos!D:D, A447, Movimientos!C:C, "Ajuste", Movimientos!F:F, "G1000")),"")</f>
        <v/>
      </c>
      <c r="G447" s="6" t="str">
        <f aca="false">IFERROR(IF(A447="","",SUMIFS(Movimientos!E:E, Movimientos!D:D, A447, Movimientos!C:C, "Ingreso", Movimientos!G:G, "G710")+SUMIFS(Movimientos!E:E, Movimientos!D:D, A447, Movimientos!C:C, "Traslado", Movimientos!G:G, "G710")-SUMIFS(Movimientos!E:E, Movimientos!D:D, A447, Movimientos!C:C, "Traslado", Movimientos!F:F, "G710")-SUMIFS(Movimientos!E:E, Movimientos!D:D, A447, Movimientos!C:C, "Egreso", Movimientos!F:F, "G710")+SUMIFS(Movimientos!E:E, Movimientos!D:D, A447, Movimientos!C:C, "Ajuste", Movimientos!F:F, "G710")),"")</f>
        <v/>
      </c>
      <c r="H447" s="6" t="str">
        <f aca="false">IFERROR(IF(A447="","",SUMIFS(Movimientos!E:E, Movimientos!D:D, A447, Movimientos!C:C, "Ingreso", Movimientos!G:G, "G5000")+SUMIFS(Movimientos!E:E, Movimientos!D:D, A447, Movimientos!C:C, "Traslado", Movimientos!G:G, "G5000")-SUMIFS(Movimientos!E:E, Movimientos!D:D, A447, Movimientos!C:C, "Traslado", Movimientos!F:F, "G5000")-SUMIFS(Movimientos!E:E, Movimientos!D:D, A447, Movimientos!C:C, "Egreso", Movimientos!F:F, "G5000")+SUMIFS(Movimientos!E:E, Movimientos!D:D, A447, Movimientos!C:C, "Ajuste", Movimientos!F:F, "G5000")),"")</f>
        <v/>
      </c>
      <c r="I447" s="6" t="str">
        <f aca="false">IFERROR(IF(A447="","",SUMIFS(Movimientos!E:E, Movimientos!D:D, A447, Movimientos!C:C, "Ingreso", Movimientos!G:G, "G3")+SUMIFS(Movimientos!E:E, Movimientos!D:D, A447, Movimientos!C:C, "Traslado", Movimientos!G:G, "G3")-SUMIFS(Movimientos!E:E, Movimientos!D:D, A447, Movimientos!C:C, "Traslado", Movimientos!F:F, "G3")-SUMIFS(Movimientos!E:E, Movimientos!D:D, A447, Movimientos!C:C, "Egreso", Movimientos!F:F, "G3")+SUMIFS(Movimientos!E:E, Movimientos!D:D, A447, Movimientos!C:C, "Ajuste", Movimientos!F:F, "G3")),"")</f>
        <v/>
      </c>
      <c r="J447" s="6" t="str">
        <f aca="false">IFERROR(IF(A447="","",SUM(E447:I447)),"")</f>
        <v/>
      </c>
      <c r="K447" s="6" t="str">
        <f aca="false">IFERROR(IF(A447="","",SUMIFS(Movimientos!E:E, Movimientos!D:D, A447, Movimientos!C:C, "Reserva")-SUMIFS(Movimientos!E:E, Movimientos!D:D, A447, Movimientos!C:C, "Libera_Reserva")),"")</f>
        <v/>
      </c>
      <c r="L447" s="6" t="str">
        <f aca="false">IFERROR(IF(A447="","",J447-K447),"")</f>
        <v/>
      </c>
      <c r="M447" s="6" t="str">
        <f aca="false">IFERROR(IF(Productos!A447="","",Productos!G447),"")</f>
        <v/>
      </c>
      <c r="N447" s="6" t="str">
        <f aca="false">IFERROR(IF(A447="","",IF(L447&lt;M447,"BAJO STOCK","OK")),"")</f>
        <v/>
      </c>
    </row>
    <row r="448" customFormat="false" ht="15" hidden="false" customHeight="false" outlineLevel="0" collapsed="false">
      <c r="A448" s="0" t="str">
        <f aca="false">IFERROR(IF(Productos!A448="","",Productos!A448),"")</f>
        <v/>
      </c>
      <c r="B448" s="0" t="str">
        <f aca="false">IFERROR(IF(Productos!A448="","",Productos!B448),"")</f>
        <v/>
      </c>
      <c r="C448" s="0" t="str">
        <f aca="false">IFERROR(IF(Productos!A448="","",Productos!C448),"")</f>
        <v/>
      </c>
      <c r="D448" s="0" t="str">
        <f aca="false">IFERROR(IF(Productos!A448="","",Productos!E448),"")</f>
        <v/>
      </c>
      <c r="E448" s="6" t="str">
        <f aca="false">IFERROR(IF(A448="","",SUMIFS(Movimientos!E:E, Movimientos!D:D, A448, Movimientos!C:C, "Ingreso", Movimientos!G:G, "TIN")+SUMIFS(Movimientos!E:E, Movimientos!D:D, A448, Movimientos!C:C, "Traslado", Movimientos!G:G, "TIN")-SUMIFS(Movimientos!E:E, Movimientos!D:D, A448, Movimientos!C:C, "Traslado", Movimientos!F:F, "TIN")-SUMIFS(Movimientos!E:E, Movimientos!D:D, A448, Movimientos!C:C, "Egreso", Movimientos!F:F, "TIN")+SUMIFS(Movimientos!E:E, Movimientos!D:D, A448, Movimientos!C:C, "Ajuste", Movimientos!F:F, "TIN")),"")</f>
        <v/>
      </c>
      <c r="F448" s="6" t="str">
        <f aca="false">IFERROR(IF(A448="","",SUMIFS(Movimientos!E:E, Movimientos!D:D, A448, Movimientos!C:C, "Ingreso", Movimientos!G:G, "G1000")+SUMIFS(Movimientos!E:E, Movimientos!D:D, A448, Movimientos!C:C, "Traslado", Movimientos!G:G, "G1000")-SUMIFS(Movimientos!E:E, Movimientos!D:D, A448, Movimientos!C:C, "Traslado", Movimientos!F:F, "G1000")-SUMIFS(Movimientos!E:E, Movimientos!D:D, A448, Movimientos!C:C, "Egreso", Movimientos!F:F, "G1000")+SUMIFS(Movimientos!E:E, Movimientos!D:D, A448, Movimientos!C:C, "Ajuste", Movimientos!F:F, "G1000")),"")</f>
        <v/>
      </c>
      <c r="G448" s="6" t="str">
        <f aca="false">IFERROR(IF(A448="","",SUMIFS(Movimientos!E:E, Movimientos!D:D, A448, Movimientos!C:C, "Ingreso", Movimientos!G:G, "G710")+SUMIFS(Movimientos!E:E, Movimientos!D:D, A448, Movimientos!C:C, "Traslado", Movimientos!G:G, "G710")-SUMIFS(Movimientos!E:E, Movimientos!D:D, A448, Movimientos!C:C, "Traslado", Movimientos!F:F, "G710")-SUMIFS(Movimientos!E:E, Movimientos!D:D, A448, Movimientos!C:C, "Egreso", Movimientos!F:F, "G710")+SUMIFS(Movimientos!E:E, Movimientos!D:D, A448, Movimientos!C:C, "Ajuste", Movimientos!F:F, "G710")),"")</f>
        <v/>
      </c>
      <c r="H448" s="6" t="str">
        <f aca="false">IFERROR(IF(A448="","",SUMIFS(Movimientos!E:E, Movimientos!D:D, A448, Movimientos!C:C, "Ingreso", Movimientos!G:G, "G5000")+SUMIFS(Movimientos!E:E, Movimientos!D:D, A448, Movimientos!C:C, "Traslado", Movimientos!G:G, "G5000")-SUMIFS(Movimientos!E:E, Movimientos!D:D, A448, Movimientos!C:C, "Traslado", Movimientos!F:F, "G5000")-SUMIFS(Movimientos!E:E, Movimientos!D:D, A448, Movimientos!C:C, "Egreso", Movimientos!F:F, "G5000")+SUMIFS(Movimientos!E:E, Movimientos!D:D, A448, Movimientos!C:C, "Ajuste", Movimientos!F:F, "G5000")),"")</f>
        <v/>
      </c>
      <c r="I448" s="6" t="str">
        <f aca="false">IFERROR(IF(A448="","",SUMIFS(Movimientos!E:E, Movimientos!D:D, A448, Movimientos!C:C, "Ingreso", Movimientos!G:G, "G3")+SUMIFS(Movimientos!E:E, Movimientos!D:D, A448, Movimientos!C:C, "Traslado", Movimientos!G:G, "G3")-SUMIFS(Movimientos!E:E, Movimientos!D:D, A448, Movimientos!C:C, "Traslado", Movimientos!F:F, "G3")-SUMIFS(Movimientos!E:E, Movimientos!D:D, A448, Movimientos!C:C, "Egreso", Movimientos!F:F, "G3")+SUMIFS(Movimientos!E:E, Movimientos!D:D, A448, Movimientos!C:C, "Ajuste", Movimientos!F:F, "G3")),"")</f>
        <v/>
      </c>
      <c r="J448" s="6" t="str">
        <f aca="false">IFERROR(IF(A448="","",SUM(E448:I448)),"")</f>
        <v/>
      </c>
      <c r="K448" s="6" t="str">
        <f aca="false">IFERROR(IF(A448="","",SUMIFS(Movimientos!E:E, Movimientos!D:D, A448, Movimientos!C:C, "Reserva")-SUMIFS(Movimientos!E:E, Movimientos!D:D, A448, Movimientos!C:C, "Libera_Reserva")),"")</f>
        <v/>
      </c>
      <c r="L448" s="6" t="str">
        <f aca="false">IFERROR(IF(A448="","",J448-K448),"")</f>
        <v/>
      </c>
      <c r="M448" s="6" t="str">
        <f aca="false">IFERROR(IF(Productos!A448="","",Productos!G448),"")</f>
        <v/>
      </c>
      <c r="N448" s="6" t="str">
        <f aca="false">IFERROR(IF(A448="","",IF(L448&lt;M448,"BAJO STOCK","OK")),"")</f>
        <v/>
      </c>
    </row>
    <row r="449" customFormat="false" ht="15" hidden="false" customHeight="false" outlineLevel="0" collapsed="false">
      <c r="A449" s="0" t="str">
        <f aca="false">IFERROR(IF(Productos!A449="","",Productos!A449),"")</f>
        <v/>
      </c>
      <c r="B449" s="0" t="str">
        <f aca="false">IFERROR(IF(Productos!A449="","",Productos!B449),"")</f>
        <v/>
      </c>
      <c r="C449" s="0" t="str">
        <f aca="false">IFERROR(IF(Productos!A449="","",Productos!C449),"")</f>
        <v/>
      </c>
      <c r="D449" s="0" t="str">
        <f aca="false">IFERROR(IF(Productos!A449="","",Productos!E449),"")</f>
        <v/>
      </c>
      <c r="E449" s="6" t="str">
        <f aca="false">IFERROR(IF(A449="","",SUMIFS(Movimientos!E:E, Movimientos!D:D, A449, Movimientos!C:C, "Ingreso", Movimientos!G:G, "TIN")+SUMIFS(Movimientos!E:E, Movimientos!D:D, A449, Movimientos!C:C, "Traslado", Movimientos!G:G, "TIN")-SUMIFS(Movimientos!E:E, Movimientos!D:D, A449, Movimientos!C:C, "Traslado", Movimientos!F:F, "TIN")-SUMIFS(Movimientos!E:E, Movimientos!D:D, A449, Movimientos!C:C, "Egreso", Movimientos!F:F, "TIN")+SUMIFS(Movimientos!E:E, Movimientos!D:D, A449, Movimientos!C:C, "Ajuste", Movimientos!F:F, "TIN")),"")</f>
        <v/>
      </c>
      <c r="F449" s="6" t="str">
        <f aca="false">IFERROR(IF(A449="","",SUMIFS(Movimientos!E:E, Movimientos!D:D, A449, Movimientos!C:C, "Ingreso", Movimientos!G:G, "G1000")+SUMIFS(Movimientos!E:E, Movimientos!D:D, A449, Movimientos!C:C, "Traslado", Movimientos!G:G, "G1000")-SUMIFS(Movimientos!E:E, Movimientos!D:D, A449, Movimientos!C:C, "Traslado", Movimientos!F:F, "G1000")-SUMIFS(Movimientos!E:E, Movimientos!D:D, A449, Movimientos!C:C, "Egreso", Movimientos!F:F, "G1000")+SUMIFS(Movimientos!E:E, Movimientos!D:D, A449, Movimientos!C:C, "Ajuste", Movimientos!F:F, "G1000")),"")</f>
        <v/>
      </c>
      <c r="G449" s="6" t="str">
        <f aca="false">IFERROR(IF(A449="","",SUMIFS(Movimientos!E:E, Movimientos!D:D, A449, Movimientos!C:C, "Ingreso", Movimientos!G:G, "G710")+SUMIFS(Movimientos!E:E, Movimientos!D:D, A449, Movimientos!C:C, "Traslado", Movimientos!G:G, "G710")-SUMIFS(Movimientos!E:E, Movimientos!D:D, A449, Movimientos!C:C, "Traslado", Movimientos!F:F, "G710")-SUMIFS(Movimientos!E:E, Movimientos!D:D, A449, Movimientos!C:C, "Egreso", Movimientos!F:F, "G710")+SUMIFS(Movimientos!E:E, Movimientos!D:D, A449, Movimientos!C:C, "Ajuste", Movimientos!F:F, "G710")),"")</f>
        <v/>
      </c>
      <c r="H449" s="6" t="str">
        <f aca="false">IFERROR(IF(A449="","",SUMIFS(Movimientos!E:E, Movimientos!D:D, A449, Movimientos!C:C, "Ingreso", Movimientos!G:G, "G5000")+SUMIFS(Movimientos!E:E, Movimientos!D:D, A449, Movimientos!C:C, "Traslado", Movimientos!G:G, "G5000")-SUMIFS(Movimientos!E:E, Movimientos!D:D, A449, Movimientos!C:C, "Traslado", Movimientos!F:F, "G5000")-SUMIFS(Movimientos!E:E, Movimientos!D:D, A449, Movimientos!C:C, "Egreso", Movimientos!F:F, "G5000")+SUMIFS(Movimientos!E:E, Movimientos!D:D, A449, Movimientos!C:C, "Ajuste", Movimientos!F:F, "G5000")),"")</f>
        <v/>
      </c>
      <c r="I449" s="6" t="str">
        <f aca="false">IFERROR(IF(A449="","",SUMIFS(Movimientos!E:E, Movimientos!D:D, A449, Movimientos!C:C, "Ingreso", Movimientos!G:G, "G3")+SUMIFS(Movimientos!E:E, Movimientos!D:D, A449, Movimientos!C:C, "Traslado", Movimientos!G:G, "G3")-SUMIFS(Movimientos!E:E, Movimientos!D:D, A449, Movimientos!C:C, "Traslado", Movimientos!F:F, "G3")-SUMIFS(Movimientos!E:E, Movimientos!D:D, A449, Movimientos!C:C, "Egreso", Movimientos!F:F, "G3")+SUMIFS(Movimientos!E:E, Movimientos!D:D, A449, Movimientos!C:C, "Ajuste", Movimientos!F:F, "G3")),"")</f>
        <v/>
      </c>
      <c r="J449" s="6" t="str">
        <f aca="false">IFERROR(IF(A449="","",SUM(E449:I449)),"")</f>
        <v/>
      </c>
      <c r="K449" s="6" t="str">
        <f aca="false">IFERROR(IF(A449="","",SUMIFS(Movimientos!E:E, Movimientos!D:D, A449, Movimientos!C:C, "Reserva")-SUMIFS(Movimientos!E:E, Movimientos!D:D, A449, Movimientos!C:C, "Libera_Reserva")),"")</f>
        <v/>
      </c>
      <c r="L449" s="6" t="str">
        <f aca="false">IFERROR(IF(A449="","",J449-K449),"")</f>
        <v/>
      </c>
      <c r="M449" s="6" t="str">
        <f aca="false">IFERROR(IF(Productos!A449="","",Productos!G449),"")</f>
        <v/>
      </c>
      <c r="N449" s="6" t="str">
        <f aca="false">IFERROR(IF(A449="","",IF(L449&lt;M449,"BAJO STOCK","OK")),"")</f>
        <v/>
      </c>
    </row>
    <row r="450" customFormat="false" ht="15" hidden="false" customHeight="false" outlineLevel="0" collapsed="false">
      <c r="A450" s="0" t="str">
        <f aca="false">IFERROR(IF(Productos!A450="","",Productos!A450),"")</f>
        <v/>
      </c>
      <c r="B450" s="0" t="str">
        <f aca="false">IFERROR(IF(Productos!A450="","",Productos!B450),"")</f>
        <v/>
      </c>
      <c r="C450" s="0" t="str">
        <f aca="false">IFERROR(IF(Productos!A450="","",Productos!C450),"")</f>
        <v/>
      </c>
      <c r="D450" s="0" t="str">
        <f aca="false">IFERROR(IF(Productos!A450="","",Productos!E450),"")</f>
        <v/>
      </c>
      <c r="E450" s="6" t="str">
        <f aca="false">IFERROR(IF(A450="","",SUMIFS(Movimientos!E:E, Movimientos!D:D, A450, Movimientos!C:C, "Ingreso", Movimientos!G:G, "TIN")+SUMIFS(Movimientos!E:E, Movimientos!D:D, A450, Movimientos!C:C, "Traslado", Movimientos!G:G, "TIN")-SUMIFS(Movimientos!E:E, Movimientos!D:D, A450, Movimientos!C:C, "Traslado", Movimientos!F:F, "TIN")-SUMIFS(Movimientos!E:E, Movimientos!D:D, A450, Movimientos!C:C, "Egreso", Movimientos!F:F, "TIN")+SUMIFS(Movimientos!E:E, Movimientos!D:D, A450, Movimientos!C:C, "Ajuste", Movimientos!F:F, "TIN")),"")</f>
        <v/>
      </c>
      <c r="F450" s="6" t="str">
        <f aca="false">IFERROR(IF(A450="","",SUMIFS(Movimientos!E:E, Movimientos!D:D, A450, Movimientos!C:C, "Ingreso", Movimientos!G:G, "G1000")+SUMIFS(Movimientos!E:E, Movimientos!D:D, A450, Movimientos!C:C, "Traslado", Movimientos!G:G, "G1000")-SUMIFS(Movimientos!E:E, Movimientos!D:D, A450, Movimientos!C:C, "Traslado", Movimientos!F:F, "G1000")-SUMIFS(Movimientos!E:E, Movimientos!D:D, A450, Movimientos!C:C, "Egreso", Movimientos!F:F, "G1000")+SUMIFS(Movimientos!E:E, Movimientos!D:D, A450, Movimientos!C:C, "Ajuste", Movimientos!F:F, "G1000")),"")</f>
        <v/>
      </c>
      <c r="G450" s="6" t="str">
        <f aca="false">IFERROR(IF(A450="","",SUMIFS(Movimientos!E:E, Movimientos!D:D, A450, Movimientos!C:C, "Ingreso", Movimientos!G:G, "G710")+SUMIFS(Movimientos!E:E, Movimientos!D:D, A450, Movimientos!C:C, "Traslado", Movimientos!G:G, "G710")-SUMIFS(Movimientos!E:E, Movimientos!D:D, A450, Movimientos!C:C, "Traslado", Movimientos!F:F, "G710")-SUMIFS(Movimientos!E:E, Movimientos!D:D, A450, Movimientos!C:C, "Egreso", Movimientos!F:F, "G710")+SUMIFS(Movimientos!E:E, Movimientos!D:D, A450, Movimientos!C:C, "Ajuste", Movimientos!F:F, "G710")),"")</f>
        <v/>
      </c>
      <c r="H450" s="6" t="str">
        <f aca="false">IFERROR(IF(A450="","",SUMIFS(Movimientos!E:E, Movimientos!D:D, A450, Movimientos!C:C, "Ingreso", Movimientos!G:G, "G5000")+SUMIFS(Movimientos!E:E, Movimientos!D:D, A450, Movimientos!C:C, "Traslado", Movimientos!G:G, "G5000")-SUMIFS(Movimientos!E:E, Movimientos!D:D, A450, Movimientos!C:C, "Traslado", Movimientos!F:F, "G5000")-SUMIFS(Movimientos!E:E, Movimientos!D:D, A450, Movimientos!C:C, "Egreso", Movimientos!F:F, "G5000")+SUMIFS(Movimientos!E:E, Movimientos!D:D, A450, Movimientos!C:C, "Ajuste", Movimientos!F:F, "G5000")),"")</f>
        <v/>
      </c>
      <c r="I450" s="6" t="str">
        <f aca="false">IFERROR(IF(A450="","",SUMIFS(Movimientos!E:E, Movimientos!D:D, A450, Movimientos!C:C, "Ingreso", Movimientos!G:G, "G3")+SUMIFS(Movimientos!E:E, Movimientos!D:D, A450, Movimientos!C:C, "Traslado", Movimientos!G:G, "G3")-SUMIFS(Movimientos!E:E, Movimientos!D:D, A450, Movimientos!C:C, "Traslado", Movimientos!F:F, "G3")-SUMIFS(Movimientos!E:E, Movimientos!D:D, A450, Movimientos!C:C, "Egreso", Movimientos!F:F, "G3")+SUMIFS(Movimientos!E:E, Movimientos!D:D, A450, Movimientos!C:C, "Ajuste", Movimientos!F:F, "G3")),"")</f>
        <v/>
      </c>
      <c r="J450" s="6" t="str">
        <f aca="false">IFERROR(IF(A450="","",SUM(E450:I450)),"")</f>
        <v/>
      </c>
      <c r="K450" s="6" t="str">
        <f aca="false">IFERROR(IF(A450="","",SUMIFS(Movimientos!E:E, Movimientos!D:D, A450, Movimientos!C:C, "Reserva")-SUMIFS(Movimientos!E:E, Movimientos!D:D, A450, Movimientos!C:C, "Libera_Reserva")),"")</f>
        <v/>
      </c>
      <c r="L450" s="6" t="str">
        <f aca="false">IFERROR(IF(A450="","",J450-K450),"")</f>
        <v/>
      </c>
      <c r="M450" s="6" t="str">
        <f aca="false">IFERROR(IF(Productos!A450="","",Productos!G450),"")</f>
        <v/>
      </c>
      <c r="N450" s="6" t="str">
        <f aca="false">IFERROR(IF(A450="","",IF(L450&lt;M450,"BAJO STOCK","OK")),"")</f>
        <v/>
      </c>
    </row>
    <row r="451" customFormat="false" ht="15" hidden="false" customHeight="false" outlineLevel="0" collapsed="false">
      <c r="A451" s="0" t="str">
        <f aca="false">IFERROR(IF(Productos!A451="","",Productos!A451),"")</f>
        <v/>
      </c>
      <c r="B451" s="0" t="str">
        <f aca="false">IFERROR(IF(Productos!A451="","",Productos!B451),"")</f>
        <v/>
      </c>
      <c r="C451" s="0" t="str">
        <f aca="false">IFERROR(IF(Productos!A451="","",Productos!C451),"")</f>
        <v/>
      </c>
      <c r="D451" s="0" t="str">
        <f aca="false">IFERROR(IF(Productos!A451="","",Productos!E451),"")</f>
        <v/>
      </c>
      <c r="E451" s="6" t="str">
        <f aca="false">IFERROR(IF(A451="","",SUMIFS(Movimientos!E:E, Movimientos!D:D, A451, Movimientos!C:C, "Ingreso", Movimientos!G:G, "TIN")+SUMIFS(Movimientos!E:E, Movimientos!D:D, A451, Movimientos!C:C, "Traslado", Movimientos!G:G, "TIN")-SUMIFS(Movimientos!E:E, Movimientos!D:D, A451, Movimientos!C:C, "Traslado", Movimientos!F:F, "TIN")-SUMIFS(Movimientos!E:E, Movimientos!D:D, A451, Movimientos!C:C, "Egreso", Movimientos!F:F, "TIN")+SUMIFS(Movimientos!E:E, Movimientos!D:D, A451, Movimientos!C:C, "Ajuste", Movimientos!F:F, "TIN")),"")</f>
        <v/>
      </c>
      <c r="F451" s="6" t="str">
        <f aca="false">IFERROR(IF(A451="","",SUMIFS(Movimientos!E:E, Movimientos!D:D, A451, Movimientos!C:C, "Ingreso", Movimientos!G:G, "G1000")+SUMIFS(Movimientos!E:E, Movimientos!D:D, A451, Movimientos!C:C, "Traslado", Movimientos!G:G, "G1000")-SUMIFS(Movimientos!E:E, Movimientos!D:D, A451, Movimientos!C:C, "Traslado", Movimientos!F:F, "G1000")-SUMIFS(Movimientos!E:E, Movimientos!D:D, A451, Movimientos!C:C, "Egreso", Movimientos!F:F, "G1000")+SUMIFS(Movimientos!E:E, Movimientos!D:D, A451, Movimientos!C:C, "Ajuste", Movimientos!F:F, "G1000")),"")</f>
        <v/>
      </c>
      <c r="G451" s="6" t="str">
        <f aca="false">IFERROR(IF(A451="","",SUMIFS(Movimientos!E:E, Movimientos!D:D, A451, Movimientos!C:C, "Ingreso", Movimientos!G:G, "G710")+SUMIFS(Movimientos!E:E, Movimientos!D:D, A451, Movimientos!C:C, "Traslado", Movimientos!G:G, "G710")-SUMIFS(Movimientos!E:E, Movimientos!D:D, A451, Movimientos!C:C, "Traslado", Movimientos!F:F, "G710")-SUMIFS(Movimientos!E:E, Movimientos!D:D, A451, Movimientos!C:C, "Egreso", Movimientos!F:F, "G710")+SUMIFS(Movimientos!E:E, Movimientos!D:D, A451, Movimientos!C:C, "Ajuste", Movimientos!F:F, "G710")),"")</f>
        <v/>
      </c>
      <c r="H451" s="6" t="str">
        <f aca="false">IFERROR(IF(A451="","",SUMIFS(Movimientos!E:E, Movimientos!D:D, A451, Movimientos!C:C, "Ingreso", Movimientos!G:G, "G5000")+SUMIFS(Movimientos!E:E, Movimientos!D:D, A451, Movimientos!C:C, "Traslado", Movimientos!G:G, "G5000")-SUMIFS(Movimientos!E:E, Movimientos!D:D, A451, Movimientos!C:C, "Traslado", Movimientos!F:F, "G5000")-SUMIFS(Movimientos!E:E, Movimientos!D:D, A451, Movimientos!C:C, "Egreso", Movimientos!F:F, "G5000")+SUMIFS(Movimientos!E:E, Movimientos!D:D, A451, Movimientos!C:C, "Ajuste", Movimientos!F:F, "G5000")),"")</f>
        <v/>
      </c>
      <c r="I451" s="6" t="str">
        <f aca="false">IFERROR(IF(A451="","",SUMIFS(Movimientos!E:E, Movimientos!D:D, A451, Movimientos!C:C, "Ingreso", Movimientos!G:G, "G3")+SUMIFS(Movimientos!E:E, Movimientos!D:D, A451, Movimientos!C:C, "Traslado", Movimientos!G:G, "G3")-SUMIFS(Movimientos!E:E, Movimientos!D:D, A451, Movimientos!C:C, "Traslado", Movimientos!F:F, "G3")-SUMIFS(Movimientos!E:E, Movimientos!D:D, A451, Movimientos!C:C, "Egreso", Movimientos!F:F, "G3")+SUMIFS(Movimientos!E:E, Movimientos!D:D, A451, Movimientos!C:C, "Ajuste", Movimientos!F:F, "G3")),"")</f>
        <v/>
      </c>
      <c r="J451" s="6" t="str">
        <f aca="false">IFERROR(IF(A451="","",SUM(E451:I451)),"")</f>
        <v/>
      </c>
      <c r="K451" s="6" t="str">
        <f aca="false">IFERROR(IF(A451="","",SUMIFS(Movimientos!E:E, Movimientos!D:D, A451, Movimientos!C:C, "Reserva")-SUMIFS(Movimientos!E:E, Movimientos!D:D, A451, Movimientos!C:C, "Libera_Reserva")),"")</f>
        <v/>
      </c>
      <c r="L451" s="6" t="str">
        <f aca="false">IFERROR(IF(A451="","",J451-K451),"")</f>
        <v/>
      </c>
      <c r="M451" s="6" t="str">
        <f aca="false">IFERROR(IF(Productos!A451="","",Productos!G451),"")</f>
        <v/>
      </c>
      <c r="N451" s="6" t="str">
        <f aca="false">IFERROR(IF(A451="","",IF(L451&lt;M451,"BAJO STOCK","OK")),"")</f>
        <v/>
      </c>
    </row>
    <row r="452" customFormat="false" ht="15" hidden="false" customHeight="false" outlineLevel="0" collapsed="false">
      <c r="A452" s="0" t="str">
        <f aca="false">IFERROR(IF(Productos!A452="","",Productos!A452),"")</f>
        <v/>
      </c>
      <c r="B452" s="0" t="str">
        <f aca="false">IFERROR(IF(Productos!A452="","",Productos!B452),"")</f>
        <v/>
      </c>
      <c r="C452" s="0" t="str">
        <f aca="false">IFERROR(IF(Productos!A452="","",Productos!C452),"")</f>
        <v/>
      </c>
      <c r="D452" s="0" t="str">
        <f aca="false">IFERROR(IF(Productos!A452="","",Productos!E452),"")</f>
        <v/>
      </c>
      <c r="E452" s="6" t="str">
        <f aca="false">IFERROR(IF(A452="","",SUMIFS(Movimientos!E:E, Movimientos!D:D, A452, Movimientos!C:C, "Ingreso", Movimientos!G:G, "TIN")+SUMIFS(Movimientos!E:E, Movimientos!D:D, A452, Movimientos!C:C, "Traslado", Movimientos!G:G, "TIN")-SUMIFS(Movimientos!E:E, Movimientos!D:D, A452, Movimientos!C:C, "Traslado", Movimientos!F:F, "TIN")-SUMIFS(Movimientos!E:E, Movimientos!D:D, A452, Movimientos!C:C, "Egreso", Movimientos!F:F, "TIN")+SUMIFS(Movimientos!E:E, Movimientos!D:D, A452, Movimientos!C:C, "Ajuste", Movimientos!F:F, "TIN")),"")</f>
        <v/>
      </c>
      <c r="F452" s="6" t="str">
        <f aca="false">IFERROR(IF(A452="","",SUMIFS(Movimientos!E:E, Movimientos!D:D, A452, Movimientos!C:C, "Ingreso", Movimientos!G:G, "G1000")+SUMIFS(Movimientos!E:E, Movimientos!D:D, A452, Movimientos!C:C, "Traslado", Movimientos!G:G, "G1000")-SUMIFS(Movimientos!E:E, Movimientos!D:D, A452, Movimientos!C:C, "Traslado", Movimientos!F:F, "G1000")-SUMIFS(Movimientos!E:E, Movimientos!D:D, A452, Movimientos!C:C, "Egreso", Movimientos!F:F, "G1000")+SUMIFS(Movimientos!E:E, Movimientos!D:D, A452, Movimientos!C:C, "Ajuste", Movimientos!F:F, "G1000")),"")</f>
        <v/>
      </c>
      <c r="G452" s="6" t="str">
        <f aca="false">IFERROR(IF(A452="","",SUMIFS(Movimientos!E:E, Movimientos!D:D, A452, Movimientos!C:C, "Ingreso", Movimientos!G:G, "G710")+SUMIFS(Movimientos!E:E, Movimientos!D:D, A452, Movimientos!C:C, "Traslado", Movimientos!G:G, "G710")-SUMIFS(Movimientos!E:E, Movimientos!D:D, A452, Movimientos!C:C, "Traslado", Movimientos!F:F, "G710")-SUMIFS(Movimientos!E:E, Movimientos!D:D, A452, Movimientos!C:C, "Egreso", Movimientos!F:F, "G710")+SUMIFS(Movimientos!E:E, Movimientos!D:D, A452, Movimientos!C:C, "Ajuste", Movimientos!F:F, "G710")),"")</f>
        <v/>
      </c>
      <c r="H452" s="6" t="str">
        <f aca="false">IFERROR(IF(A452="","",SUMIFS(Movimientos!E:E, Movimientos!D:D, A452, Movimientos!C:C, "Ingreso", Movimientos!G:G, "G5000")+SUMIFS(Movimientos!E:E, Movimientos!D:D, A452, Movimientos!C:C, "Traslado", Movimientos!G:G, "G5000")-SUMIFS(Movimientos!E:E, Movimientos!D:D, A452, Movimientos!C:C, "Traslado", Movimientos!F:F, "G5000")-SUMIFS(Movimientos!E:E, Movimientos!D:D, A452, Movimientos!C:C, "Egreso", Movimientos!F:F, "G5000")+SUMIFS(Movimientos!E:E, Movimientos!D:D, A452, Movimientos!C:C, "Ajuste", Movimientos!F:F, "G5000")),"")</f>
        <v/>
      </c>
      <c r="I452" s="6" t="str">
        <f aca="false">IFERROR(IF(A452="","",SUMIFS(Movimientos!E:E, Movimientos!D:D, A452, Movimientos!C:C, "Ingreso", Movimientos!G:G, "G3")+SUMIFS(Movimientos!E:E, Movimientos!D:D, A452, Movimientos!C:C, "Traslado", Movimientos!G:G, "G3")-SUMIFS(Movimientos!E:E, Movimientos!D:D, A452, Movimientos!C:C, "Traslado", Movimientos!F:F, "G3")-SUMIFS(Movimientos!E:E, Movimientos!D:D, A452, Movimientos!C:C, "Egreso", Movimientos!F:F, "G3")+SUMIFS(Movimientos!E:E, Movimientos!D:D, A452, Movimientos!C:C, "Ajuste", Movimientos!F:F, "G3")),"")</f>
        <v/>
      </c>
      <c r="J452" s="6" t="str">
        <f aca="false">IFERROR(IF(A452="","",SUM(E452:I452)),"")</f>
        <v/>
      </c>
      <c r="K452" s="6" t="str">
        <f aca="false">IFERROR(IF(A452="","",SUMIFS(Movimientos!E:E, Movimientos!D:D, A452, Movimientos!C:C, "Reserva")-SUMIFS(Movimientos!E:E, Movimientos!D:D, A452, Movimientos!C:C, "Libera_Reserva")),"")</f>
        <v/>
      </c>
      <c r="L452" s="6" t="str">
        <f aca="false">IFERROR(IF(A452="","",J452-K452),"")</f>
        <v/>
      </c>
      <c r="M452" s="6" t="str">
        <f aca="false">IFERROR(IF(Productos!A452="","",Productos!G452),"")</f>
        <v/>
      </c>
      <c r="N452" s="6" t="str">
        <f aca="false">IFERROR(IF(A452="","",IF(L452&lt;M452,"BAJO STOCK","OK")),"")</f>
        <v/>
      </c>
    </row>
    <row r="453" customFormat="false" ht="15" hidden="false" customHeight="false" outlineLevel="0" collapsed="false">
      <c r="A453" s="0" t="str">
        <f aca="false">IFERROR(IF(Productos!A453="","",Productos!A453),"")</f>
        <v/>
      </c>
      <c r="B453" s="0" t="str">
        <f aca="false">IFERROR(IF(Productos!A453="","",Productos!B453),"")</f>
        <v/>
      </c>
      <c r="C453" s="0" t="str">
        <f aca="false">IFERROR(IF(Productos!A453="","",Productos!C453),"")</f>
        <v/>
      </c>
      <c r="D453" s="0" t="str">
        <f aca="false">IFERROR(IF(Productos!A453="","",Productos!E453),"")</f>
        <v/>
      </c>
      <c r="E453" s="6" t="str">
        <f aca="false">IFERROR(IF(A453="","",SUMIFS(Movimientos!E:E, Movimientos!D:D, A453, Movimientos!C:C, "Ingreso", Movimientos!G:G, "TIN")+SUMIFS(Movimientos!E:E, Movimientos!D:D, A453, Movimientos!C:C, "Traslado", Movimientos!G:G, "TIN")-SUMIFS(Movimientos!E:E, Movimientos!D:D, A453, Movimientos!C:C, "Traslado", Movimientos!F:F, "TIN")-SUMIFS(Movimientos!E:E, Movimientos!D:D, A453, Movimientos!C:C, "Egreso", Movimientos!F:F, "TIN")+SUMIFS(Movimientos!E:E, Movimientos!D:D, A453, Movimientos!C:C, "Ajuste", Movimientos!F:F, "TIN")),"")</f>
        <v/>
      </c>
      <c r="F453" s="6" t="str">
        <f aca="false">IFERROR(IF(A453="","",SUMIFS(Movimientos!E:E, Movimientos!D:D, A453, Movimientos!C:C, "Ingreso", Movimientos!G:G, "G1000")+SUMIFS(Movimientos!E:E, Movimientos!D:D, A453, Movimientos!C:C, "Traslado", Movimientos!G:G, "G1000")-SUMIFS(Movimientos!E:E, Movimientos!D:D, A453, Movimientos!C:C, "Traslado", Movimientos!F:F, "G1000")-SUMIFS(Movimientos!E:E, Movimientos!D:D, A453, Movimientos!C:C, "Egreso", Movimientos!F:F, "G1000")+SUMIFS(Movimientos!E:E, Movimientos!D:D, A453, Movimientos!C:C, "Ajuste", Movimientos!F:F, "G1000")),"")</f>
        <v/>
      </c>
      <c r="G453" s="6" t="str">
        <f aca="false">IFERROR(IF(A453="","",SUMIFS(Movimientos!E:E, Movimientos!D:D, A453, Movimientos!C:C, "Ingreso", Movimientos!G:G, "G710")+SUMIFS(Movimientos!E:E, Movimientos!D:D, A453, Movimientos!C:C, "Traslado", Movimientos!G:G, "G710")-SUMIFS(Movimientos!E:E, Movimientos!D:D, A453, Movimientos!C:C, "Traslado", Movimientos!F:F, "G710")-SUMIFS(Movimientos!E:E, Movimientos!D:D, A453, Movimientos!C:C, "Egreso", Movimientos!F:F, "G710")+SUMIFS(Movimientos!E:E, Movimientos!D:D, A453, Movimientos!C:C, "Ajuste", Movimientos!F:F, "G710")),"")</f>
        <v/>
      </c>
      <c r="H453" s="6" t="str">
        <f aca="false">IFERROR(IF(A453="","",SUMIFS(Movimientos!E:E, Movimientos!D:D, A453, Movimientos!C:C, "Ingreso", Movimientos!G:G, "G5000")+SUMIFS(Movimientos!E:E, Movimientos!D:D, A453, Movimientos!C:C, "Traslado", Movimientos!G:G, "G5000")-SUMIFS(Movimientos!E:E, Movimientos!D:D, A453, Movimientos!C:C, "Traslado", Movimientos!F:F, "G5000")-SUMIFS(Movimientos!E:E, Movimientos!D:D, A453, Movimientos!C:C, "Egreso", Movimientos!F:F, "G5000")+SUMIFS(Movimientos!E:E, Movimientos!D:D, A453, Movimientos!C:C, "Ajuste", Movimientos!F:F, "G5000")),"")</f>
        <v/>
      </c>
      <c r="I453" s="6" t="str">
        <f aca="false">IFERROR(IF(A453="","",SUMIFS(Movimientos!E:E, Movimientos!D:D, A453, Movimientos!C:C, "Ingreso", Movimientos!G:G, "G3")+SUMIFS(Movimientos!E:E, Movimientos!D:D, A453, Movimientos!C:C, "Traslado", Movimientos!G:G, "G3")-SUMIFS(Movimientos!E:E, Movimientos!D:D, A453, Movimientos!C:C, "Traslado", Movimientos!F:F, "G3")-SUMIFS(Movimientos!E:E, Movimientos!D:D, A453, Movimientos!C:C, "Egreso", Movimientos!F:F, "G3")+SUMIFS(Movimientos!E:E, Movimientos!D:D, A453, Movimientos!C:C, "Ajuste", Movimientos!F:F, "G3")),"")</f>
        <v/>
      </c>
      <c r="J453" s="6" t="str">
        <f aca="false">IFERROR(IF(A453="","",SUM(E453:I453)),"")</f>
        <v/>
      </c>
      <c r="K453" s="6" t="str">
        <f aca="false">IFERROR(IF(A453="","",SUMIFS(Movimientos!E:E, Movimientos!D:D, A453, Movimientos!C:C, "Reserva")-SUMIFS(Movimientos!E:E, Movimientos!D:D, A453, Movimientos!C:C, "Libera_Reserva")),"")</f>
        <v/>
      </c>
      <c r="L453" s="6" t="str">
        <f aca="false">IFERROR(IF(A453="","",J453-K453),"")</f>
        <v/>
      </c>
      <c r="M453" s="6" t="str">
        <f aca="false">IFERROR(IF(Productos!A453="","",Productos!G453),"")</f>
        <v/>
      </c>
      <c r="N453" s="6" t="str">
        <f aca="false">IFERROR(IF(A453="","",IF(L453&lt;M453,"BAJO STOCK","OK")),"")</f>
        <v/>
      </c>
    </row>
    <row r="454" customFormat="false" ht="15" hidden="false" customHeight="false" outlineLevel="0" collapsed="false">
      <c r="A454" s="0" t="str">
        <f aca="false">IFERROR(IF(Productos!A454="","",Productos!A454),"")</f>
        <v/>
      </c>
      <c r="B454" s="0" t="str">
        <f aca="false">IFERROR(IF(Productos!A454="","",Productos!B454),"")</f>
        <v/>
      </c>
      <c r="C454" s="0" t="str">
        <f aca="false">IFERROR(IF(Productos!A454="","",Productos!C454),"")</f>
        <v/>
      </c>
      <c r="D454" s="0" t="str">
        <f aca="false">IFERROR(IF(Productos!A454="","",Productos!E454),"")</f>
        <v/>
      </c>
      <c r="E454" s="6" t="str">
        <f aca="false">IFERROR(IF(A454="","",SUMIFS(Movimientos!E:E, Movimientos!D:D, A454, Movimientos!C:C, "Ingreso", Movimientos!G:G, "TIN")+SUMIFS(Movimientos!E:E, Movimientos!D:D, A454, Movimientos!C:C, "Traslado", Movimientos!G:G, "TIN")-SUMIFS(Movimientos!E:E, Movimientos!D:D, A454, Movimientos!C:C, "Traslado", Movimientos!F:F, "TIN")-SUMIFS(Movimientos!E:E, Movimientos!D:D, A454, Movimientos!C:C, "Egreso", Movimientos!F:F, "TIN")+SUMIFS(Movimientos!E:E, Movimientos!D:D, A454, Movimientos!C:C, "Ajuste", Movimientos!F:F, "TIN")),"")</f>
        <v/>
      </c>
      <c r="F454" s="6" t="str">
        <f aca="false">IFERROR(IF(A454="","",SUMIFS(Movimientos!E:E, Movimientos!D:D, A454, Movimientos!C:C, "Ingreso", Movimientos!G:G, "G1000")+SUMIFS(Movimientos!E:E, Movimientos!D:D, A454, Movimientos!C:C, "Traslado", Movimientos!G:G, "G1000")-SUMIFS(Movimientos!E:E, Movimientos!D:D, A454, Movimientos!C:C, "Traslado", Movimientos!F:F, "G1000")-SUMIFS(Movimientos!E:E, Movimientos!D:D, A454, Movimientos!C:C, "Egreso", Movimientos!F:F, "G1000")+SUMIFS(Movimientos!E:E, Movimientos!D:D, A454, Movimientos!C:C, "Ajuste", Movimientos!F:F, "G1000")),"")</f>
        <v/>
      </c>
      <c r="G454" s="6" t="str">
        <f aca="false">IFERROR(IF(A454="","",SUMIFS(Movimientos!E:E, Movimientos!D:D, A454, Movimientos!C:C, "Ingreso", Movimientos!G:G, "G710")+SUMIFS(Movimientos!E:E, Movimientos!D:D, A454, Movimientos!C:C, "Traslado", Movimientos!G:G, "G710")-SUMIFS(Movimientos!E:E, Movimientos!D:D, A454, Movimientos!C:C, "Traslado", Movimientos!F:F, "G710")-SUMIFS(Movimientos!E:E, Movimientos!D:D, A454, Movimientos!C:C, "Egreso", Movimientos!F:F, "G710")+SUMIFS(Movimientos!E:E, Movimientos!D:D, A454, Movimientos!C:C, "Ajuste", Movimientos!F:F, "G710")),"")</f>
        <v/>
      </c>
      <c r="H454" s="6" t="str">
        <f aca="false">IFERROR(IF(A454="","",SUMIFS(Movimientos!E:E, Movimientos!D:D, A454, Movimientos!C:C, "Ingreso", Movimientos!G:G, "G5000")+SUMIFS(Movimientos!E:E, Movimientos!D:D, A454, Movimientos!C:C, "Traslado", Movimientos!G:G, "G5000")-SUMIFS(Movimientos!E:E, Movimientos!D:D, A454, Movimientos!C:C, "Traslado", Movimientos!F:F, "G5000")-SUMIFS(Movimientos!E:E, Movimientos!D:D, A454, Movimientos!C:C, "Egreso", Movimientos!F:F, "G5000")+SUMIFS(Movimientos!E:E, Movimientos!D:D, A454, Movimientos!C:C, "Ajuste", Movimientos!F:F, "G5000")),"")</f>
        <v/>
      </c>
      <c r="I454" s="6" t="str">
        <f aca="false">IFERROR(IF(A454="","",SUMIFS(Movimientos!E:E, Movimientos!D:D, A454, Movimientos!C:C, "Ingreso", Movimientos!G:G, "G3")+SUMIFS(Movimientos!E:E, Movimientos!D:D, A454, Movimientos!C:C, "Traslado", Movimientos!G:G, "G3")-SUMIFS(Movimientos!E:E, Movimientos!D:D, A454, Movimientos!C:C, "Traslado", Movimientos!F:F, "G3")-SUMIFS(Movimientos!E:E, Movimientos!D:D, A454, Movimientos!C:C, "Egreso", Movimientos!F:F, "G3")+SUMIFS(Movimientos!E:E, Movimientos!D:D, A454, Movimientos!C:C, "Ajuste", Movimientos!F:F, "G3")),"")</f>
        <v/>
      </c>
      <c r="J454" s="6" t="str">
        <f aca="false">IFERROR(IF(A454="","",SUM(E454:I454)),"")</f>
        <v/>
      </c>
      <c r="K454" s="6" t="str">
        <f aca="false">IFERROR(IF(A454="","",SUMIFS(Movimientos!E:E, Movimientos!D:D, A454, Movimientos!C:C, "Reserva")-SUMIFS(Movimientos!E:E, Movimientos!D:D, A454, Movimientos!C:C, "Libera_Reserva")),"")</f>
        <v/>
      </c>
      <c r="L454" s="6" t="str">
        <f aca="false">IFERROR(IF(A454="","",J454-K454),"")</f>
        <v/>
      </c>
      <c r="M454" s="6" t="str">
        <f aca="false">IFERROR(IF(Productos!A454="","",Productos!G454),"")</f>
        <v/>
      </c>
      <c r="N454" s="6" t="str">
        <f aca="false">IFERROR(IF(A454="","",IF(L454&lt;M454,"BAJO STOCK","OK")),"")</f>
        <v/>
      </c>
    </row>
    <row r="455" customFormat="false" ht="15" hidden="false" customHeight="false" outlineLevel="0" collapsed="false">
      <c r="A455" s="0" t="str">
        <f aca="false">IFERROR(IF(Productos!A455="","",Productos!A455),"")</f>
        <v/>
      </c>
      <c r="B455" s="0" t="str">
        <f aca="false">IFERROR(IF(Productos!A455="","",Productos!B455),"")</f>
        <v/>
      </c>
      <c r="C455" s="0" t="str">
        <f aca="false">IFERROR(IF(Productos!A455="","",Productos!C455),"")</f>
        <v/>
      </c>
      <c r="D455" s="0" t="str">
        <f aca="false">IFERROR(IF(Productos!A455="","",Productos!E455),"")</f>
        <v/>
      </c>
      <c r="E455" s="6" t="str">
        <f aca="false">IFERROR(IF(A455="","",SUMIFS(Movimientos!E:E, Movimientos!D:D, A455, Movimientos!C:C, "Ingreso", Movimientos!G:G, "TIN")+SUMIFS(Movimientos!E:E, Movimientos!D:D, A455, Movimientos!C:C, "Traslado", Movimientos!G:G, "TIN")-SUMIFS(Movimientos!E:E, Movimientos!D:D, A455, Movimientos!C:C, "Traslado", Movimientos!F:F, "TIN")-SUMIFS(Movimientos!E:E, Movimientos!D:D, A455, Movimientos!C:C, "Egreso", Movimientos!F:F, "TIN")+SUMIFS(Movimientos!E:E, Movimientos!D:D, A455, Movimientos!C:C, "Ajuste", Movimientos!F:F, "TIN")),"")</f>
        <v/>
      </c>
      <c r="F455" s="6" t="str">
        <f aca="false">IFERROR(IF(A455="","",SUMIFS(Movimientos!E:E, Movimientos!D:D, A455, Movimientos!C:C, "Ingreso", Movimientos!G:G, "G1000")+SUMIFS(Movimientos!E:E, Movimientos!D:D, A455, Movimientos!C:C, "Traslado", Movimientos!G:G, "G1000")-SUMIFS(Movimientos!E:E, Movimientos!D:D, A455, Movimientos!C:C, "Traslado", Movimientos!F:F, "G1000")-SUMIFS(Movimientos!E:E, Movimientos!D:D, A455, Movimientos!C:C, "Egreso", Movimientos!F:F, "G1000")+SUMIFS(Movimientos!E:E, Movimientos!D:D, A455, Movimientos!C:C, "Ajuste", Movimientos!F:F, "G1000")),"")</f>
        <v/>
      </c>
      <c r="G455" s="6" t="str">
        <f aca="false">IFERROR(IF(A455="","",SUMIFS(Movimientos!E:E, Movimientos!D:D, A455, Movimientos!C:C, "Ingreso", Movimientos!G:G, "G710")+SUMIFS(Movimientos!E:E, Movimientos!D:D, A455, Movimientos!C:C, "Traslado", Movimientos!G:G, "G710")-SUMIFS(Movimientos!E:E, Movimientos!D:D, A455, Movimientos!C:C, "Traslado", Movimientos!F:F, "G710")-SUMIFS(Movimientos!E:E, Movimientos!D:D, A455, Movimientos!C:C, "Egreso", Movimientos!F:F, "G710")+SUMIFS(Movimientos!E:E, Movimientos!D:D, A455, Movimientos!C:C, "Ajuste", Movimientos!F:F, "G710")),"")</f>
        <v/>
      </c>
      <c r="H455" s="6" t="str">
        <f aca="false">IFERROR(IF(A455="","",SUMIFS(Movimientos!E:E, Movimientos!D:D, A455, Movimientos!C:C, "Ingreso", Movimientos!G:G, "G5000")+SUMIFS(Movimientos!E:E, Movimientos!D:D, A455, Movimientos!C:C, "Traslado", Movimientos!G:G, "G5000")-SUMIFS(Movimientos!E:E, Movimientos!D:D, A455, Movimientos!C:C, "Traslado", Movimientos!F:F, "G5000")-SUMIFS(Movimientos!E:E, Movimientos!D:D, A455, Movimientos!C:C, "Egreso", Movimientos!F:F, "G5000")+SUMIFS(Movimientos!E:E, Movimientos!D:D, A455, Movimientos!C:C, "Ajuste", Movimientos!F:F, "G5000")),"")</f>
        <v/>
      </c>
      <c r="I455" s="6" t="str">
        <f aca="false">IFERROR(IF(A455="","",SUMIFS(Movimientos!E:E, Movimientos!D:D, A455, Movimientos!C:C, "Ingreso", Movimientos!G:G, "G3")+SUMIFS(Movimientos!E:E, Movimientos!D:D, A455, Movimientos!C:C, "Traslado", Movimientos!G:G, "G3")-SUMIFS(Movimientos!E:E, Movimientos!D:D, A455, Movimientos!C:C, "Traslado", Movimientos!F:F, "G3")-SUMIFS(Movimientos!E:E, Movimientos!D:D, A455, Movimientos!C:C, "Egreso", Movimientos!F:F, "G3")+SUMIFS(Movimientos!E:E, Movimientos!D:D, A455, Movimientos!C:C, "Ajuste", Movimientos!F:F, "G3")),"")</f>
        <v/>
      </c>
      <c r="J455" s="6" t="str">
        <f aca="false">IFERROR(IF(A455="","",SUM(E455:I455)),"")</f>
        <v/>
      </c>
      <c r="K455" s="6" t="str">
        <f aca="false">IFERROR(IF(A455="","",SUMIFS(Movimientos!E:E, Movimientos!D:D, A455, Movimientos!C:C, "Reserva")-SUMIFS(Movimientos!E:E, Movimientos!D:D, A455, Movimientos!C:C, "Libera_Reserva")),"")</f>
        <v/>
      </c>
      <c r="L455" s="6" t="str">
        <f aca="false">IFERROR(IF(A455="","",J455-K455),"")</f>
        <v/>
      </c>
      <c r="M455" s="6" t="str">
        <f aca="false">IFERROR(IF(Productos!A455="","",Productos!G455),"")</f>
        <v/>
      </c>
      <c r="N455" s="6" t="str">
        <f aca="false">IFERROR(IF(A455="","",IF(L455&lt;M455,"BAJO STOCK","OK")),"")</f>
        <v/>
      </c>
    </row>
    <row r="456" customFormat="false" ht="15" hidden="false" customHeight="false" outlineLevel="0" collapsed="false">
      <c r="A456" s="0" t="str">
        <f aca="false">IFERROR(IF(Productos!A456="","",Productos!A456),"")</f>
        <v/>
      </c>
      <c r="B456" s="0" t="str">
        <f aca="false">IFERROR(IF(Productos!A456="","",Productos!B456),"")</f>
        <v/>
      </c>
      <c r="C456" s="0" t="str">
        <f aca="false">IFERROR(IF(Productos!A456="","",Productos!C456),"")</f>
        <v/>
      </c>
      <c r="D456" s="0" t="str">
        <f aca="false">IFERROR(IF(Productos!A456="","",Productos!E456),"")</f>
        <v/>
      </c>
      <c r="E456" s="6" t="str">
        <f aca="false">IFERROR(IF(A456="","",SUMIFS(Movimientos!E:E, Movimientos!D:D, A456, Movimientos!C:C, "Ingreso", Movimientos!G:G, "TIN")+SUMIFS(Movimientos!E:E, Movimientos!D:D, A456, Movimientos!C:C, "Traslado", Movimientos!G:G, "TIN")-SUMIFS(Movimientos!E:E, Movimientos!D:D, A456, Movimientos!C:C, "Traslado", Movimientos!F:F, "TIN")-SUMIFS(Movimientos!E:E, Movimientos!D:D, A456, Movimientos!C:C, "Egreso", Movimientos!F:F, "TIN")+SUMIFS(Movimientos!E:E, Movimientos!D:D, A456, Movimientos!C:C, "Ajuste", Movimientos!F:F, "TIN")),"")</f>
        <v/>
      </c>
      <c r="F456" s="6" t="str">
        <f aca="false">IFERROR(IF(A456="","",SUMIFS(Movimientos!E:E, Movimientos!D:D, A456, Movimientos!C:C, "Ingreso", Movimientos!G:G, "G1000")+SUMIFS(Movimientos!E:E, Movimientos!D:D, A456, Movimientos!C:C, "Traslado", Movimientos!G:G, "G1000")-SUMIFS(Movimientos!E:E, Movimientos!D:D, A456, Movimientos!C:C, "Traslado", Movimientos!F:F, "G1000")-SUMIFS(Movimientos!E:E, Movimientos!D:D, A456, Movimientos!C:C, "Egreso", Movimientos!F:F, "G1000")+SUMIFS(Movimientos!E:E, Movimientos!D:D, A456, Movimientos!C:C, "Ajuste", Movimientos!F:F, "G1000")),"")</f>
        <v/>
      </c>
      <c r="G456" s="6" t="str">
        <f aca="false">IFERROR(IF(A456="","",SUMIFS(Movimientos!E:E, Movimientos!D:D, A456, Movimientos!C:C, "Ingreso", Movimientos!G:G, "G710")+SUMIFS(Movimientos!E:E, Movimientos!D:D, A456, Movimientos!C:C, "Traslado", Movimientos!G:G, "G710")-SUMIFS(Movimientos!E:E, Movimientos!D:D, A456, Movimientos!C:C, "Traslado", Movimientos!F:F, "G710")-SUMIFS(Movimientos!E:E, Movimientos!D:D, A456, Movimientos!C:C, "Egreso", Movimientos!F:F, "G710")+SUMIFS(Movimientos!E:E, Movimientos!D:D, A456, Movimientos!C:C, "Ajuste", Movimientos!F:F, "G710")),"")</f>
        <v/>
      </c>
      <c r="H456" s="6" t="str">
        <f aca="false">IFERROR(IF(A456="","",SUMIFS(Movimientos!E:E, Movimientos!D:D, A456, Movimientos!C:C, "Ingreso", Movimientos!G:G, "G5000")+SUMIFS(Movimientos!E:E, Movimientos!D:D, A456, Movimientos!C:C, "Traslado", Movimientos!G:G, "G5000")-SUMIFS(Movimientos!E:E, Movimientos!D:D, A456, Movimientos!C:C, "Traslado", Movimientos!F:F, "G5000")-SUMIFS(Movimientos!E:E, Movimientos!D:D, A456, Movimientos!C:C, "Egreso", Movimientos!F:F, "G5000")+SUMIFS(Movimientos!E:E, Movimientos!D:D, A456, Movimientos!C:C, "Ajuste", Movimientos!F:F, "G5000")),"")</f>
        <v/>
      </c>
      <c r="I456" s="6" t="str">
        <f aca="false">IFERROR(IF(A456="","",SUMIFS(Movimientos!E:E, Movimientos!D:D, A456, Movimientos!C:C, "Ingreso", Movimientos!G:G, "G3")+SUMIFS(Movimientos!E:E, Movimientos!D:D, A456, Movimientos!C:C, "Traslado", Movimientos!G:G, "G3")-SUMIFS(Movimientos!E:E, Movimientos!D:D, A456, Movimientos!C:C, "Traslado", Movimientos!F:F, "G3")-SUMIFS(Movimientos!E:E, Movimientos!D:D, A456, Movimientos!C:C, "Egreso", Movimientos!F:F, "G3")+SUMIFS(Movimientos!E:E, Movimientos!D:D, A456, Movimientos!C:C, "Ajuste", Movimientos!F:F, "G3")),"")</f>
        <v/>
      </c>
      <c r="J456" s="6" t="str">
        <f aca="false">IFERROR(IF(A456="","",SUM(E456:I456)),"")</f>
        <v/>
      </c>
      <c r="K456" s="6" t="str">
        <f aca="false">IFERROR(IF(A456="","",SUMIFS(Movimientos!E:E, Movimientos!D:D, A456, Movimientos!C:C, "Reserva")-SUMIFS(Movimientos!E:E, Movimientos!D:D, A456, Movimientos!C:C, "Libera_Reserva")),"")</f>
        <v/>
      </c>
      <c r="L456" s="6" t="str">
        <f aca="false">IFERROR(IF(A456="","",J456-K456),"")</f>
        <v/>
      </c>
      <c r="M456" s="6" t="str">
        <f aca="false">IFERROR(IF(Productos!A456="","",Productos!G456),"")</f>
        <v/>
      </c>
      <c r="N456" s="6" t="str">
        <f aca="false">IFERROR(IF(A456="","",IF(L456&lt;M456,"BAJO STOCK","OK")),"")</f>
        <v/>
      </c>
    </row>
    <row r="457" customFormat="false" ht="15" hidden="false" customHeight="false" outlineLevel="0" collapsed="false">
      <c r="A457" s="0" t="str">
        <f aca="false">IFERROR(IF(Productos!A457="","",Productos!A457),"")</f>
        <v/>
      </c>
      <c r="B457" s="0" t="str">
        <f aca="false">IFERROR(IF(Productos!A457="","",Productos!B457),"")</f>
        <v/>
      </c>
      <c r="C457" s="0" t="str">
        <f aca="false">IFERROR(IF(Productos!A457="","",Productos!C457),"")</f>
        <v/>
      </c>
      <c r="D457" s="0" t="str">
        <f aca="false">IFERROR(IF(Productos!A457="","",Productos!E457),"")</f>
        <v/>
      </c>
      <c r="E457" s="6" t="str">
        <f aca="false">IFERROR(IF(A457="","",SUMIFS(Movimientos!E:E, Movimientos!D:D, A457, Movimientos!C:C, "Ingreso", Movimientos!G:G, "TIN")+SUMIFS(Movimientos!E:E, Movimientos!D:D, A457, Movimientos!C:C, "Traslado", Movimientos!G:G, "TIN")-SUMIFS(Movimientos!E:E, Movimientos!D:D, A457, Movimientos!C:C, "Traslado", Movimientos!F:F, "TIN")-SUMIFS(Movimientos!E:E, Movimientos!D:D, A457, Movimientos!C:C, "Egreso", Movimientos!F:F, "TIN")+SUMIFS(Movimientos!E:E, Movimientos!D:D, A457, Movimientos!C:C, "Ajuste", Movimientos!F:F, "TIN")),"")</f>
        <v/>
      </c>
      <c r="F457" s="6" t="str">
        <f aca="false">IFERROR(IF(A457="","",SUMIFS(Movimientos!E:E, Movimientos!D:D, A457, Movimientos!C:C, "Ingreso", Movimientos!G:G, "G1000")+SUMIFS(Movimientos!E:E, Movimientos!D:D, A457, Movimientos!C:C, "Traslado", Movimientos!G:G, "G1000")-SUMIFS(Movimientos!E:E, Movimientos!D:D, A457, Movimientos!C:C, "Traslado", Movimientos!F:F, "G1000")-SUMIFS(Movimientos!E:E, Movimientos!D:D, A457, Movimientos!C:C, "Egreso", Movimientos!F:F, "G1000")+SUMIFS(Movimientos!E:E, Movimientos!D:D, A457, Movimientos!C:C, "Ajuste", Movimientos!F:F, "G1000")),"")</f>
        <v/>
      </c>
      <c r="G457" s="6" t="str">
        <f aca="false">IFERROR(IF(A457="","",SUMIFS(Movimientos!E:E, Movimientos!D:D, A457, Movimientos!C:C, "Ingreso", Movimientos!G:G, "G710")+SUMIFS(Movimientos!E:E, Movimientos!D:D, A457, Movimientos!C:C, "Traslado", Movimientos!G:G, "G710")-SUMIFS(Movimientos!E:E, Movimientos!D:D, A457, Movimientos!C:C, "Traslado", Movimientos!F:F, "G710")-SUMIFS(Movimientos!E:E, Movimientos!D:D, A457, Movimientos!C:C, "Egreso", Movimientos!F:F, "G710")+SUMIFS(Movimientos!E:E, Movimientos!D:D, A457, Movimientos!C:C, "Ajuste", Movimientos!F:F, "G710")),"")</f>
        <v/>
      </c>
      <c r="H457" s="6" t="str">
        <f aca="false">IFERROR(IF(A457="","",SUMIFS(Movimientos!E:E, Movimientos!D:D, A457, Movimientos!C:C, "Ingreso", Movimientos!G:G, "G5000")+SUMIFS(Movimientos!E:E, Movimientos!D:D, A457, Movimientos!C:C, "Traslado", Movimientos!G:G, "G5000")-SUMIFS(Movimientos!E:E, Movimientos!D:D, A457, Movimientos!C:C, "Traslado", Movimientos!F:F, "G5000")-SUMIFS(Movimientos!E:E, Movimientos!D:D, A457, Movimientos!C:C, "Egreso", Movimientos!F:F, "G5000")+SUMIFS(Movimientos!E:E, Movimientos!D:D, A457, Movimientos!C:C, "Ajuste", Movimientos!F:F, "G5000")),"")</f>
        <v/>
      </c>
      <c r="I457" s="6" t="str">
        <f aca="false">IFERROR(IF(A457="","",SUMIFS(Movimientos!E:E, Movimientos!D:D, A457, Movimientos!C:C, "Ingreso", Movimientos!G:G, "G3")+SUMIFS(Movimientos!E:E, Movimientos!D:D, A457, Movimientos!C:C, "Traslado", Movimientos!G:G, "G3")-SUMIFS(Movimientos!E:E, Movimientos!D:D, A457, Movimientos!C:C, "Traslado", Movimientos!F:F, "G3")-SUMIFS(Movimientos!E:E, Movimientos!D:D, A457, Movimientos!C:C, "Egreso", Movimientos!F:F, "G3")+SUMIFS(Movimientos!E:E, Movimientos!D:D, A457, Movimientos!C:C, "Ajuste", Movimientos!F:F, "G3")),"")</f>
        <v/>
      </c>
      <c r="J457" s="6" t="str">
        <f aca="false">IFERROR(IF(A457="","",SUM(E457:I457)),"")</f>
        <v/>
      </c>
      <c r="K457" s="6" t="str">
        <f aca="false">IFERROR(IF(A457="","",SUMIFS(Movimientos!E:E, Movimientos!D:D, A457, Movimientos!C:C, "Reserva")-SUMIFS(Movimientos!E:E, Movimientos!D:D, A457, Movimientos!C:C, "Libera_Reserva")),"")</f>
        <v/>
      </c>
      <c r="L457" s="6" t="str">
        <f aca="false">IFERROR(IF(A457="","",J457-K457),"")</f>
        <v/>
      </c>
      <c r="M457" s="6" t="str">
        <f aca="false">IFERROR(IF(Productos!A457="","",Productos!G457),"")</f>
        <v/>
      </c>
      <c r="N457" s="6" t="str">
        <f aca="false">IFERROR(IF(A457="","",IF(L457&lt;M457,"BAJO STOCK","OK")),"")</f>
        <v/>
      </c>
    </row>
    <row r="458" customFormat="false" ht="15" hidden="false" customHeight="false" outlineLevel="0" collapsed="false">
      <c r="A458" s="0" t="str">
        <f aca="false">IFERROR(IF(Productos!A458="","",Productos!A458),"")</f>
        <v/>
      </c>
      <c r="B458" s="0" t="str">
        <f aca="false">IFERROR(IF(Productos!A458="","",Productos!B458),"")</f>
        <v/>
      </c>
      <c r="C458" s="0" t="str">
        <f aca="false">IFERROR(IF(Productos!A458="","",Productos!C458),"")</f>
        <v/>
      </c>
      <c r="D458" s="0" t="str">
        <f aca="false">IFERROR(IF(Productos!A458="","",Productos!E458),"")</f>
        <v/>
      </c>
      <c r="E458" s="6" t="str">
        <f aca="false">IFERROR(IF(A458="","",SUMIFS(Movimientos!E:E, Movimientos!D:D, A458, Movimientos!C:C, "Ingreso", Movimientos!G:G, "TIN")+SUMIFS(Movimientos!E:E, Movimientos!D:D, A458, Movimientos!C:C, "Traslado", Movimientos!G:G, "TIN")-SUMIFS(Movimientos!E:E, Movimientos!D:D, A458, Movimientos!C:C, "Traslado", Movimientos!F:F, "TIN")-SUMIFS(Movimientos!E:E, Movimientos!D:D, A458, Movimientos!C:C, "Egreso", Movimientos!F:F, "TIN")+SUMIFS(Movimientos!E:E, Movimientos!D:D, A458, Movimientos!C:C, "Ajuste", Movimientos!F:F, "TIN")),"")</f>
        <v/>
      </c>
      <c r="F458" s="6" t="str">
        <f aca="false">IFERROR(IF(A458="","",SUMIFS(Movimientos!E:E, Movimientos!D:D, A458, Movimientos!C:C, "Ingreso", Movimientos!G:G, "G1000")+SUMIFS(Movimientos!E:E, Movimientos!D:D, A458, Movimientos!C:C, "Traslado", Movimientos!G:G, "G1000")-SUMIFS(Movimientos!E:E, Movimientos!D:D, A458, Movimientos!C:C, "Traslado", Movimientos!F:F, "G1000")-SUMIFS(Movimientos!E:E, Movimientos!D:D, A458, Movimientos!C:C, "Egreso", Movimientos!F:F, "G1000")+SUMIFS(Movimientos!E:E, Movimientos!D:D, A458, Movimientos!C:C, "Ajuste", Movimientos!F:F, "G1000")),"")</f>
        <v/>
      </c>
      <c r="G458" s="6" t="str">
        <f aca="false">IFERROR(IF(A458="","",SUMIFS(Movimientos!E:E, Movimientos!D:D, A458, Movimientos!C:C, "Ingreso", Movimientos!G:G, "G710")+SUMIFS(Movimientos!E:E, Movimientos!D:D, A458, Movimientos!C:C, "Traslado", Movimientos!G:G, "G710")-SUMIFS(Movimientos!E:E, Movimientos!D:D, A458, Movimientos!C:C, "Traslado", Movimientos!F:F, "G710")-SUMIFS(Movimientos!E:E, Movimientos!D:D, A458, Movimientos!C:C, "Egreso", Movimientos!F:F, "G710")+SUMIFS(Movimientos!E:E, Movimientos!D:D, A458, Movimientos!C:C, "Ajuste", Movimientos!F:F, "G710")),"")</f>
        <v/>
      </c>
      <c r="H458" s="6" t="str">
        <f aca="false">IFERROR(IF(A458="","",SUMIFS(Movimientos!E:E, Movimientos!D:D, A458, Movimientos!C:C, "Ingreso", Movimientos!G:G, "G5000")+SUMIFS(Movimientos!E:E, Movimientos!D:D, A458, Movimientos!C:C, "Traslado", Movimientos!G:G, "G5000")-SUMIFS(Movimientos!E:E, Movimientos!D:D, A458, Movimientos!C:C, "Traslado", Movimientos!F:F, "G5000")-SUMIFS(Movimientos!E:E, Movimientos!D:D, A458, Movimientos!C:C, "Egreso", Movimientos!F:F, "G5000")+SUMIFS(Movimientos!E:E, Movimientos!D:D, A458, Movimientos!C:C, "Ajuste", Movimientos!F:F, "G5000")),"")</f>
        <v/>
      </c>
      <c r="I458" s="6" t="str">
        <f aca="false">IFERROR(IF(A458="","",SUMIFS(Movimientos!E:E, Movimientos!D:D, A458, Movimientos!C:C, "Ingreso", Movimientos!G:G, "G3")+SUMIFS(Movimientos!E:E, Movimientos!D:D, A458, Movimientos!C:C, "Traslado", Movimientos!G:G, "G3")-SUMIFS(Movimientos!E:E, Movimientos!D:D, A458, Movimientos!C:C, "Traslado", Movimientos!F:F, "G3")-SUMIFS(Movimientos!E:E, Movimientos!D:D, A458, Movimientos!C:C, "Egreso", Movimientos!F:F, "G3")+SUMIFS(Movimientos!E:E, Movimientos!D:D, A458, Movimientos!C:C, "Ajuste", Movimientos!F:F, "G3")),"")</f>
        <v/>
      </c>
      <c r="J458" s="6" t="str">
        <f aca="false">IFERROR(IF(A458="","",SUM(E458:I458)),"")</f>
        <v/>
      </c>
      <c r="K458" s="6" t="str">
        <f aca="false">IFERROR(IF(A458="","",SUMIFS(Movimientos!E:E, Movimientos!D:D, A458, Movimientos!C:C, "Reserva")-SUMIFS(Movimientos!E:E, Movimientos!D:D, A458, Movimientos!C:C, "Libera_Reserva")),"")</f>
        <v/>
      </c>
      <c r="L458" s="6" t="str">
        <f aca="false">IFERROR(IF(A458="","",J458-K458),"")</f>
        <v/>
      </c>
      <c r="M458" s="6" t="str">
        <f aca="false">IFERROR(IF(Productos!A458="","",Productos!G458),"")</f>
        <v/>
      </c>
      <c r="N458" s="6" t="str">
        <f aca="false">IFERROR(IF(A458="","",IF(L458&lt;M458,"BAJO STOCK","OK")),"")</f>
        <v/>
      </c>
    </row>
    <row r="459" customFormat="false" ht="15" hidden="false" customHeight="false" outlineLevel="0" collapsed="false">
      <c r="A459" s="0" t="str">
        <f aca="false">IFERROR(IF(Productos!A459="","",Productos!A459),"")</f>
        <v/>
      </c>
      <c r="B459" s="0" t="str">
        <f aca="false">IFERROR(IF(Productos!A459="","",Productos!B459),"")</f>
        <v/>
      </c>
      <c r="C459" s="0" t="str">
        <f aca="false">IFERROR(IF(Productos!A459="","",Productos!C459),"")</f>
        <v/>
      </c>
      <c r="D459" s="0" t="str">
        <f aca="false">IFERROR(IF(Productos!A459="","",Productos!E459),"")</f>
        <v/>
      </c>
      <c r="E459" s="6" t="str">
        <f aca="false">IFERROR(IF(A459="","",SUMIFS(Movimientos!E:E, Movimientos!D:D, A459, Movimientos!C:C, "Ingreso", Movimientos!G:G, "TIN")+SUMIFS(Movimientos!E:E, Movimientos!D:D, A459, Movimientos!C:C, "Traslado", Movimientos!G:G, "TIN")-SUMIFS(Movimientos!E:E, Movimientos!D:D, A459, Movimientos!C:C, "Traslado", Movimientos!F:F, "TIN")-SUMIFS(Movimientos!E:E, Movimientos!D:D, A459, Movimientos!C:C, "Egreso", Movimientos!F:F, "TIN")+SUMIFS(Movimientos!E:E, Movimientos!D:D, A459, Movimientos!C:C, "Ajuste", Movimientos!F:F, "TIN")),"")</f>
        <v/>
      </c>
      <c r="F459" s="6" t="str">
        <f aca="false">IFERROR(IF(A459="","",SUMIFS(Movimientos!E:E, Movimientos!D:D, A459, Movimientos!C:C, "Ingreso", Movimientos!G:G, "G1000")+SUMIFS(Movimientos!E:E, Movimientos!D:D, A459, Movimientos!C:C, "Traslado", Movimientos!G:G, "G1000")-SUMIFS(Movimientos!E:E, Movimientos!D:D, A459, Movimientos!C:C, "Traslado", Movimientos!F:F, "G1000")-SUMIFS(Movimientos!E:E, Movimientos!D:D, A459, Movimientos!C:C, "Egreso", Movimientos!F:F, "G1000")+SUMIFS(Movimientos!E:E, Movimientos!D:D, A459, Movimientos!C:C, "Ajuste", Movimientos!F:F, "G1000")),"")</f>
        <v/>
      </c>
      <c r="G459" s="6" t="str">
        <f aca="false">IFERROR(IF(A459="","",SUMIFS(Movimientos!E:E, Movimientos!D:D, A459, Movimientos!C:C, "Ingreso", Movimientos!G:G, "G710")+SUMIFS(Movimientos!E:E, Movimientos!D:D, A459, Movimientos!C:C, "Traslado", Movimientos!G:G, "G710")-SUMIFS(Movimientos!E:E, Movimientos!D:D, A459, Movimientos!C:C, "Traslado", Movimientos!F:F, "G710")-SUMIFS(Movimientos!E:E, Movimientos!D:D, A459, Movimientos!C:C, "Egreso", Movimientos!F:F, "G710")+SUMIFS(Movimientos!E:E, Movimientos!D:D, A459, Movimientos!C:C, "Ajuste", Movimientos!F:F, "G710")),"")</f>
        <v/>
      </c>
      <c r="H459" s="6" t="str">
        <f aca="false">IFERROR(IF(A459="","",SUMIFS(Movimientos!E:E, Movimientos!D:D, A459, Movimientos!C:C, "Ingreso", Movimientos!G:G, "G5000")+SUMIFS(Movimientos!E:E, Movimientos!D:D, A459, Movimientos!C:C, "Traslado", Movimientos!G:G, "G5000")-SUMIFS(Movimientos!E:E, Movimientos!D:D, A459, Movimientos!C:C, "Traslado", Movimientos!F:F, "G5000")-SUMIFS(Movimientos!E:E, Movimientos!D:D, A459, Movimientos!C:C, "Egreso", Movimientos!F:F, "G5000")+SUMIFS(Movimientos!E:E, Movimientos!D:D, A459, Movimientos!C:C, "Ajuste", Movimientos!F:F, "G5000")),"")</f>
        <v/>
      </c>
      <c r="I459" s="6" t="str">
        <f aca="false">IFERROR(IF(A459="","",SUMIFS(Movimientos!E:E, Movimientos!D:D, A459, Movimientos!C:C, "Ingreso", Movimientos!G:G, "G3")+SUMIFS(Movimientos!E:E, Movimientos!D:D, A459, Movimientos!C:C, "Traslado", Movimientos!G:G, "G3")-SUMIFS(Movimientos!E:E, Movimientos!D:D, A459, Movimientos!C:C, "Traslado", Movimientos!F:F, "G3")-SUMIFS(Movimientos!E:E, Movimientos!D:D, A459, Movimientos!C:C, "Egreso", Movimientos!F:F, "G3")+SUMIFS(Movimientos!E:E, Movimientos!D:D, A459, Movimientos!C:C, "Ajuste", Movimientos!F:F, "G3")),"")</f>
        <v/>
      </c>
      <c r="J459" s="6" t="str">
        <f aca="false">IFERROR(IF(A459="","",SUM(E459:I459)),"")</f>
        <v/>
      </c>
      <c r="K459" s="6" t="str">
        <f aca="false">IFERROR(IF(A459="","",SUMIFS(Movimientos!E:E, Movimientos!D:D, A459, Movimientos!C:C, "Reserva")-SUMIFS(Movimientos!E:E, Movimientos!D:D, A459, Movimientos!C:C, "Libera_Reserva")),"")</f>
        <v/>
      </c>
      <c r="L459" s="6" t="str">
        <f aca="false">IFERROR(IF(A459="","",J459-K459),"")</f>
        <v/>
      </c>
      <c r="M459" s="6" t="str">
        <f aca="false">IFERROR(IF(Productos!A459="","",Productos!G459),"")</f>
        <v/>
      </c>
      <c r="N459" s="6" t="str">
        <f aca="false">IFERROR(IF(A459="","",IF(L459&lt;M459,"BAJO STOCK","OK")),"")</f>
        <v/>
      </c>
    </row>
    <row r="460" customFormat="false" ht="15" hidden="false" customHeight="false" outlineLevel="0" collapsed="false">
      <c r="A460" s="0" t="str">
        <f aca="false">IFERROR(IF(Productos!A460="","",Productos!A460),"")</f>
        <v/>
      </c>
      <c r="B460" s="0" t="str">
        <f aca="false">IFERROR(IF(Productos!A460="","",Productos!B460),"")</f>
        <v/>
      </c>
      <c r="C460" s="0" t="str">
        <f aca="false">IFERROR(IF(Productos!A460="","",Productos!C460),"")</f>
        <v/>
      </c>
      <c r="D460" s="0" t="str">
        <f aca="false">IFERROR(IF(Productos!A460="","",Productos!E460),"")</f>
        <v/>
      </c>
      <c r="E460" s="6" t="str">
        <f aca="false">IFERROR(IF(A460="","",SUMIFS(Movimientos!E:E, Movimientos!D:D, A460, Movimientos!C:C, "Ingreso", Movimientos!G:G, "TIN")+SUMIFS(Movimientos!E:E, Movimientos!D:D, A460, Movimientos!C:C, "Traslado", Movimientos!G:G, "TIN")-SUMIFS(Movimientos!E:E, Movimientos!D:D, A460, Movimientos!C:C, "Traslado", Movimientos!F:F, "TIN")-SUMIFS(Movimientos!E:E, Movimientos!D:D, A460, Movimientos!C:C, "Egreso", Movimientos!F:F, "TIN")+SUMIFS(Movimientos!E:E, Movimientos!D:D, A460, Movimientos!C:C, "Ajuste", Movimientos!F:F, "TIN")),"")</f>
        <v/>
      </c>
      <c r="F460" s="6" t="str">
        <f aca="false">IFERROR(IF(A460="","",SUMIFS(Movimientos!E:E, Movimientos!D:D, A460, Movimientos!C:C, "Ingreso", Movimientos!G:G, "G1000")+SUMIFS(Movimientos!E:E, Movimientos!D:D, A460, Movimientos!C:C, "Traslado", Movimientos!G:G, "G1000")-SUMIFS(Movimientos!E:E, Movimientos!D:D, A460, Movimientos!C:C, "Traslado", Movimientos!F:F, "G1000")-SUMIFS(Movimientos!E:E, Movimientos!D:D, A460, Movimientos!C:C, "Egreso", Movimientos!F:F, "G1000")+SUMIFS(Movimientos!E:E, Movimientos!D:D, A460, Movimientos!C:C, "Ajuste", Movimientos!F:F, "G1000")),"")</f>
        <v/>
      </c>
      <c r="G460" s="6" t="str">
        <f aca="false">IFERROR(IF(A460="","",SUMIFS(Movimientos!E:E, Movimientos!D:D, A460, Movimientos!C:C, "Ingreso", Movimientos!G:G, "G710")+SUMIFS(Movimientos!E:E, Movimientos!D:D, A460, Movimientos!C:C, "Traslado", Movimientos!G:G, "G710")-SUMIFS(Movimientos!E:E, Movimientos!D:D, A460, Movimientos!C:C, "Traslado", Movimientos!F:F, "G710")-SUMIFS(Movimientos!E:E, Movimientos!D:D, A460, Movimientos!C:C, "Egreso", Movimientos!F:F, "G710")+SUMIFS(Movimientos!E:E, Movimientos!D:D, A460, Movimientos!C:C, "Ajuste", Movimientos!F:F, "G710")),"")</f>
        <v/>
      </c>
      <c r="H460" s="6" t="str">
        <f aca="false">IFERROR(IF(A460="","",SUMIFS(Movimientos!E:E, Movimientos!D:D, A460, Movimientos!C:C, "Ingreso", Movimientos!G:G, "G5000")+SUMIFS(Movimientos!E:E, Movimientos!D:D, A460, Movimientos!C:C, "Traslado", Movimientos!G:G, "G5000")-SUMIFS(Movimientos!E:E, Movimientos!D:D, A460, Movimientos!C:C, "Traslado", Movimientos!F:F, "G5000")-SUMIFS(Movimientos!E:E, Movimientos!D:D, A460, Movimientos!C:C, "Egreso", Movimientos!F:F, "G5000")+SUMIFS(Movimientos!E:E, Movimientos!D:D, A460, Movimientos!C:C, "Ajuste", Movimientos!F:F, "G5000")),"")</f>
        <v/>
      </c>
      <c r="I460" s="6" t="str">
        <f aca="false">IFERROR(IF(A460="","",SUMIFS(Movimientos!E:E, Movimientos!D:D, A460, Movimientos!C:C, "Ingreso", Movimientos!G:G, "G3")+SUMIFS(Movimientos!E:E, Movimientos!D:D, A460, Movimientos!C:C, "Traslado", Movimientos!G:G, "G3")-SUMIFS(Movimientos!E:E, Movimientos!D:D, A460, Movimientos!C:C, "Traslado", Movimientos!F:F, "G3")-SUMIFS(Movimientos!E:E, Movimientos!D:D, A460, Movimientos!C:C, "Egreso", Movimientos!F:F, "G3")+SUMIFS(Movimientos!E:E, Movimientos!D:D, A460, Movimientos!C:C, "Ajuste", Movimientos!F:F, "G3")),"")</f>
        <v/>
      </c>
      <c r="J460" s="6" t="str">
        <f aca="false">IFERROR(IF(A460="","",SUM(E460:I460)),"")</f>
        <v/>
      </c>
      <c r="K460" s="6" t="str">
        <f aca="false">IFERROR(IF(A460="","",SUMIFS(Movimientos!E:E, Movimientos!D:D, A460, Movimientos!C:C, "Reserva")-SUMIFS(Movimientos!E:E, Movimientos!D:D, A460, Movimientos!C:C, "Libera_Reserva")),"")</f>
        <v/>
      </c>
      <c r="L460" s="6" t="str">
        <f aca="false">IFERROR(IF(A460="","",J460-K460),"")</f>
        <v/>
      </c>
      <c r="M460" s="6" t="str">
        <f aca="false">IFERROR(IF(Productos!A460="","",Productos!G460),"")</f>
        <v/>
      </c>
      <c r="N460" s="6" t="str">
        <f aca="false">IFERROR(IF(A460="","",IF(L460&lt;M460,"BAJO STOCK","OK")),"")</f>
        <v/>
      </c>
    </row>
    <row r="461" customFormat="false" ht="15" hidden="false" customHeight="false" outlineLevel="0" collapsed="false">
      <c r="A461" s="0" t="str">
        <f aca="false">IFERROR(IF(Productos!A461="","",Productos!A461),"")</f>
        <v/>
      </c>
      <c r="B461" s="0" t="str">
        <f aca="false">IFERROR(IF(Productos!A461="","",Productos!B461),"")</f>
        <v/>
      </c>
      <c r="C461" s="0" t="str">
        <f aca="false">IFERROR(IF(Productos!A461="","",Productos!C461),"")</f>
        <v/>
      </c>
      <c r="D461" s="0" t="str">
        <f aca="false">IFERROR(IF(Productos!A461="","",Productos!E461),"")</f>
        <v/>
      </c>
      <c r="E461" s="6" t="str">
        <f aca="false">IFERROR(IF(A461="","",SUMIFS(Movimientos!E:E, Movimientos!D:D, A461, Movimientos!C:C, "Ingreso", Movimientos!G:G, "TIN")+SUMIFS(Movimientos!E:E, Movimientos!D:D, A461, Movimientos!C:C, "Traslado", Movimientos!G:G, "TIN")-SUMIFS(Movimientos!E:E, Movimientos!D:D, A461, Movimientos!C:C, "Traslado", Movimientos!F:F, "TIN")-SUMIFS(Movimientos!E:E, Movimientos!D:D, A461, Movimientos!C:C, "Egreso", Movimientos!F:F, "TIN")+SUMIFS(Movimientos!E:E, Movimientos!D:D, A461, Movimientos!C:C, "Ajuste", Movimientos!F:F, "TIN")),"")</f>
        <v/>
      </c>
      <c r="F461" s="6" t="str">
        <f aca="false">IFERROR(IF(A461="","",SUMIFS(Movimientos!E:E, Movimientos!D:D, A461, Movimientos!C:C, "Ingreso", Movimientos!G:G, "G1000")+SUMIFS(Movimientos!E:E, Movimientos!D:D, A461, Movimientos!C:C, "Traslado", Movimientos!G:G, "G1000")-SUMIFS(Movimientos!E:E, Movimientos!D:D, A461, Movimientos!C:C, "Traslado", Movimientos!F:F, "G1000")-SUMIFS(Movimientos!E:E, Movimientos!D:D, A461, Movimientos!C:C, "Egreso", Movimientos!F:F, "G1000")+SUMIFS(Movimientos!E:E, Movimientos!D:D, A461, Movimientos!C:C, "Ajuste", Movimientos!F:F, "G1000")),"")</f>
        <v/>
      </c>
      <c r="G461" s="6" t="str">
        <f aca="false">IFERROR(IF(A461="","",SUMIFS(Movimientos!E:E, Movimientos!D:D, A461, Movimientos!C:C, "Ingreso", Movimientos!G:G, "G710")+SUMIFS(Movimientos!E:E, Movimientos!D:D, A461, Movimientos!C:C, "Traslado", Movimientos!G:G, "G710")-SUMIFS(Movimientos!E:E, Movimientos!D:D, A461, Movimientos!C:C, "Traslado", Movimientos!F:F, "G710")-SUMIFS(Movimientos!E:E, Movimientos!D:D, A461, Movimientos!C:C, "Egreso", Movimientos!F:F, "G710")+SUMIFS(Movimientos!E:E, Movimientos!D:D, A461, Movimientos!C:C, "Ajuste", Movimientos!F:F, "G710")),"")</f>
        <v/>
      </c>
      <c r="H461" s="6" t="str">
        <f aca="false">IFERROR(IF(A461="","",SUMIFS(Movimientos!E:E, Movimientos!D:D, A461, Movimientos!C:C, "Ingreso", Movimientos!G:G, "G5000")+SUMIFS(Movimientos!E:E, Movimientos!D:D, A461, Movimientos!C:C, "Traslado", Movimientos!G:G, "G5000")-SUMIFS(Movimientos!E:E, Movimientos!D:D, A461, Movimientos!C:C, "Traslado", Movimientos!F:F, "G5000")-SUMIFS(Movimientos!E:E, Movimientos!D:D, A461, Movimientos!C:C, "Egreso", Movimientos!F:F, "G5000")+SUMIFS(Movimientos!E:E, Movimientos!D:D, A461, Movimientos!C:C, "Ajuste", Movimientos!F:F, "G5000")),"")</f>
        <v/>
      </c>
      <c r="I461" s="6" t="str">
        <f aca="false">IFERROR(IF(A461="","",SUMIFS(Movimientos!E:E, Movimientos!D:D, A461, Movimientos!C:C, "Ingreso", Movimientos!G:G, "G3")+SUMIFS(Movimientos!E:E, Movimientos!D:D, A461, Movimientos!C:C, "Traslado", Movimientos!G:G, "G3")-SUMIFS(Movimientos!E:E, Movimientos!D:D, A461, Movimientos!C:C, "Traslado", Movimientos!F:F, "G3")-SUMIFS(Movimientos!E:E, Movimientos!D:D, A461, Movimientos!C:C, "Egreso", Movimientos!F:F, "G3")+SUMIFS(Movimientos!E:E, Movimientos!D:D, A461, Movimientos!C:C, "Ajuste", Movimientos!F:F, "G3")),"")</f>
        <v/>
      </c>
      <c r="J461" s="6" t="str">
        <f aca="false">IFERROR(IF(A461="","",SUM(E461:I461)),"")</f>
        <v/>
      </c>
      <c r="K461" s="6" t="str">
        <f aca="false">IFERROR(IF(A461="","",SUMIFS(Movimientos!E:E, Movimientos!D:D, A461, Movimientos!C:C, "Reserva")-SUMIFS(Movimientos!E:E, Movimientos!D:D, A461, Movimientos!C:C, "Libera_Reserva")),"")</f>
        <v/>
      </c>
      <c r="L461" s="6" t="str">
        <f aca="false">IFERROR(IF(A461="","",J461-K461),"")</f>
        <v/>
      </c>
      <c r="M461" s="6" t="str">
        <f aca="false">IFERROR(IF(Productos!A461="","",Productos!G461),"")</f>
        <v/>
      </c>
      <c r="N461" s="6" t="str">
        <f aca="false">IFERROR(IF(A461="","",IF(L461&lt;M461,"BAJO STOCK","OK")),"")</f>
        <v/>
      </c>
    </row>
    <row r="462" customFormat="false" ht="15" hidden="false" customHeight="false" outlineLevel="0" collapsed="false">
      <c r="A462" s="0" t="str">
        <f aca="false">IFERROR(IF(Productos!A462="","",Productos!A462),"")</f>
        <v/>
      </c>
      <c r="B462" s="0" t="str">
        <f aca="false">IFERROR(IF(Productos!A462="","",Productos!B462),"")</f>
        <v/>
      </c>
      <c r="C462" s="0" t="str">
        <f aca="false">IFERROR(IF(Productos!A462="","",Productos!C462),"")</f>
        <v/>
      </c>
      <c r="D462" s="0" t="str">
        <f aca="false">IFERROR(IF(Productos!A462="","",Productos!E462),"")</f>
        <v/>
      </c>
      <c r="E462" s="6" t="str">
        <f aca="false">IFERROR(IF(A462="","",SUMIFS(Movimientos!E:E, Movimientos!D:D, A462, Movimientos!C:C, "Ingreso", Movimientos!G:G, "TIN")+SUMIFS(Movimientos!E:E, Movimientos!D:D, A462, Movimientos!C:C, "Traslado", Movimientos!G:G, "TIN")-SUMIFS(Movimientos!E:E, Movimientos!D:D, A462, Movimientos!C:C, "Traslado", Movimientos!F:F, "TIN")-SUMIFS(Movimientos!E:E, Movimientos!D:D, A462, Movimientos!C:C, "Egreso", Movimientos!F:F, "TIN")+SUMIFS(Movimientos!E:E, Movimientos!D:D, A462, Movimientos!C:C, "Ajuste", Movimientos!F:F, "TIN")),"")</f>
        <v/>
      </c>
      <c r="F462" s="6" t="str">
        <f aca="false">IFERROR(IF(A462="","",SUMIFS(Movimientos!E:E, Movimientos!D:D, A462, Movimientos!C:C, "Ingreso", Movimientos!G:G, "G1000")+SUMIFS(Movimientos!E:E, Movimientos!D:D, A462, Movimientos!C:C, "Traslado", Movimientos!G:G, "G1000")-SUMIFS(Movimientos!E:E, Movimientos!D:D, A462, Movimientos!C:C, "Traslado", Movimientos!F:F, "G1000")-SUMIFS(Movimientos!E:E, Movimientos!D:D, A462, Movimientos!C:C, "Egreso", Movimientos!F:F, "G1000")+SUMIFS(Movimientos!E:E, Movimientos!D:D, A462, Movimientos!C:C, "Ajuste", Movimientos!F:F, "G1000")),"")</f>
        <v/>
      </c>
      <c r="G462" s="6" t="str">
        <f aca="false">IFERROR(IF(A462="","",SUMIFS(Movimientos!E:E, Movimientos!D:D, A462, Movimientos!C:C, "Ingreso", Movimientos!G:G, "G710")+SUMIFS(Movimientos!E:E, Movimientos!D:D, A462, Movimientos!C:C, "Traslado", Movimientos!G:G, "G710")-SUMIFS(Movimientos!E:E, Movimientos!D:D, A462, Movimientos!C:C, "Traslado", Movimientos!F:F, "G710")-SUMIFS(Movimientos!E:E, Movimientos!D:D, A462, Movimientos!C:C, "Egreso", Movimientos!F:F, "G710")+SUMIFS(Movimientos!E:E, Movimientos!D:D, A462, Movimientos!C:C, "Ajuste", Movimientos!F:F, "G710")),"")</f>
        <v/>
      </c>
      <c r="H462" s="6" t="str">
        <f aca="false">IFERROR(IF(A462="","",SUMIFS(Movimientos!E:E, Movimientos!D:D, A462, Movimientos!C:C, "Ingreso", Movimientos!G:G, "G5000")+SUMIFS(Movimientos!E:E, Movimientos!D:D, A462, Movimientos!C:C, "Traslado", Movimientos!G:G, "G5000")-SUMIFS(Movimientos!E:E, Movimientos!D:D, A462, Movimientos!C:C, "Traslado", Movimientos!F:F, "G5000")-SUMIFS(Movimientos!E:E, Movimientos!D:D, A462, Movimientos!C:C, "Egreso", Movimientos!F:F, "G5000")+SUMIFS(Movimientos!E:E, Movimientos!D:D, A462, Movimientos!C:C, "Ajuste", Movimientos!F:F, "G5000")),"")</f>
        <v/>
      </c>
      <c r="I462" s="6" t="str">
        <f aca="false">IFERROR(IF(A462="","",SUMIFS(Movimientos!E:E, Movimientos!D:D, A462, Movimientos!C:C, "Ingreso", Movimientos!G:G, "G3")+SUMIFS(Movimientos!E:E, Movimientos!D:D, A462, Movimientos!C:C, "Traslado", Movimientos!G:G, "G3")-SUMIFS(Movimientos!E:E, Movimientos!D:D, A462, Movimientos!C:C, "Traslado", Movimientos!F:F, "G3")-SUMIFS(Movimientos!E:E, Movimientos!D:D, A462, Movimientos!C:C, "Egreso", Movimientos!F:F, "G3")+SUMIFS(Movimientos!E:E, Movimientos!D:D, A462, Movimientos!C:C, "Ajuste", Movimientos!F:F, "G3")),"")</f>
        <v/>
      </c>
      <c r="J462" s="6" t="str">
        <f aca="false">IFERROR(IF(A462="","",SUM(E462:I462)),"")</f>
        <v/>
      </c>
      <c r="K462" s="6" t="str">
        <f aca="false">IFERROR(IF(A462="","",SUMIFS(Movimientos!E:E, Movimientos!D:D, A462, Movimientos!C:C, "Reserva")-SUMIFS(Movimientos!E:E, Movimientos!D:D, A462, Movimientos!C:C, "Libera_Reserva")),"")</f>
        <v/>
      </c>
      <c r="L462" s="6" t="str">
        <f aca="false">IFERROR(IF(A462="","",J462-K462),"")</f>
        <v/>
      </c>
      <c r="M462" s="6" t="str">
        <f aca="false">IFERROR(IF(Productos!A462="","",Productos!G462),"")</f>
        <v/>
      </c>
      <c r="N462" s="6" t="str">
        <f aca="false">IFERROR(IF(A462="","",IF(L462&lt;M462,"BAJO STOCK","OK")),"")</f>
        <v/>
      </c>
    </row>
    <row r="463" customFormat="false" ht="15" hidden="false" customHeight="false" outlineLevel="0" collapsed="false">
      <c r="A463" s="0" t="str">
        <f aca="false">IFERROR(IF(Productos!A463="","",Productos!A463),"")</f>
        <v/>
      </c>
      <c r="B463" s="0" t="str">
        <f aca="false">IFERROR(IF(Productos!A463="","",Productos!B463),"")</f>
        <v/>
      </c>
      <c r="C463" s="0" t="str">
        <f aca="false">IFERROR(IF(Productos!A463="","",Productos!C463),"")</f>
        <v/>
      </c>
      <c r="D463" s="0" t="str">
        <f aca="false">IFERROR(IF(Productos!A463="","",Productos!E463),"")</f>
        <v/>
      </c>
      <c r="E463" s="6" t="str">
        <f aca="false">IFERROR(IF(A463="","",SUMIFS(Movimientos!E:E, Movimientos!D:D, A463, Movimientos!C:C, "Ingreso", Movimientos!G:G, "TIN")+SUMIFS(Movimientos!E:E, Movimientos!D:D, A463, Movimientos!C:C, "Traslado", Movimientos!G:G, "TIN")-SUMIFS(Movimientos!E:E, Movimientos!D:D, A463, Movimientos!C:C, "Traslado", Movimientos!F:F, "TIN")-SUMIFS(Movimientos!E:E, Movimientos!D:D, A463, Movimientos!C:C, "Egreso", Movimientos!F:F, "TIN")+SUMIFS(Movimientos!E:E, Movimientos!D:D, A463, Movimientos!C:C, "Ajuste", Movimientos!F:F, "TIN")),"")</f>
        <v/>
      </c>
      <c r="F463" s="6" t="str">
        <f aca="false">IFERROR(IF(A463="","",SUMIFS(Movimientos!E:E, Movimientos!D:D, A463, Movimientos!C:C, "Ingreso", Movimientos!G:G, "G1000")+SUMIFS(Movimientos!E:E, Movimientos!D:D, A463, Movimientos!C:C, "Traslado", Movimientos!G:G, "G1000")-SUMIFS(Movimientos!E:E, Movimientos!D:D, A463, Movimientos!C:C, "Traslado", Movimientos!F:F, "G1000")-SUMIFS(Movimientos!E:E, Movimientos!D:D, A463, Movimientos!C:C, "Egreso", Movimientos!F:F, "G1000")+SUMIFS(Movimientos!E:E, Movimientos!D:D, A463, Movimientos!C:C, "Ajuste", Movimientos!F:F, "G1000")),"")</f>
        <v/>
      </c>
      <c r="G463" s="6" t="str">
        <f aca="false">IFERROR(IF(A463="","",SUMIFS(Movimientos!E:E, Movimientos!D:D, A463, Movimientos!C:C, "Ingreso", Movimientos!G:G, "G710")+SUMIFS(Movimientos!E:E, Movimientos!D:D, A463, Movimientos!C:C, "Traslado", Movimientos!G:G, "G710")-SUMIFS(Movimientos!E:E, Movimientos!D:D, A463, Movimientos!C:C, "Traslado", Movimientos!F:F, "G710")-SUMIFS(Movimientos!E:E, Movimientos!D:D, A463, Movimientos!C:C, "Egreso", Movimientos!F:F, "G710")+SUMIFS(Movimientos!E:E, Movimientos!D:D, A463, Movimientos!C:C, "Ajuste", Movimientos!F:F, "G710")),"")</f>
        <v/>
      </c>
      <c r="H463" s="6" t="str">
        <f aca="false">IFERROR(IF(A463="","",SUMIFS(Movimientos!E:E, Movimientos!D:D, A463, Movimientos!C:C, "Ingreso", Movimientos!G:G, "G5000")+SUMIFS(Movimientos!E:E, Movimientos!D:D, A463, Movimientos!C:C, "Traslado", Movimientos!G:G, "G5000")-SUMIFS(Movimientos!E:E, Movimientos!D:D, A463, Movimientos!C:C, "Traslado", Movimientos!F:F, "G5000")-SUMIFS(Movimientos!E:E, Movimientos!D:D, A463, Movimientos!C:C, "Egreso", Movimientos!F:F, "G5000")+SUMIFS(Movimientos!E:E, Movimientos!D:D, A463, Movimientos!C:C, "Ajuste", Movimientos!F:F, "G5000")),"")</f>
        <v/>
      </c>
      <c r="I463" s="6" t="str">
        <f aca="false">IFERROR(IF(A463="","",SUMIFS(Movimientos!E:E, Movimientos!D:D, A463, Movimientos!C:C, "Ingreso", Movimientos!G:G, "G3")+SUMIFS(Movimientos!E:E, Movimientos!D:D, A463, Movimientos!C:C, "Traslado", Movimientos!G:G, "G3")-SUMIFS(Movimientos!E:E, Movimientos!D:D, A463, Movimientos!C:C, "Traslado", Movimientos!F:F, "G3")-SUMIFS(Movimientos!E:E, Movimientos!D:D, A463, Movimientos!C:C, "Egreso", Movimientos!F:F, "G3")+SUMIFS(Movimientos!E:E, Movimientos!D:D, A463, Movimientos!C:C, "Ajuste", Movimientos!F:F, "G3")),"")</f>
        <v/>
      </c>
      <c r="J463" s="6" t="str">
        <f aca="false">IFERROR(IF(A463="","",SUM(E463:I463)),"")</f>
        <v/>
      </c>
      <c r="K463" s="6" t="str">
        <f aca="false">IFERROR(IF(A463="","",SUMIFS(Movimientos!E:E, Movimientos!D:D, A463, Movimientos!C:C, "Reserva")-SUMIFS(Movimientos!E:E, Movimientos!D:D, A463, Movimientos!C:C, "Libera_Reserva")),"")</f>
        <v/>
      </c>
      <c r="L463" s="6" t="str">
        <f aca="false">IFERROR(IF(A463="","",J463-K463),"")</f>
        <v/>
      </c>
      <c r="M463" s="6" t="str">
        <f aca="false">IFERROR(IF(Productos!A463="","",Productos!G463),"")</f>
        <v/>
      </c>
      <c r="N463" s="6" t="str">
        <f aca="false">IFERROR(IF(A463="","",IF(L463&lt;M463,"BAJO STOCK","OK")),"")</f>
        <v/>
      </c>
    </row>
    <row r="464" customFormat="false" ht="15" hidden="false" customHeight="false" outlineLevel="0" collapsed="false">
      <c r="A464" s="0" t="str">
        <f aca="false">IFERROR(IF(Productos!A464="","",Productos!A464),"")</f>
        <v/>
      </c>
      <c r="B464" s="0" t="str">
        <f aca="false">IFERROR(IF(Productos!A464="","",Productos!B464),"")</f>
        <v/>
      </c>
      <c r="C464" s="0" t="str">
        <f aca="false">IFERROR(IF(Productos!A464="","",Productos!C464),"")</f>
        <v/>
      </c>
      <c r="D464" s="0" t="str">
        <f aca="false">IFERROR(IF(Productos!A464="","",Productos!E464),"")</f>
        <v/>
      </c>
      <c r="E464" s="6" t="str">
        <f aca="false">IFERROR(IF(A464="","",SUMIFS(Movimientos!E:E, Movimientos!D:D, A464, Movimientos!C:C, "Ingreso", Movimientos!G:G, "TIN")+SUMIFS(Movimientos!E:E, Movimientos!D:D, A464, Movimientos!C:C, "Traslado", Movimientos!G:G, "TIN")-SUMIFS(Movimientos!E:E, Movimientos!D:D, A464, Movimientos!C:C, "Traslado", Movimientos!F:F, "TIN")-SUMIFS(Movimientos!E:E, Movimientos!D:D, A464, Movimientos!C:C, "Egreso", Movimientos!F:F, "TIN")+SUMIFS(Movimientos!E:E, Movimientos!D:D, A464, Movimientos!C:C, "Ajuste", Movimientos!F:F, "TIN")),"")</f>
        <v/>
      </c>
      <c r="F464" s="6" t="str">
        <f aca="false">IFERROR(IF(A464="","",SUMIFS(Movimientos!E:E, Movimientos!D:D, A464, Movimientos!C:C, "Ingreso", Movimientos!G:G, "G1000")+SUMIFS(Movimientos!E:E, Movimientos!D:D, A464, Movimientos!C:C, "Traslado", Movimientos!G:G, "G1000")-SUMIFS(Movimientos!E:E, Movimientos!D:D, A464, Movimientos!C:C, "Traslado", Movimientos!F:F, "G1000")-SUMIFS(Movimientos!E:E, Movimientos!D:D, A464, Movimientos!C:C, "Egreso", Movimientos!F:F, "G1000")+SUMIFS(Movimientos!E:E, Movimientos!D:D, A464, Movimientos!C:C, "Ajuste", Movimientos!F:F, "G1000")),"")</f>
        <v/>
      </c>
      <c r="G464" s="6" t="str">
        <f aca="false">IFERROR(IF(A464="","",SUMIFS(Movimientos!E:E, Movimientos!D:D, A464, Movimientos!C:C, "Ingreso", Movimientos!G:G, "G710")+SUMIFS(Movimientos!E:E, Movimientos!D:D, A464, Movimientos!C:C, "Traslado", Movimientos!G:G, "G710")-SUMIFS(Movimientos!E:E, Movimientos!D:D, A464, Movimientos!C:C, "Traslado", Movimientos!F:F, "G710")-SUMIFS(Movimientos!E:E, Movimientos!D:D, A464, Movimientos!C:C, "Egreso", Movimientos!F:F, "G710")+SUMIFS(Movimientos!E:E, Movimientos!D:D, A464, Movimientos!C:C, "Ajuste", Movimientos!F:F, "G710")),"")</f>
        <v/>
      </c>
      <c r="H464" s="6" t="str">
        <f aca="false">IFERROR(IF(A464="","",SUMIFS(Movimientos!E:E, Movimientos!D:D, A464, Movimientos!C:C, "Ingreso", Movimientos!G:G, "G5000")+SUMIFS(Movimientos!E:E, Movimientos!D:D, A464, Movimientos!C:C, "Traslado", Movimientos!G:G, "G5000")-SUMIFS(Movimientos!E:E, Movimientos!D:D, A464, Movimientos!C:C, "Traslado", Movimientos!F:F, "G5000")-SUMIFS(Movimientos!E:E, Movimientos!D:D, A464, Movimientos!C:C, "Egreso", Movimientos!F:F, "G5000")+SUMIFS(Movimientos!E:E, Movimientos!D:D, A464, Movimientos!C:C, "Ajuste", Movimientos!F:F, "G5000")),"")</f>
        <v/>
      </c>
      <c r="I464" s="6" t="str">
        <f aca="false">IFERROR(IF(A464="","",SUMIFS(Movimientos!E:E, Movimientos!D:D, A464, Movimientos!C:C, "Ingreso", Movimientos!G:G, "G3")+SUMIFS(Movimientos!E:E, Movimientos!D:D, A464, Movimientos!C:C, "Traslado", Movimientos!G:G, "G3")-SUMIFS(Movimientos!E:E, Movimientos!D:D, A464, Movimientos!C:C, "Traslado", Movimientos!F:F, "G3")-SUMIFS(Movimientos!E:E, Movimientos!D:D, A464, Movimientos!C:C, "Egreso", Movimientos!F:F, "G3")+SUMIFS(Movimientos!E:E, Movimientos!D:D, A464, Movimientos!C:C, "Ajuste", Movimientos!F:F, "G3")),"")</f>
        <v/>
      </c>
      <c r="J464" s="6" t="str">
        <f aca="false">IFERROR(IF(A464="","",SUM(E464:I464)),"")</f>
        <v/>
      </c>
      <c r="K464" s="6" t="str">
        <f aca="false">IFERROR(IF(A464="","",SUMIFS(Movimientos!E:E, Movimientos!D:D, A464, Movimientos!C:C, "Reserva")-SUMIFS(Movimientos!E:E, Movimientos!D:D, A464, Movimientos!C:C, "Libera_Reserva")),"")</f>
        <v/>
      </c>
      <c r="L464" s="6" t="str">
        <f aca="false">IFERROR(IF(A464="","",J464-K464),"")</f>
        <v/>
      </c>
      <c r="M464" s="6" t="str">
        <f aca="false">IFERROR(IF(Productos!A464="","",Productos!G464),"")</f>
        <v/>
      </c>
      <c r="N464" s="6" t="str">
        <f aca="false">IFERROR(IF(A464="","",IF(L464&lt;M464,"BAJO STOCK","OK")),"")</f>
        <v/>
      </c>
    </row>
    <row r="465" customFormat="false" ht="15" hidden="false" customHeight="false" outlineLevel="0" collapsed="false">
      <c r="A465" s="0" t="str">
        <f aca="false">IFERROR(IF(Productos!A465="","",Productos!A465),"")</f>
        <v/>
      </c>
      <c r="B465" s="0" t="str">
        <f aca="false">IFERROR(IF(Productos!A465="","",Productos!B465),"")</f>
        <v/>
      </c>
      <c r="C465" s="0" t="str">
        <f aca="false">IFERROR(IF(Productos!A465="","",Productos!C465),"")</f>
        <v/>
      </c>
      <c r="D465" s="0" t="str">
        <f aca="false">IFERROR(IF(Productos!A465="","",Productos!E465),"")</f>
        <v/>
      </c>
      <c r="E465" s="6" t="str">
        <f aca="false">IFERROR(IF(A465="","",SUMIFS(Movimientos!E:E, Movimientos!D:D, A465, Movimientos!C:C, "Ingreso", Movimientos!G:G, "TIN")+SUMIFS(Movimientos!E:E, Movimientos!D:D, A465, Movimientos!C:C, "Traslado", Movimientos!G:G, "TIN")-SUMIFS(Movimientos!E:E, Movimientos!D:D, A465, Movimientos!C:C, "Traslado", Movimientos!F:F, "TIN")-SUMIFS(Movimientos!E:E, Movimientos!D:D, A465, Movimientos!C:C, "Egreso", Movimientos!F:F, "TIN")+SUMIFS(Movimientos!E:E, Movimientos!D:D, A465, Movimientos!C:C, "Ajuste", Movimientos!F:F, "TIN")),"")</f>
        <v/>
      </c>
      <c r="F465" s="6" t="str">
        <f aca="false">IFERROR(IF(A465="","",SUMIFS(Movimientos!E:E, Movimientos!D:D, A465, Movimientos!C:C, "Ingreso", Movimientos!G:G, "G1000")+SUMIFS(Movimientos!E:E, Movimientos!D:D, A465, Movimientos!C:C, "Traslado", Movimientos!G:G, "G1000")-SUMIFS(Movimientos!E:E, Movimientos!D:D, A465, Movimientos!C:C, "Traslado", Movimientos!F:F, "G1000")-SUMIFS(Movimientos!E:E, Movimientos!D:D, A465, Movimientos!C:C, "Egreso", Movimientos!F:F, "G1000")+SUMIFS(Movimientos!E:E, Movimientos!D:D, A465, Movimientos!C:C, "Ajuste", Movimientos!F:F, "G1000")),"")</f>
        <v/>
      </c>
      <c r="G465" s="6" t="str">
        <f aca="false">IFERROR(IF(A465="","",SUMIFS(Movimientos!E:E, Movimientos!D:D, A465, Movimientos!C:C, "Ingreso", Movimientos!G:G, "G710")+SUMIFS(Movimientos!E:E, Movimientos!D:D, A465, Movimientos!C:C, "Traslado", Movimientos!G:G, "G710")-SUMIFS(Movimientos!E:E, Movimientos!D:D, A465, Movimientos!C:C, "Traslado", Movimientos!F:F, "G710")-SUMIFS(Movimientos!E:E, Movimientos!D:D, A465, Movimientos!C:C, "Egreso", Movimientos!F:F, "G710")+SUMIFS(Movimientos!E:E, Movimientos!D:D, A465, Movimientos!C:C, "Ajuste", Movimientos!F:F, "G710")),"")</f>
        <v/>
      </c>
      <c r="H465" s="6" t="str">
        <f aca="false">IFERROR(IF(A465="","",SUMIFS(Movimientos!E:E, Movimientos!D:D, A465, Movimientos!C:C, "Ingreso", Movimientos!G:G, "G5000")+SUMIFS(Movimientos!E:E, Movimientos!D:D, A465, Movimientos!C:C, "Traslado", Movimientos!G:G, "G5000")-SUMIFS(Movimientos!E:E, Movimientos!D:D, A465, Movimientos!C:C, "Traslado", Movimientos!F:F, "G5000")-SUMIFS(Movimientos!E:E, Movimientos!D:D, A465, Movimientos!C:C, "Egreso", Movimientos!F:F, "G5000")+SUMIFS(Movimientos!E:E, Movimientos!D:D, A465, Movimientos!C:C, "Ajuste", Movimientos!F:F, "G5000")),"")</f>
        <v/>
      </c>
      <c r="I465" s="6" t="str">
        <f aca="false">IFERROR(IF(A465="","",SUMIFS(Movimientos!E:E, Movimientos!D:D, A465, Movimientos!C:C, "Ingreso", Movimientos!G:G, "G3")+SUMIFS(Movimientos!E:E, Movimientos!D:D, A465, Movimientos!C:C, "Traslado", Movimientos!G:G, "G3")-SUMIFS(Movimientos!E:E, Movimientos!D:D, A465, Movimientos!C:C, "Traslado", Movimientos!F:F, "G3")-SUMIFS(Movimientos!E:E, Movimientos!D:D, A465, Movimientos!C:C, "Egreso", Movimientos!F:F, "G3")+SUMIFS(Movimientos!E:E, Movimientos!D:D, A465, Movimientos!C:C, "Ajuste", Movimientos!F:F, "G3")),"")</f>
        <v/>
      </c>
      <c r="J465" s="6" t="str">
        <f aca="false">IFERROR(IF(A465="","",SUM(E465:I465)),"")</f>
        <v/>
      </c>
      <c r="K465" s="6" t="str">
        <f aca="false">IFERROR(IF(A465="","",SUMIFS(Movimientos!E:E, Movimientos!D:D, A465, Movimientos!C:C, "Reserva")-SUMIFS(Movimientos!E:E, Movimientos!D:D, A465, Movimientos!C:C, "Libera_Reserva")),"")</f>
        <v/>
      </c>
      <c r="L465" s="6" t="str">
        <f aca="false">IFERROR(IF(A465="","",J465-K465),"")</f>
        <v/>
      </c>
      <c r="M465" s="6" t="str">
        <f aca="false">IFERROR(IF(Productos!A465="","",Productos!G465),"")</f>
        <v/>
      </c>
      <c r="N465" s="6" t="str">
        <f aca="false">IFERROR(IF(A465="","",IF(L465&lt;M465,"BAJO STOCK","OK")),"")</f>
        <v/>
      </c>
    </row>
    <row r="466" customFormat="false" ht="15" hidden="false" customHeight="false" outlineLevel="0" collapsed="false">
      <c r="A466" s="0" t="str">
        <f aca="false">IFERROR(IF(Productos!A466="","",Productos!A466),"")</f>
        <v/>
      </c>
      <c r="B466" s="0" t="str">
        <f aca="false">IFERROR(IF(Productos!A466="","",Productos!B466),"")</f>
        <v/>
      </c>
      <c r="C466" s="0" t="str">
        <f aca="false">IFERROR(IF(Productos!A466="","",Productos!C466),"")</f>
        <v/>
      </c>
      <c r="D466" s="0" t="str">
        <f aca="false">IFERROR(IF(Productos!A466="","",Productos!E466),"")</f>
        <v/>
      </c>
      <c r="E466" s="6" t="str">
        <f aca="false">IFERROR(IF(A466="","",SUMIFS(Movimientos!E:E, Movimientos!D:D, A466, Movimientos!C:C, "Ingreso", Movimientos!G:G, "TIN")+SUMIFS(Movimientos!E:E, Movimientos!D:D, A466, Movimientos!C:C, "Traslado", Movimientos!G:G, "TIN")-SUMIFS(Movimientos!E:E, Movimientos!D:D, A466, Movimientos!C:C, "Traslado", Movimientos!F:F, "TIN")-SUMIFS(Movimientos!E:E, Movimientos!D:D, A466, Movimientos!C:C, "Egreso", Movimientos!F:F, "TIN")+SUMIFS(Movimientos!E:E, Movimientos!D:D, A466, Movimientos!C:C, "Ajuste", Movimientos!F:F, "TIN")),"")</f>
        <v/>
      </c>
      <c r="F466" s="6" t="str">
        <f aca="false">IFERROR(IF(A466="","",SUMIFS(Movimientos!E:E, Movimientos!D:D, A466, Movimientos!C:C, "Ingreso", Movimientos!G:G, "G1000")+SUMIFS(Movimientos!E:E, Movimientos!D:D, A466, Movimientos!C:C, "Traslado", Movimientos!G:G, "G1000")-SUMIFS(Movimientos!E:E, Movimientos!D:D, A466, Movimientos!C:C, "Traslado", Movimientos!F:F, "G1000")-SUMIFS(Movimientos!E:E, Movimientos!D:D, A466, Movimientos!C:C, "Egreso", Movimientos!F:F, "G1000")+SUMIFS(Movimientos!E:E, Movimientos!D:D, A466, Movimientos!C:C, "Ajuste", Movimientos!F:F, "G1000")),"")</f>
        <v/>
      </c>
      <c r="G466" s="6" t="str">
        <f aca="false">IFERROR(IF(A466="","",SUMIFS(Movimientos!E:E, Movimientos!D:D, A466, Movimientos!C:C, "Ingreso", Movimientos!G:G, "G710")+SUMIFS(Movimientos!E:E, Movimientos!D:D, A466, Movimientos!C:C, "Traslado", Movimientos!G:G, "G710")-SUMIFS(Movimientos!E:E, Movimientos!D:D, A466, Movimientos!C:C, "Traslado", Movimientos!F:F, "G710")-SUMIFS(Movimientos!E:E, Movimientos!D:D, A466, Movimientos!C:C, "Egreso", Movimientos!F:F, "G710")+SUMIFS(Movimientos!E:E, Movimientos!D:D, A466, Movimientos!C:C, "Ajuste", Movimientos!F:F, "G710")),"")</f>
        <v/>
      </c>
      <c r="H466" s="6" t="str">
        <f aca="false">IFERROR(IF(A466="","",SUMIFS(Movimientos!E:E, Movimientos!D:D, A466, Movimientos!C:C, "Ingreso", Movimientos!G:G, "G5000")+SUMIFS(Movimientos!E:E, Movimientos!D:D, A466, Movimientos!C:C, "Traslado", Movimientos!G:G, "G5000")-SUMIFS(Movimientos!E:E, Movimientos!D:D, A466, Movimientos!C:C, "Traslado", Movimientos!F:F, "G5000")-SUMIFS(Movimientos!E:E, Movimientos!D:D, A466, Movimientos!C:C, "Egreso", Movimientos!F:F, "G5000")+SUMIFS(Movimientos!E:E, Movimientos!D:D, A466, Movimientos!C:C, "Ajuste", Movimientos!F:F, "G5000")),"")</f>
        <v/>
      </c>
      <c r="I466" s="6" t="str">
        <f aca="false">IFERROR(IF(A466="","",SUMIFS(Movimientos!E:E, Movimientos!D:D, A466, Movimientos!C:C, "Ingreso", Movimientos!G:G, "G3")+SUMIFS(Movimientos!E:E, Movimientos!D:D, A466, Movimientos!C:C, "Traslado", Movimientos!G:G, "G3")-SUMIFS(Movimientos!E:E, Movimientos!D:D, A466, Movimientos!C:C, "Traslado", Movimientos!F:F, "G3")-SUMIFS(Movimientos!E:E, Movimientos!D:D, A466, Movimientos!C:C, "Egreso", Movimientos!F:F, "G3")+SUMIFS(Movimientos!E:E, Movimientos!D:D, A466, Movimientos!C:C, "Ajuste", Movimientos!F:F, "G3")),"")</f>
        <v/>
      </c>
      <c r="J466" s="6" t="str">
        <f aca="false">IFERROR(IF(A466="","",SUM(E466:I466)),"")</f>
        <v/>
      </c>
      <c r="K466" s="6" t="str">
        <f aca="false">IFERROR(IF(A466="","",SUMIFS(Movimientos!E:E, Movimientos!D:D, A466, Movimientos!C:C, "Reserva")-SUMIFS(Movimientos!E:E, Movimientos!D:D, A466, Movimientos!C:C, "Libera_Reserva")),"")</f>
        <v/>
      </c>
      <c r="L466" s="6" t="str">
        <f aca="false">IFERROR(IF(A466="","",J466-K466),"")</f>
        <v/>
      </c>
      <c r="M466" s="6" t="str">
        <f aca="false">IFERROR(IF(Productos!A466="","",Productos!G466),"")</f>
        <v/>
      </c>
      <c r="N466" s="6" t="str">
        <f aca="false">IFERROR(IF(A466="","",IF(L466&lt;M466,"BAJO STOCK","OK")),"")</f>
        <v/>
      </c>
    </row>
    <row r="467" customFormat="false" ht="15" hidden="false" customHeight="false" outlineLevel="0" collapsed="false">
      <c r="A467" s="0" t="str">
        <f aca="false">IFERROR(IF(Productos!A467="","",Productos!A467),"")</f>
        <v/>
      </c>
      <c r="B467" s="0" t="str">
        <f aca="false">IFERROR(IF(Productos!A467="","",Productos!B467),"")</f>
        <v/>
      </c>
      <c r="C467" s="0" t="str">
        <f aca="false">IFERROR(IF(Productos!A467="","",Productos!C467),"")</f>
        <v/>
      </c>
      <c r="D467" s="0" t="str">
        <f aca="false">IFERROR(IF(Productos!A467="","",Productos!E467),"")</f>
        <v/>
      </c>
      <c r="E467" s="6" t="str">
        <f aca="false">IFERROR(IF(A467="","",SUMIFS(Movimientos!E:E, Movimientos!D:D, A467, Movimientos!C:C, "Ingreso", Movimientos!G:G, "TIN")+SUMIFS(Movimientos!E:E, Movimientos!D:D, A467, Movimientos!C:C, "Traslado", Movimientos!G:G, "TIN")-SUMIFS(Movimientos!E:E, Movimientos!D:D, A467, Movimientos!C:C, "Traslado", Movimientos!F:F, "TIN")-SUMIFS(Movimientos!E:E, Movimientos!D:D, A467, Movimientos!C:C, "Egreso", Movimientos!F:F, "TIN")+SUMIFS(Movimientos!E:E, Movimientos!D:D, A467, Movimientos!C:C, "Ajuste", Movimientos!F:F, "TIN")),"")</f>
        <v/>
      </c>
      <c r="F467" s="6" t="str">
        <f aca="false">IFERROR(IF(A467="","",SUMIFS(Movimientos!E:E, Movimientos!D:D, A467, Movimientos!C:C, "Ingreso", Movimientos!G:G, "G1000")+SUMIFS(Movimientos!E:E, Movimientos!D:D, A467, Movimientos!C:C, "Traslado", Movimientos!G:G, "G1000")-SUMIFS(Movimientos!E:E, Movimientos!D:D, A467, Movimientos!C:C, "Traslado", Movimientos!F:F, "G1000")-SUMIFS(Movimientos!E:E, Movimientos!D:D, A467, Movimientos!C:C, "Egreso", Movimientos!F:F, "G1000")+SUMIFS(Movimientos!E:E, Movimientos!D:D, A467, Movimientos!C:C, "Ajuste", Movimientos!F:F, "G1000")),"")</f>
        <v/>
      </c>
      <c r="G467" s="6" t="str">
        <f aca="false">IFERROR(IF(A467="","",SUMIFS(Movimientos!E:E, Movimientos!D:D, A467, Movimientos!C:C, "Ingreso", Movimientos!G:G, "G710")+SUMIFS(Movimientos!E:E, Movimientos!D:D, A467, Movimientos!C:C, "Traslado", Movimientos!G:G, "G710")-SUMIFS(Movimientos!E:E, Movimientos!D:D, A467, Movimientos!C:C, "Traslado", Movimientos!F:F, "G710")-SUMIFS(Movimientos!E:E, Movimientos!D:D, A467, Movimientos!C:C, "Egreso", Movimientos!F:F, "G710")+SUMIFS(Movimientos!E:E, Movimientos!D:D, A467, Movimientos!C:C, "Ajuste", Movimientos!F:F, "G710")),"")</f>
        <v/>
      </c>
      <c r="H467" s="6" t="str">
        <f aca="false">IFERROR(IF(A467="","",SUMIFS(Movimientos!E:E, Movimientos!D:D, A467, Movimientos!C:C, "Ingreso", Movimientos!G:G, "G5000")+SUMIFS(Movimientos!E:E, Movimientos!D:D, A467, Movimientos!C:C, "Traslado", Movimientos!G:G, "G5000")-SUMIFS(Movimientos!E:E, Movimientos!D:D, A467, Movimientos!C:C, "Traslado", Movimientos!F:F, "G5000")-SUMIFS(Movimientos!E:E, Movimientos!D:D, A467, Movimientos!C:C, "Egreso", Movimientos!F:F, "G5000")+SUMIFS(Movimientos!E:E, Movimientos!D:D, A467, Movimientos!C:C, "Ajuste", Movimientos!F:F, "G5000")),"")</f>
        <v/>
      </c>
      <c r="I467" s="6" t="str">
        <f aca="false">IFERROR(IF(A467="","",SUMIFS(Movimientos!E:E, Movimientos!D:D, A467, Movimientos!C:C, "Ingreso", Movimientos!G:G, "G3")+SUMIFS(Movimientos!E:E, Movimientos!D:D, A467, Movimientos!C:C, "Traslado", Movimientos!G:G, "G3")-SUMIFS(Movimientos!E:E, Movimientos!D:D, A467, Movimientos!C:C, "Traslado", Movimientos!F:F, "G3")-SUMIFS(Movimientos!E:E, Movimientos!D:D, A467, Movimientos!C:C, "Egreso", Movimientos!F:F, "G3")+SUMIFS(Movimientos!E:E, Movimientos!D:D, A467, Movimientos!C:C, "Ajuste", Movimientos!F:F, "G3")),"")</f>
        <v/>
      </c>
      <c r="J467" s="6" t="str">
        <f aca="false">IFERROR(IF(A467="","",SUM(E467:I467)),"")</f>
        <v/>
      </c>
      <c r="K467" s="6" t="str">
        <f aca="false">IFERROR(IF(A467="","",SUMIFS(Movimientos!E:E, Movimientos!D:D, A467, Movimientos!C:C, "Reserva")-SUMIFS(Movimientos!E:E, Movimientos!D:D, A467, Movimientos!C:C, "Libera_Reserva")),"")</f>
        <v/>
      </c>
      <c r="L467" s="6" t="str">
        <f aca="false">IFERROR(IF(A467="","",J467-K467),"")</f>
        <v/>
      </c>
      <c r="M467" s="6" t="str">
        <f aca="false">IFERROR(IF(Productos!A467="","",Productos!G467),"")</f>
        <v/>
      </c>
      <c r="N467" s="6" t="str">
        <f aca="false">IFERROR(IF(A467="","",IF(L467&lt;M467,"BAJO STOCK","OK")),"")</f>
        <v/>
      </c>
    </row>
    <row r="468" customFormat="false" ht="15" hidden="false" customHeight="false" outlineLevel="0" collapsed="false">
      <c r="A468" s="0" t="str">
        <f aca="false">IFERROR(IF(Productos!A468="","",Productos!A468),"")</f>
        <v/>
      </c>
      <c r="B468" s="0" t="str">
        <f aca="false">IFERROR(IF(Productos!A468="","",Productos!B468),"")</f>
        <v/>
      </c>
      <c r="C468" s="0" t="str">
        <f aca="false">IFERROR(IF(Productos!A468="","",Productos!C468),"")</f>
        <v/>
      </c>
      <c r="D468" s="0" t="str">
        <f aca="false">IFERROR(IF(Productos!A468="","",Productos!E468),"")</f>
        <v/>
      </c>
      <c r="E468" s="6" t="str">
        <f aca="false">IFERROR(IF(A468="","",SUMIFS(Movimientos!E:E, Movimientos!D:D, A468, Movimientos!C:C, "Ingreso", Movimientos!G:G, "TIN")+SUMIFS(Movimientos!E:E, Movimientos!D:D, A468, Movimientos!C:C, "Traslado", Movimientos!G:G, "TIN")-SUMIFS(Movimientos!E:E, Movimientos!D:D, A468, Movimientos!C:C, "Traslado", Movimientos!F:F, "TIN")-SUMIFS(Movimientos!E:E, Movimientos!D:D, A468, Movimientos!C:C, "Egreso", Movimientos!F:F, "TIN")+SUMIFS(Movimientos!E:E, Movimientos!D:D, A468, Movimientos!C:C, "Ajuste", Movimientos!F:F, "TIN")),"")</f>
        <v/>
      </c>
      <c r="F468" s="6" t="str">
        <f aca="false">IFERROR(IF(A468="","",SUMIFS(Movimientos!E:E, Movimientos!D:D, A468, Movimientos!C:C, "Ingreso", Movimientos!G:G, "G1000")+SUMIFS(Movimientos!E:E, Movimientos!D:D, A468, Movimientos!C:C, "Traslado", Movimientos!G:G, "G1000")-SUMIFS(Movimientos!E:E, Movimientos!D:D, A468, Movimientos!C:C, "Traslado", Movimientos!F:F, "G1000")-SUMIFS(Movimientos!E:E, Movimientos!D:D, A468, Movimientos!C:C, "Egreso", Movimientos!F:F, "G1000")+SUMIFS(Movimientos!E:E, Movimientos!D:D, A468, Movimientos!C:C, "Ajuste", Movimientos!F:F, "G1000")),"")</f>
        <v/>
      </c>
      <c r="G468" s="6" t="str">
        <f aca="false">IFERROR(IF(A468="","",SUMIFS(Movimientos!E:E, Movimientos!D:D, A468, Movimientos!C:C, "Ingreso", Movimientos!G:G, "G710")+SUMIFS(Movimientos!E:E, Movimientos!D:D, A468, Movimientos!C:C, "Traslado", Movimientos!G:G, "G710")-SUMIFS(Movimientos!E:E, Movimientos!D:D, A468, Movimientos!C:C, "Traslado", Movimientos!F:F, "G710")-SUMIFS(Movimientos!E:E, Movimientos!D:D, A468, Movimientos!C:C, "Egreso", Movimientos!F:F, "G710")+SUMIFS(Movimientos!E:E, Movimientos!D:D, A468, Movimientos!C:C, "Ajuste", Movimientos!F:F, "G710")),"")</f>
        <v/>
      </c>
      <c r="H468" s="6" t="str">
        <f aca="false">IFERROR(IF(A468="","",SUMIFS(Movimientos!E:E, Movimientos!D:D, A468, Movimientos!C:C, "Ingreso", Movimientos!G:G, "G5000")+SUMIFS(Movimientos!E:E, Movimientos!D:D, A468, Movimientos!C:C, "Traslado", Movimientos!G:G, "G5000")-SUMIFS(Movimientos!E:E, Movimientos!D:D, A468, Movimientos!C:C, "Traslado", Movimientos!F:F, "G5000")-SUMIFS(Movimientos!E:E, Movimientos!D:D, A468, Movimientos!C:C, "Egreso", Movimientos!F:F, "G5000")+SUMIFS(Movimientos!E:E, Movimientos!D:D, A468, Movimientos!C:C, "Ajuste", Movimientos!F:F, "G5000")),"")</f>
        <v/>
      </c>
      <c r="I468" s="6" t="str">
        <f aca="false">IFERROR(IF(A468="","",SUMIFS(Movimientos!E:E, Movimientos!D:D, A468, Movimientos!C:C, "Ingreso", Movimientos!G:G, "G3")+SUMIFS(Movimientos!E:E, Movimientos!D:D, A468, Movimientos!C:C, "Traslado", Movimientos!G:G, "G3")-SUMIFS(Movimientos!E:E, Movimientos!D:D, A468, Movimientos!C:C, "Traslado", Movimientos!F:F, "G3")-SUMIFS(Movimientos!E:E, Movimientos!D:D, A468, Movimientos!C:C, "Egreso", Movimientos!F:F, "G3")+SUMIFS(Movimientos!E:E, Movimientos!D:D, A468, Movimientos!C:C, "Ajuste", Movimientos!F:F, "G3")),"")</f>
        <v/>
      </c>
      <c r="J468" s="6" t="str">
        <f aca="false">IFERROR(IF(A468="","",SUM(E468:I468)),"")</f>
        <v/>
      </c>
      <c r="K468" s="6" t="str">
        <f aca="false">IFERROR(IF(A468="","",SUMIFS(Movimientos!E:E, Movimientos!D:D, A468, Movimientos!C:C, "Reserva")-SUMIFS(Movimientos!E:E, Movimientos!D:D, A468, Movimientos!C:C, "Libera_Reserva")),"")</f>
        <v/>
      </c>
      <c r="L468" s="6" t="str">
        <f aca="false">IFERROR(IF(A468="","",J468-K468),"")</f>
        <v/>
      </c>
      <c r="M468" s="6" t="str">
        <f aca="false">IFERROR(IF(Productos!A468="","",Productos!G468),"")</f>
        <v/>
      </c>
      <c r="N468" s="6" t="str">
        <f aca="false">IFERROR(IF(A468="","",IF(L468&lt;M468,"BAJO STOCK","OK")),"")</f>
        <v/>
      </c>
    </row>
    <row r="469" customFormat="false" ht="15" hidden="false" customHeight="false" outlineLevel="0" collapsed="false">
      <c r="A469" s="0" t="str">
        <f aca="false">IFERROR(IF(Productos!A469="","",Productos!A469),"")</f>
        <v/>
      </c>
      <c r="B469" s="0" t="str">
        <f aca="false">IFERROR(IF(Productos!A469="","",Productos!B469),"")</f>
        <v/>
      </c>
      <c r="C469" s="0" t="str">
        <f aca="false">IFERROR(IF(Productos!A469="","",Productos!C469),"")</f>
        <v/>
      </c>
      <c r="D469" s="0" t="str">
        <f aca="false">IFERROR(IF(Productos!A469="","",Productos!E469),"")</f>
        <v/>
      </c>
      <c r="E469" s="6" t="str">
        <f aca="false">IFERROR(IF(A469="","",SUMIFS(Movimientos!E:E, Movimientos!D:D, A469, Movimientos!C:C, "Ingreso", Movimientos!G:G, "TIN")+SUMIFS(Movimientos!E:E, Movimientos!D:D, A469, Movimientos!C:C, "Traslado", Movimientos!G:G, "TIN")-SUMIFS(Movimientos!E:E, Movimientos!D:D, A469, Movimientos!C:C, "Traslado", Movimientos!F:F, "TIN")-SUMIFS(Movimientos!E:E, Movimientos!D:D, A469, Movimientos!C:C, "Egreso", Movimientos!F:F, "TIN")+SUMIFS(Movimientos!E:E, Movimientos!D:D, A469, Movimientos!C:C, "Ajuste", Movimientos!F:F, "TIN")),"")</f>
        <v/>
      </c>
      <c r="F469" s="6" t="str">
        <f aca="false">IFERROR(IF(A469="","",SUMIFS(Movimientos!E:E, Movimientos!D:D, A469, Movimientos!C:C, "Ingreso", Movimientos!G:G, "G1000")+SUMIFS(Movimientos!E:E, Movimientos!D:D, A469, Movimientos!C:C, "Traslado", Movimientos!G:G, "G1000")-SUMIFS(Movimientos!E:E, Movimientos!D:D, A469, Movimientos!C:C, "Traslado", Movimientos!F:F, "G1000")-SUMIFS(Movimientos!E:E, Movimientos!D:D, A469, Movimientos!C:C, "Egreso", Movimientos!F:F, "G1000")+SUMIFS(Movimientos!E:E, Movimientos!D:D, A469, Movimientos!C:C, "Ajuste", Movimientos!F:F, "G1000")),"")</f>
        <v/>
      </c>
      <c r="G469" s="6" t="str">
        <f aca="false">IFERROR(IF(A469="","",SUMIFS(Movimientos!E:E, Movimientos!D:D, A469, Movimientos!C:C, "Ingreso", Movimientos!G:G, "G710")+SUMIFS(Movimientos!E:E, Movimientos!D:D, A469, Movimientos!C:C, "Traslado", Movimientos!G:G, "G710")-SUMIFS(Movimientos!E:E, Movimientos!D:D, A469, Movimientos!C:C, "Traslado", Movimientos!F:F, "G710")-SUMIFS(Movimientos!E:E, Movimientos!D:D, A469, Movimientos!C:C, "Egreso", Movimientos!F:F, "G710")+SUMIFS(Movimientos!E:E, Movimientos!D:D, A469, Movimientos!C:C, "Ajuste", Movimientos!F:F, "G710")),"")</f>
        <v/>
      </c>
      <c r="H469" s="6" t="str">
        <f aca="false">IFERROR(IF(A469="","",SUMIFS(Movimientos!E:E, Movimientos!D:D, A469, Movimientos!C:C, "Ingreso", Movimientos!G:G, "G5000")+SUMIFS(Movimientos!E:E, Movimientos!D:D, A469, Movimientos!C:C, "Traslado", Movimientos!G:G, "G5000")-SUMIFS(Movimientos!E:E, Movimientos!D:D, A469, Movimientos!C:C, "Traslado", Movimientos!F:F, "G5000")-SUMIFS(Movimientos!E:E, Movimientos!D:D, A469, Movimientos!C:C, "Egreso", Movimientos!F:F, "G5000")+SUMIFS(Movimientos!E:E, Movimientos!D:D, A469, Movimientos!C:C, "Ajuste", Movimientos!F:F, "G5000")),"")</f>
        <v/>
      </c>
      <c r="I469" s="6" t="str">
        <f aca="false">IFERROR(IF(A469="","",SUMIFS(Movimientos!E:E, Movimientos!D:D, A469, Movimientos!C:C, "Ingreso", Movimientos!G:G, "G3")+SUMIFS(Movimientos!E:E, Movimientos!D:D, A469, Movimientos!C:C, "Traslado", Movimientos!G:G, "G3")-SUMIFS(Movimientos!E:E, Movimientos!D:D, A469, Movimientos!C:C, "Traslado", Movimientos!F:F, "G3")-SUMIFS(Movimientos!E:E, Movimientos!D:D, A469, Movimientos!C:C, "Egreso", Movimientos!F:F, "G3")+SUMIFS(Movimientos!E:E, Movimientos!D:D, A469, Movimientos!C:C, "Ajuste", Movimientos!F:F, "G3")),"")</f>
        <v/>
      </c>
      <c r="J469" s="6" t="str">
        <f aca="false">IFERROR(IF(A469="","",SUM(E469:I469)),"")</f>
        <v/>
      </c>
      <c r="K469" s="6" t="str">
        <f aca="false">IFERROR(IF(A469="","",SUMIFS(Movimientos!E:E, Movimientos!D:D, A469, Movimientos!C:C, "Reserva")-SUMIFS(Movimientos!E:E, Movimientos!D:D, A469, Movimientos!C:C, "Libera_Reserva")),"")</f>
        <v/>
      </c>
      <c r="L469" s="6" t="str">
        <f aca="false">IFERROR(IF(A469="","",J469-K469),"")</f>
        <v/>
      </c>
      <c r="M469" s="6" t="str">
        <f aca="false">IFERROR(IF(Productos!A469="","",Productos!G469),"")</f>
        <v/>
      </c>
      <c r="N469" s="6" t="str">
        <f aca="false">IFERROR(IF(A469="","",IF(L469&lt;M469,"BAJO STOCK","OK")),"")</f>
        <v/>
      </c>
    </row>
    <row r="470" customFormat="false" ht="15" hidden="false" customHeight="false" outlineLevel="0" collapsed="false">
      <c r="A470" s="0" t="str">
        <f aca="false">IFERROR(IF(Productos!A470="","",Productos!A470),"")</f>
        <v/>
      </c>
      <c r="B470" s="0" t="str">
        <f aca="false">IFERROR(IF(Productos!A470="","",Productos!B470),"")</f>
        <v/>
      </c>
      <c r="C470" s="0" t="str">
        <f aca="false">IFERROR(IF(Productos!A470="","",Productos!C470),"")</f>
        <v/>
      </c>
      <c r="D470" s="0" t="str">
        <f aca="false">IFERROR(IF(Productos!A470="","",Productos!E470),"")</f>
        <v/>
      </c>
      <c r="E470" s="6" t="str">
        <f aca="false">IFERROR(IF(A470="","",SUMIFS(Movimientos!E:E, Movimientos!D:D, A470, Movimientos!C:C, "Ingreso", Movimientos!G:G, "TIN")+SUMIFS(Movimientos!E:E, Movimientos!D:D, A470, Movimientos!C:C, "Traslado", Movimientos!G:G, "TIN")-SUMIFS(Movimientos!E:E, Movimientos!D:D, A470, Movimientos!C:C, "Traslado", Movimientos!F:F, "TIN")-SUMIFS(Movimientos!E:E, Movimientos!D:D, A470, Movimientos!C:C, "Egreso", Movimientos!F:F, "TIN")+SUMIFS(Movimientos!E:E, Movimientos!D:D, A470, Movimientos!C:C, "Ajuste", Movimientos!F:F, "TIN")),"")</f>
        <v/>
      </c>
      <c r="F470" s="6" t="str">
        <f aca="false">IFERROR(IF(A470="","",SUMIFS(Movimientos!E:E, Movimientos!D:D, A470, Movimientos!C:C, "Ingreso", Movimientos!G:G, "G1000")+SUMIFS(Movimientos!E:E, Movimientos!D:D, A470, Movimientos!C:C, "Traslado", Movimientos!G:G, "G1000")-SUMIFS(Movimientos!E:E, Movimientos!D:D, A470, Movimientos!C:C, "Traslado", Movimientos!F:F, "G1000")-SUMIFS(Movimientos!E:E, Movimientos!D:D, A470, Movimientos!C:C, "Egreso", Movimientos!F:F, "G1000")+SUMIFS(Movimientos!E:E, Movimientos!D:D, A470, Movimientos!C:C, "Ajuste", Movimientos!F:F, "G1000")),"")</f>
        <v/>
      </c>
      <c r="G470" s="6" t="str">
        <f aca="false">IFERROR(IF(A470="","",SUMIFS(Movimientos!E:E, Movimientos!D:D, A470, Movimientos!C:C, "Ingreso", Movimientos!G:G, "G710")+SUMIFS(Movimientos!E:E, Movimientos!D:D, A470, Movimientos!C:C, "Traslado", Movimientos!G:G, "G710")-SUMIFS(Movimientos!E:E, Movimientos!D:D, A470, Movimientos!C:C, "Traslado", Movimientos!F:F, "G710")-SUMIFS(Movimientos!E:E, Movimientos!D:D, A470, Movimientos!C:C, "Egreso", Movimientos!F:F, "G710")+SUMIFS(Movimientos!E:E, Movimientos!D:D, A470, Movimientos!C:C, "Ajuste", Movimientos!F:F, "G710")),"")</f>
        <v/>
      </c>
      <c r="H470" s="6" t="str">
        <f aca="false">IFERROR(IF(A470="","",SUMIFS(Movimientos!E:E, Movimientos!D:D, A470, Movimientos!C:C, "Ingreso", Movimientos!G:G, "G5000")+SUMIFS(Movimientos!E:E, Movimientos!D:D, A470, Movimientos!C:C, "Traslado", Movimientos!G:G, "G5000")-SUMIFS(Movimientos!E:E, Movimientos!D:D, A470, Movimientos!C:C, "Traslado", Movimientos!F:F, "G5000")-SUMIFS(Movimientos!E:E, Movimientos!D:D, A470, Movimientos!C:C, "Egreso", Movimientos!F:F, "G5000")+SUMIFS(Movimientos!E:E, Movimientos!D:D, A470, Movimientos!C:C, "Ajuste", Movimientos!F:F, "G5000")),"")</f>
        <v/>
      </c>
      <c r="I470" s="6" t="str">
        <f aca="false">IFERROR(IF(A470="","",SUMIFS(Movimientos!E:E, Movimientos!D:D, A470, Movimientos!C:C, "Ingreso", Movimientos!G:G, "G3")+SUMIFS(Movimientos!E:E, Movimientos!D:D, A470, Movimientos!C:C, "Traslado", Movimientos!G:G, "G3")-SUMIFS(Movimientos!E:E, Movimientos!D:D, A470, Movimientos!C:C, "Traslado", Movimientos!F:F, "G3")-SUMIFS(Movimientos!E:E, Movimientos!D:D, A470, Movimientos!C:C, "Egreso", Movimientos!F:F, "G3")+SUMIFS(Movimientos!E:E, Movimientos!D:D, A470, Movimientos!C:C, "Ajuste", Movimientos!F:F, "G3")),"")</f>
        <v/>
      </c>
      <c r="J470" s="6" t="str">
        <f aca="false">IFERROR(IF(A470="","",SUM(E470:I470)),"")</f>
        <v/>
      </c>
      <c r="K470" s="6" t="str">
        <f aca="false">IFERROR(IF(A470="","",SUMIFS(Movimientos!E:E, Movimientos!D:D, A470, Movimientos!C:C, "Reserva")-SUMIFS(Movimientos!E:E, Movimientos!D:D, A470, Movimientos!C:C, "Libera_Reserva")),"")</f>
        <v/>
      </c>
      <c r="L470" s="6" t="str">
        <f aca="false">IFERROR(IF(A470="","",J470-K470),"")</f>
        <v/>
      </c>
      <c r="M470" s="6" t="str">
        <f aca="false">IFERROR(IF(Productos!A470="","",Productos!G470),"")</f>
        <v/>
      </c>
      <c r="N470" s="6" t="str">
        <f aca="false">IFERROR(IF(A470="","",IF(L470&lt;M470,"BAJO STOCK","OK")),"")</f>
        <v/>
      </c>
    </row>
    <row r="471" customFormat="false" ht="15" hidden="false" customHeight="false" outlineLevel="0" collapsed="false">
      <c r="A471" s="0" t="str">
        <f aca="false">IFERROR(IF(Productos!A471="","",Productos!A471),"")</f>
        <v/>
      </c>
      <c r="B471" s="0" t="str">
        <f aca="false">IFERROR(IF(Productos!A471="","",Productos!B471),"")</f>
        <v/>
      </c>
      <c r="C471" s="0" t="str">
        <f aca="false">IFERROR(IF(Productos!A471="","",Productos!C471),"")</f>
        <v/>
      </c>
      <c r="D471" s="0" t="str">
        <f aca="false">IFERROR(IF(Productos!A471="","",Productos!E471),"")</f>
        <v/>
      </c>
      <c r="E471" s="6" t="str">
        <f aca="false">IFERROR(IF(A471="","",SUMIFS(Movimientos!E:E, Movimientos!D:D, A471, Movimientos!C:C, "Ingreso", Movimientos!G:G, "TIN")+SUMIFS(Movimientos!E:E, Movimientos!D:D, A471, Movimientos!C:C, "Traslado", Movimientos!G:G, "TIN")-SUMIFS(Movimientos!E:E, Movimientos!D:D, A471, Movimientos!C:C, "Traslado", Movimientos!F:F, "TIN")-SUMIFS(Movimientos!E:E, Movimientos!D:D, A471, Movimientos!C:C, "Egreso", Movimientos!F:F, "TIN")+SUMIFS(Movimientos!E:E, Movimientos!D:D, A471, Movimientos!C:C, "Ajuste", Movimientos!F:F, "TIN")),"")</f>
        <v/>
      </c>
      <c r="F471" s="6" t="str">
        <f aca="false">IFERROR(IF(A471="","",SUMIFS(Movimientos!E:E, Movimientos!D:D, A471, Movimientos!C:C, "Ingreso", Movimientos!G:G, "G1000")+SUMIFS(Movimientos!E:E, Movimientos!D:D, A471, Movimientos!C:C, "Traslado", Movimientos!G:G, "G1000")-SUMIFS(Movimientos!E:E, Movimientos!D:D, A471, Movimientos!C:C, "Traslado", Movimientos!F:F, "G1000")-SUMIFS(Movimientos!E:E, Movimientos!D:D, A471, Movimientos!C:C, "Egreso", Movimientos!F:F, "G1000")+SUMIFS(Movimientos!E:E, Movimientos!D:D, A471, Movimientos!C:C, "Ajuste", Movimientos!F:F, "G1000")),"")</f>
        <v/>
      </c>
      <c r="G471" s="6" t="str">
        <f aca="false">IFERROR(IF(A471="","",SUMIFS(Movimientos!E:E, Movimientos!D:D, A471, Movimientos!C:C, "Ingreso", Movimientos!G:G, "G710")+SUMIFS(Movimientos!E:E, Movimientos!D:D, A471, Movimientos!C:C, "Traslado", Movimientos!G:G, "G710")-SUMIFS(Movimientos!E:E, Movimientos!D:D, A471, Movimientos!C:C, "Traslado", Movimientos!F:F, "G710")-SUMIFS(Movimientos!E:E, Movimientos!D:D, A471, Movimientos!C:C, "Egreso", Movimientos!F:F, "G710")+SUMIFS(Movimientos!E:E, Movimientos!D:D, A471, Movimientos!C:C, "Ajuste", Movimientos!F:F, "G710")),"")</f>
        <v/>
      </c>
      <c r="H471" s="6" t="str">
        <f aca="false">IFERROR(IF(A471="","",SUMIFS(Movimientos!E:E, Movimientos!D:D, A471, Movimientos!C:C, "Ingreso", Movimientos!G:G, "G5000")+SUMIFS(Movimientos!E:E, Movimientos!D:D, A471, Movimientos!C:C, "Traslado", Movimientos!G:G, "G5000")-SUMIFS(Movimientos!E:E, Movimientos!D:D, A471, Movimientos!C:C, "Traslado", Movimientos!F:F, "G5000")-SUMIFS(Movimientos!E:E, Movimientos!D:D, A471, Movimientos!C:C, "Egreso", Movimientos!F:F, "G5000")+SUMIFS(Movimientos!E:E, Movimientos!D:D, A471, Movimientos!C:C, "Ajuste", Movimientos!F:F, "G5000")),"")</f>
        <v/>
      </c>
      <c r="I471" s="6" t="str">
        <f aca="false">IFERROR(IF(A471="","",SUMIFS(Movimientos!E:E, Movimientos!D:D, A471, Movimientos!C:C, "Ingreso", Movimientos!G:G, "G3")+SUMIFS(Movimientos!E:E, Movimientos!D:D, A471, Movimientos!C:C, "Traslado", Movimientos!G:G, "G3")-SUMIFS(Movimientos!E:E, Movimientos!D:D, A471, Movimientos!C:C, "Traslado", Movimientos!F:F, "G3")-SUMIFS(Movimientos!E:E, Movimientos!D:D, A471, Movimientos!C:C, "Egreso", Movimientos!F:F, "G3")+SUMIFS(Movimientos!E:E, Movimientos!D:D, A471, Movimientos!C:C, "Ajuste", Movimientos!F:F, "G3")),"")</f>
        <v/>
      </c>
      <c r="J471" s="6" t="str">
        <f aca="false">IFERROR(IF(A471="","",SUM(E471:I471)),"")</f>
        <v/>
      </c>
      <c r="K471" s="6" t="str">
        <f aca="false">IFERROR(IF(A471="","",SUMIFS(Movimientos!E:E, Movimientos!D:D, A471, Movimientos!C:C, "Reserva")-SUMIFS(Movimientos!E:E, Movimientos!D:D, A471, Movimientos!C:C, "Libera_Reserva")),"")</f>
        <v/>
      </c>
      <c r="L471" s="6" t="str">
        <f aca="false">IFERROR(IF(A471="","",J471-K471),"")</f>
        <v/>
      </c>
      <c r="M471" s="6" t="str">
        <f aca="false">IFERROR(IF(Productos!A471="","",Productos!G471),"")</f>
        <v/>
      </c>
      <c r="N471" s="6" t="str">
        <f aca="false">IFERROR(IF(A471="","",IF(L471&lt;M471,"BAJO STOCK","OK")),"")</f>
        <v/>
      </c>
    </row>
    <row r="472" customFormat="false" ht="15" hidden="false" customHeight="false" outlineLevel="0" collapsed="false">
      <c r="A472" s="0" t="str">
        <f aca="false">IFERROR(IF(Productos!A472="","",Productos!A472),"")</f>
        <v/>
      </c>
      <c r="B472" s="0" t="str">
        <f aca="false">IFERROR(IF(Productos!A472="","",Productos!B472),"")</f>
        <v/>
      </c>
      <c r="C472" s="0" t="str">
        <f aca="false">IFERROR(IF(Productos!A472="","",Productos!C472),"")</f>
        <v/>
      </c>
      <c r="D472" s="0" t="str">
        <f aca="false">IFERROR(IF(Productos!A472="","",Productos!E472),"")</f>
        <v/>
      </c>
      <c r="E472" s="6" t="str">
        <f aca="false">IFERROR(IF(A472="","",SUMIFS(Movimientos!E:E, Movimientos!D:D, A472, Movimientos!C:C, "Ingreso", Movimientos!G:G, "TIN")+SUMIFS(Movimientos!E:E, Movimientos!D:D, A472, Movimientos!C:C, "Traslado", Movimientos!G:G, "TIN")-SUMIFS(Movimientos!E:E, Movimientos!D:D, A472, Movimientos!C:C, "Traslado", Movimientos!F:F, "TIN")-SUMIFS(Movimientos!E:E, Movimientos!D:D, A472, Movimientos!C:C, "Egreso", Movimientos!F:F, "TIN")+SUMIFS(Movimientos!E:E, Movimientos!D:D, A472, Movimientos!C:C, "Ajuste", Movimientos!F:F, "TIN")),"")</f>
        <v/>
      </c>
      <c r="F472" s="6" t="str">
        <f aca="false">IFERROR(IF(A472="","",SUMIFS(Movimientos!E:E, Movimientos!D:D, A472, Movimientos!C:C, "Ingreso", Movimientos!G:G, "G1000")+SUMIFS(Movimientos!E:E, Movimientos!D:D, A472, Movimientos!C:C, "Traslado", Movimientos!G:G, "G1000")-SUMIFS(Movimientos!E:E, Movimientos!D:D, A472, Movimientos!C:C, "Traslado", Movimientos!F:F, "G1000")-SUMIFS(Movimientos!E:E, Movimientos!D:D, A472, Movimientos!C:C, "Egreso", Movimientos!F:F, "G1000")+SUMIFS(Movimientos!E:E, Movimientos!D:D, A472, Movimientos!C:C, "Ajuste", Movimientos!F:F, "G1000")),"")</f>
        <v/>
      </c>
      <c r="G472" s="6" t="str">
        <f aca="false">IFERROR(IF(A472="","",SUMIFS(Movimientos!E:E, Movimientos!D:D, A472, Movimientos!C:C, "Ingreso", Movimientos!G:G, "G710")+SUMIFS(Movimientos!E:E, Movimientos!D:D, A472, Movimientos!C:C, "Traslado", Movimientos!G:G, "G710")-SUMIFS(Movimientos!E:E, Movimientos!D:D, A472, Movimientos!C:C, "Traslado", Movimientos!F:F, "G710")-SUMIFS(Movimientos!E:E, Movimientos!D:D, A472, Movimientos!C:C, "Egreso", Movimientos!F:F, "G710")+SUMIFS(Movimientos!E:E, Movimientos!D:D, A472, Movimientos!C:C, "Ajuste", Movimientos!F:F, "G710")),"")</f>
        <v/>
      </c>
      <c r="H472" s="6" t="str">
        <f aca="false">IFERROR(IF(A472="","",SUMIFS(Movimientos!E:E, Movimientos!D:D, A472, Movimientos!C:C, "Ingreso", Movimientos!G:G, "G5000")+SUMIFS(Movimientos!E:E, Movimientos!D:D, A472, Movimientos!C:C, "Traslado", Movimientos!G:G, "G5000")-SUMIFS(Movimientos!E:E, Movimientos!D:D, A472, Movimientos!C:C, "Traslado", Movimientos!F:F, "G5000")-SUMIFS(Movimientos!E:E, Movimientos!D:D, A472, Movimientos!C:C, "Egreso", Movimientos!F:F, "G5000")+SUMIFS(Movimientos!E:E, Movimientos!D:D, A472, Movimientos!C:C, "Ajuste", Movimientos!F:F, "G5000")),"")</f>
        <v/>
      </c>
      <c r="I472" s="6" t="str">
        <f aca="false">IFERROR(IF(A472="","",SUMIFS(Movimientos!E:E, Movimientos!D:D, A472, Movimientos!C:C, "Ingreso", Movimientos!G:G, "G3")+SUMIFS(Movimientos!E:E, Movimientos!D:D, A472, Movimientos!C:C, "Traslado", Movimientos!G:G, "G3")-SUMIFS(Movimientos!E:E, Movimientos!D:D, A472, Movimientos!C:C, "Traslado", Movimientos!F:F, "G3")-SUMIFS(Movimientos!E:E, Movimientos!D:D, A472, Movimientos!C:C, "Egreso", Movimientos!F:F, "G3")+SUMIFS(Movimientos!E:E, Movimientos!D:D, A472, Movimientos!C:C, "Ajuste", Movimientos!F:F, "G3")),"")</f>
        <v/>
      </c>
      <c r="J472" s="6" t="str">
        <f aca="false">IFERROR(IF(A472="","",SUM(E472:I472)),"")</f>
        <v/>
      </c>
      <c r="K472" s="6" t="str">
        <f aca="false">IFERROR(IF(A472="","",SUMIFS(Movimientos!E:E, Movimientos!D:D, A472, Movimientos!C:C, "Reserva")-SUMIFS(Movimientos!E:E, Movimientos!D:D, A472, Movimientos!C:C, "Libera_Reserva")),"")</f>
        <v/>
      </c>
      <c r="L472" s="6" t="str">
        <f aca="false">IFERROR(IF(A472="","",J472-K472),"")</f>
        <v/>
      </c>
      <c r="M472" s="6" t="str">
        <f aca="false">IFERROR(IF(Productos!A472="","",Productos!G472),"")</f>
        <v/>
      </c>
      <c r="N472" s="6" t="str">
        <f aca="false">IFERROR(IF(A472="","",IF(L472&lt;M472,"BAJO STOCK","OK")),"")</f>
        <v/>
      </c>
    </row>
    <row r="473" customFormat="false" ht="15" hidden="false" customHeight="false" outlineLevel="0" collapsed="false">
      <c r="A473" s="0" t="str">
        <f aca="false">IFERROR(IF(Productos!A473="","",Productos!A473),"")</f>
        <v/>
      </c>
      <c r="B473" s="0" t="str">
        <f aca="false">IFERROR(IF(Productos!A473="","",Productos!B473),"")</f>
        <v/>
      </c>
      <c r="C473" s="0" t="str">
        <f aca="false">IFERROR(IF(Productos!A473="","",Productos!C473),"")</f>
        <v/>
      </c>
      <c r="D473" s="0" t="str">
        <f aca="false">IFERROR(IF(Productos!A473="","",Productos!E473),"")</f>
        <v/>
      </c>
      <c r="E473" s="6" t="str">
        <f aca="false">IFERROR(IF(A473="","",SUMIFS(Movimientos!E:E, Movimientos!D:D, A473, Movimientos!C:C, "Ingreso", Movimientos!G:G, "TIN")+SUMIFS(Movimientos!E:E, Movimientos!D:D, A473, Movimientos!C:C, "Traslado", Movimientos!G:G, "TIN")-SUMIFS(Movimientos!E:E, Movimientos!D:D, A473, Movimientos!C:C, "Traslado", Movimientos!F:F, "TIN")-SUMIFS(Movimientos!E:E, Movimientos!D:D, A473, Movimientos!C:C, "Egreso", Movimientos!F:F, "TIN")+SUMIFS(Movimientos!E:E, Movimientos!D:D, A473, Movimientos!C:C, "Ajuste", Movimientos!F:F, "TIN")),"")</f>
        <v/>
      </c>
      <c r="F473" s="6" t="str">
        <f aca="false">IFERROR(IF(A473="","",SUMIFS(Movimientos!E:E, Movimientos!D:D, A473, Movimientos!C:C, "Ingreso", Movimientos!G:G, "G1000")+SUMIFS(Movimientos!E:E, Movimientos!D:D, A473, Movimientos!C:C, "Traslado", Movimientos!G:G, "G1000")-SUMIFS(Movimientos!E:E, Movimientos!D:D, A473, Movimientos!C:C, "Traslado", Movimientos!F:F, "G1000")-SUMIFS(Movimientos!E:E, Movimientos!D:D, A473, Movimientos!C:C, "Egreso", Movimientos!F:F, "G1000")+SUMIFS(Movimientos!E:E, Movimientos!D:D, A473, Movimientos!C:C, "Ajuste", Movimientos!F:F, "G1000")),"")</f>
        <v/>
      </c>
      <c r="G473" s="6" t="str">
        <f aca="false">IFERROR(IF(A473="","",SUMIFS(Movimientos!E:E, Movimientos!D:D, A473, Movimientos!C:C, "Ingreso", Movimientos!G:G, "G710")+SUMIFS(Movimientos!E:E, Movimientos!D:D, A473, Movimientos!C:C, "Traslado", Movimientos!G:G, "G710")-SUMIFS(Movimientos!E:E, Movimientos!D:D, A473, Movimientos!C:C, "Traslado", Movimientos!F:F, "G710")-SUMIFS(Movimientos!E:E, Movimientos!D:D, A473, Movimientos!C:C, "Egreso", Movimientos!F:F, "G710")+SUMIFS(Movimientos!E:E, Movimientos!D:D, A473, Movimientos!C:C, "Ajuste", Movimientos!F:F, "G710")),"")</f>
        <v/>
      </c>
      <c r="H473" s="6" t="str">
        <f aca="false">IFERROR(IF(A473="","",SUMIFS(Movimientos!E:E, Movimientos!D:D, A473, Movimientos!C:C, "Ingreso", Movimientos!G:G, "G5000")+SUMIFS(Movimientos!E:E, Movimientos!D:D, A473, Movimientos!C:C, "Traslado", Movimientos!G:G, "G5000")-SUMIFS(Movimientos!E:E, Movimientos!D:D, A473, Movimientos!C:C, "Traslado", Movimientos!F:F, "G5000")-SUMIFS(Movimientos!E:E, Movimientos!D:D, A473, Movimientos!C:C, "Egreso", Movimientos!F:F, "G5000")+SUMIFS(Movimientos!E:E, Movimientos!D:D, A473, Movimientos!C:C, "Ajuste", Movimientos!F:F, "G5000")),"")</f>
        <v/>
      </c>
      <c r="I473" s="6" t="str">
        <f aca="false">IFERROR(IF(A473="","",SUMIFS(Movimientos!E:E, Movimientos!D:D, A473, Movimientos!C:C, "Ingreso", Movimientos!G:G, "G3")+SUMIFS(Movimientos!E:E, Movimientos!D:D, A473, Movimientos!C:C, "Traslado", Movimientos!G:G, "G3")-SUMIFS(Movimientos!E:E, Movimientos!D:D, A473, Movimientos!C:C, "Traslado", Movimientos!F:F, "G3")-SUMIFS(Movimientos!E:E, Movimientos!D:D, A473, Movimientos!C:C, "Egreso", Movimientos!F:F, "G3")+SUMIFS(Movimientos!E:E, Movimientos!D:D, A473, Movimientos!C:C, "Ajuste", Movimientos!F:F, "G3")),"")</f>
        <v/>
      </c>
      <c r="J473" s="6" t="str">
        <f aca="false">IFERROR(IF(A473="","",SUM(E473:I473)),"")</f>
        <v/>
      </c>
      <c r="K473" s="6" t="str">
        <f aca="false">IFERROR(IF(A473="","",SUMIFS(Movimientos!E:E, Movimientos!D:D, A473, Movimientos!C:C, "Reserva")-SUMIFS(Movimientos!E:E, Movimientos!D:D, A473, Movimientos!C:C, "Libera_Reserva")),"")</f>
        <v/>
      </c>
      <c r="L473" s="6" t="str">
        <f aca="false">IFERROR(IF(A473="","",J473-K473),"")</f>
        <v/>
      </c>
      <c r="M473" s="6" t="str">
        <f aca="false">IFERROR(IF(Productos!A473="","",Productos!G473),"")</f>
        <v/>
      </c>
      <c r="N473" s="6" t="str">
        <f aca="false">IFERROR(IF(A473="","",IF(L473&lt;M473,"BAJO STOCK","OK")),"")</f>
        <v/>
      </c>
    </row>
    <row r="474" customFormat="false" ht="15" hidden="false" customHeight="false" outlineLevel="0" collapsed="false">
      <c r="A474" s="0" t="str">
        <f aca="false">IFERROR(IF(Productos!A474="","",Productos!A474),"")</f>
        <v/>
      </c>
      <c r="B474" s="0" t="str">
        <f aca="false">IFERROR(IF(Productos!A474="","",Productos!B474),"")</f>
        <v/>
      </c>
      <c r="C474" s="0" t="str">
        <f aca="false">IFERROR(IF(Productos!A474="","",Productos!C474),"")</f>
        <v/>
      </c>
      <c r="D474" s="0" t="str">
        <f aca="false">IFERROR(IF(Productos!A474="","",Productos!E474),"")</f>
        <v/>
      </c>
      <c r="E474" s="6" t="str">
        <f aca="false">IFERROR(IF(A474="","",SUMIFS(Movimientos!E:E, Movimientos!D:D, A474, Movimientos!C:C, "Ingreso", Movimientos!G:G, "TIN")+SUMIFS(Movimientos!E:E, Movimientos!D:D, A474, Movimientos!C:C, "Traslado", Movimientos!G:G, "TIN")-SUMIFS(Movimientos!E:E, Movimientos!D:D, A474, Movimientos!C:C, "Traslado", Movimientos!F:F, "TIN")-SUMIFS(Movimientos!E:E, Movimientos!D:D, A474, Movimientos!C:C, "Egreso", Movimientos!F:F, "TIN")+SUMIFS(Movimientos!E:E, Movimientos!D:D, A474, Movimientos!C:C, "Ajuste", Movimientos!F:F, "TIN")),"")</f>
        <v/>
      </c>
      <c r="F474" s="6" t="str">
        <f aca="false">IFERROR(IF(A474="","",SUMIFS(Movimientos!E:E, Movimientos!D:D, A474, Movimientos!C:C, "Ingreso", Movimientos!G:G, "G1000")+SUMIFS(Movimientos!E:E, Movimientos!D:D, A474, Movimientos!C:C, "Traslado", Movimientos!G:G, "G1000")-SUMIFS(Movimientos!E:E, Movimientos!D:D, A474, Movimientos!C:C, "Traslado", Movimientos!F:F, "G1000")-SUMIFS(Movimientos!E:E, Movimientos!D:D, A474, Movimientos!C:C, "Egreso", Movimientos!F:F, "G1000")+SUMIFS(Movimientos!E:E, Movimientos!D:D, A474, Movimientos!C:C, "Ajuste", Movimientos!F:F, "G1000")),"")</f>
        <v/>
      </c>
      <c r="G474" s="6" t="str">
        <f aca="false">IFERROR(IF(A474="","",SUMIFS(Movimientos!E:E, Movimientos!D:D, A474, Movimientos!C:C, "Ingreso", Movimientos!G:G, "G710")+SUMIFS(Movimientos!E:E, Movimientos!D:D, A474, Movimientos!C:C, "Traslado", Movimientos!G:G, "G710")-SUMIFS(Movimientos!E:E, Movimientos!D:D, A474, Movimientos!C:C, "Traslado", Movimientos!F:F, "G710")-SUMIFS(Movimientos!E:E, Movimientos!D:D, A474, Movimientos!C:C, "Egreso", Movimientos!F:F, "G710")+SUMIFS(Movimientos!E:E, Movimientos!D:D, A474, Movimientos!C:C, "Ajuste", Movimientos!F:F, "G710")),"")</f>
        <v/>
      </c>
      <c r="H474" s="6" t="str">
        <f aca="false">IFERROR(IF(A474="","",SUMIFS(Movimientos!E:E, Movimientos!D:D, A474, Movimientos!C:C, "Ingreso", Movimientos!G:G, "G5000")+SUMIFS(Movimientos!E:E, Movimientos!D:D, A474, Movimientos!C:C, "Traslado", Movimientos!G:G, "G5000")-SUMIFS(Movimientos!E:E, Movimientos!D:D, A474, Movimientos!C:C, "Traslado", Movimientos!F:F, "G5000")-SUMIFS(Movimientos!E:E, Movimientos!D:D, A474, Movimientos!C:C, "Egreso", Movimientos!F:F, "G5000")+SUMIFS(Movimientos!E:E, Movimientos!D:D, A474, Movimientos!C:C, "Ajuste", Movimientos!F:F, "G5000")),"")</f>
        <v/>
      </c>
      <c r="I474" s="6" t="str">
        <f aca="false">IFERROR(IF(A474="","",SUMIFS(Movimientos!E:E, Movimientos!D:D, A474, Movimientos!C:C, "Ingreso", Movimientos!G:G, "G3")+SUMIFS(Movimientos!E:E, Movimientos!D:D, A474, Movimientos!C:C, "Traslado", Movimientos!G:G, "G3")-SUMIFS(Movimientos!E:E, Movimientos!D:D, A474, Movimientos!C:C, "Traslado", Movimientos!F:F, "G3")-SUMIFS(Movimientos!E:E, Movimientos!D:D, A474, Movimientos!C:C, "Egreso", Movimientos!F:F, "G3")+SUMIFS(Movimientos!E:E, Movimientos!D:D, A474, Movimientos!C:C, "Ajuste", Movimientos!F:F, "G3")),"")</f>
        <v/>
      </c>
      <c r="J474" s="6" t="str">
        <f aca="false">IFERROR(IF(A474="","",SUM(E474:I474)),"")</f>
        <v/>
      </c>
      <c r="K474" s="6" t="str">
        <f aca="false">IFERROR(IF(A474="","",SUMIFS(Movimientos!E:E, Movimientos!D:D, A474, Movimientos!C:C, "Reserva")-SUMIFS(Movimientos!E:E, Movimientos!D:D, A474, Movimientos!C:C, "Libera_Reserva")),"")</f>
        <v/>
      </c>
      <c r="L474" s="6" t="str">
        <f aca="false">IFERROR(IF(A474="","",J474-K474),"")</f>
        <v/>
      </c>
      <c r="M474" s="6" t="str">
        <f aca="false">IFERROR(IF(Productos!A474="","",Productos!G474),"")</f>
        <v/>
      </c>
      <c r="N474" s="6" t="str">
        <f aca="false">IFERROR(IF(A474="","",IF(L474&lt;M474,"BAJO STOCK","OK")),"")</f>
        <v/>
      </c>
    </row>
    <row r="475" customFormat="false" ht="15" hidden="false" customHeight="false" outlineLevel="0" collapsed="false">
      <c r="A475" s="0" t="str">
        <f aca="false">IFERROR(IF(Productos!A475="","",Productos!A475),"")</f>
        <v/>
      </c>
      <c r="B475" s="0" t="str">
        <f aca="false">IFERROR(IF(Productos!A475="","",Productos!B475),"")</f>
        <v/>
      </c>
      <c r="C475" s="0" t="str">
        <f aca="false">IFERROR(IF(Productos!A475="","",Productos!C475),"")</f>
        <v/>
      </c>
      <c r="D475" s="0" t="str">
        <f aca="false">IFERROR(IF(Productos!A475="","",Productos!E475),"")</f>
        <v/>
      </c>
      <c r="E475" s="6" t="str">
        <f aca="false">IFERROR(IF(A475="","",SUMIFS(Movimientos!E:E, Movimientos!D:D, A475, Movimientos!C:C, "Ingreso", Movimientos!G:G, "TIN")+SUMIFS(Movimientos!E:E, Movimientos!D:D, A475, Movimientos!C:C, "Traslado", Movimientos!G:G, "TIN")-SUMIFS(Movimientos!E:E, Movimientos!D:D, A475, Movimientos!C:C, "Traslado", Movimientos!F:F, "TIN")-SUMIFS(Movimientos!E:E, Movimientos!D:D, A475, Movimientos!C:C, "Egreso", Movimientos!F:F, "TIN")+SUMIFS(Movimientos!E:E, Movimientos!D:D, A475, Movimientos!C:C, "Ajuste", Movimientos!F:F, "TIN")),"")</f>
        <v/>
      </c>
      <c r="F475" s="6" t="str">
        <f aca="false">IFERROR(IF(A475="","",SUMIFS(Movimientos!E:E, Movimientos!D:D, A475, Movimientos!C:C, "Ingreso", Movimientos!G:G, "G1000")+SUMIFS(Movimientos!E:E, Movimientos!D:D, A475, Movimientos!C:C, "Traslado", Movimientos!G:G, "G1000")-SUMIFS(Movimientos!E:E, Movimientos!D:D, A475, Movimientos!C:C, "Traslado", Movimientos!F:F, "G1000")-SUMIFS(Movimientos!E:E, Movimientos!D:D, A475, Movimientos!C:C, "Egreso", Movimientos!F:F, "G1000")+SUMIFS(Movimientos!E:E, Movimientos!D:D, A475, Movimientos!C:C, "Ajuste", Movimientos!F:F, "G1000")),"")</f>
        <v/>
      </c>
      <c r="G475" s="6" t="str">
        <f aca="false">IFERROR(IF(A475="","",SUMIFS(Movimientos!E:E, Movimientos!D:D, A475, Movimientos!C:C, "Ingreso", Movimientos!G:G, "G710")+SUMIFS(Movimientos!E:E, Movimientos!D:D, A475, Movimientos!C:C, "Traslado", Movimientos!G:G, "G710")-SUMIFS(Movimientos!E:E, Movimientos!D:D, A475, Movimientos!C:C, "Traslado", Movimientos!F:F, "G710")-SUMIFS(Movimientos!E:E, Movimientos!D:D, A475, Movimientos!C:C, "Egreso", Movimientos!F:F, "G710")+SUMIFS(Movimientos!E:E, Movimientos!D:D, A475, Movimientos!C:C, "Ajuste", Movimientos!F:F, "G710")),"")</f>
        <v/>
      </c>
      <c r="H475" s="6" t="str">
        <f aca="false">IFERROR(IF(A475="","",SUMIFS(Movimientos!E:E, Movimientos!D:D, A475, Movimientos!C:C, "Ingreso", Movimientos!G:G, "G5000")+SUMIFS(Movimientos!E:E, Movimientos!D:D, A475, Movimientos!C:C, "Traslado", Movimientos!G:G, "G5000")-SUMIFS(Movimientos!E:E, Movimientos!D:D, A475, Movimientos!C:C, "Traslado", Movimientos!F:F, "G5000")-SUMIFS(Movimientos!E:E, Movimientos!D:D, A475, Movimientos!C:C, "Egreso", Movimientos!F:F, "G5000")+SUMIFS(Movimientos!E:E, Movimientos!D:D, A475, Movimientos!C:C, "Ajuste", Movimientos!F:F, "G5000")),"")</f>
        <v/>
      </c>
      <c r="I475" s="6" t="str">
        <f aca="false">IFERROR(IF(A475="","",SUMIFS(Movimientos!E:E, Movimientos!D:D, A475, Movimientos!C:C, "Ingreso", Movimientos!G:G, "G3")+SUMIFS(Movimientos!E:E, Movimientos!D:D, A475, Movimientos!C:C, "Traslado", Movimientos!G:G, "G3")-SUMIFS(Movimientos!E:E, Movimientos!D:D, A475, Movimientos!C:C, "Traslado", Movimientos!F:F, "G3")-SUMIFS(Movimientos!E:E, Movimientos!D:D, A475, Movimientos!C:C, "Egreso", Movimientos!F:F, "G3")+SUMIFS(Movimientos!E:E, Movimientos!D:D, A475, Movimientos!C:C, "Ajuste", Movimientos!F:F, "G3")),"")</f>
        <v/>
      </c>
      <c r="J475" s="6" t="str">
        <f aca="false">IFERROR(IF(A475="","",SUM(E475:I475)),"")</f>
        <v/>
      </c>
      <c r="K475" s="6" t="str">
        <f aca="false">IFERROR(IF(A475="","",SUMIFS(Movimientos!E:E, Movimientos!D:D, A475, Movimientos!C:C, "Reserva")-SUMIFS(Movimientos!E:E, Movimientos!D:D, A475, Movimientos!C:C, "Libera_Reserva")),"")</f>
        <v/>
      </c>
      <c r="L475" s="6" t="str">
        <f aca="false">IFERROR(IF(A475="","",J475-K475),"")</f>
        <v/>
      </c>
      <c r="M475" s="6" t="str">
        <f aca="false">IFERROR(IF(Productos!A475="","",Productos!G475),"")</f>
        <v/>
      </c>
      <c r="N475" s="6" t="str">
        <f aca="false">IFERROR(IF(A475="","",IF(L475&lt;M475,"BAJO STOCK","OK")),"")</f>
        <v/>
      </c>
    </row>
    <row r="476" customFormat="false" ht="15" hidden="false" customHeight="false" outlineLevel="0" collapsed="false">
      <c r="A476" s="0" t="str">
        <f aca="false">IFERROR(IF(Productos!A476="","",Productos!A476),"")</f>
        <v/>
      </c>
      <c r="B476" s="0" t="str">
        <f aca="false">IFERROR(IF(Productos!A476="","",Productos!B476),"")</f>
        <v/>
      </c>
      <c r="C476" s="0" t="str">
        <f aca="false">IFERROR(IF(Productos!A476="","",Productos!C476),"")</f>
        <v/>
      </c>
      <c r="D476" s="0" t="str">
        <f aca="false">IFERROR(IF(Productos!A476="","",Productos!E476),"")</f>
        <v/>
      </c>
      <c r="E476" s="6" t="str">
        <f aca="false">IFERROR(IF(A476="","",SUMIFS(Movimientos!E:E, Movimientos!D:D, A476, Movimientos!C:C, "Ingreso", Movimientos!G:G, "TIN")+SUMIFS(Movimientos!E:E, Movimientos!D:D, A476, Movimientos!C:C, "Traslado", Movimientos!G:G, "TIN")-SUMIFS(Movimientos!E:E, Movimientos!D:D, A476, Movimientos!C:C, "Traslado", Movimientos!F:F, "TIN")-SUMIFS(Movimientos!E:E, Movimientos!D:D, A476, Movimientos!C:C, "Egreso", Movimientos!F:F, "TIN")+SUMIFS(Movimientos!E:E, Movimientos!D:D, A476, Movimientos!C:C, "Ajuste", Movimientos!F:F, "TIN")),"")</f>
        <v/>
      </c>
      <c r="F476" s="6" t="str">
        <f aca="false">IFERROR(IF(A476="","",SUMIFS(Movimientos!E:E, Movimientos!D:D, A476, Movimientos!C:C, "Ingreso", Movimientos!G:G, "G1000")+SUMIFS(Movimientos!E:E, Movimientos!D:D, A476, Movimientos!C:C, "Traslado", Movimientos!G:G, "G1000")-SUMIFS(Movimientos!E:E, Movimientos!D:D, A476, Movimientos!C:C, "Traslado", Movimientos!F:F, "G1000")-SUMIFS(Movimientos!E:E, Movimientos!D:D, A476, Movimientos!C:C, "Egreso", Movimientos!F:F, "G1000")+SUMIFS(Movimientos!E:E, Movimientos!D:D, A476, Movimientos!C:C, "Ajuste", Movimientos!F:F, "G1000")),"")</f>
        <v/>
      </c>
      <c r="G476" s="6" t="str">
        <f aca="false">IFERROR(IF(A476="","",SUMIFS(Movimientos!E:E, Movimientos!D:D, A476, Movimientos!C:C, "Ingreso", Movimientos!G:G, "G710")+SUMIFS(Movimientos!E:E, Movimientos!D:D, A476, Movimientos!C:C, "Traslado", Movimientos!G:G, "G710")-SUMIFS(Movimientos!E:E, Movimientos!D:D, A476, Movimientos!C:C, "Traslado", Movimientos!F:F, "G710")-SUMIFS(Movimientos!E:E, Movimientos!D:D, A476, Movimientos!C:C, "Egreso", Movimientos!F:F, "G710")+SUMIFS(Movimientos!E:E, Movimientos!D:D, A476, Movimientos!C:C, "Ajuste", Movimientos!F:F, "G710")),"")</f>
        <v/>
      </c>
      <c r="H476" s="6" t="str">
        <f aca="false">IFERROR(IF(A476="","",SUMIFS(Movimientos!E:E, Movimientos!D:D, A476, Movimientos!C:C, "Ingreso", Movimientos!G:G, "G5000")+SUMIFS(Movimientos!E:E, Movimientos!D:D, A476, Movimientos!C:C, "Traslado", Movimientos!G:G, "G5000")-SUMIFS(Movimientos!E:E, Movimientos!D:D, A476, Movimientos!C:C, "Traslado", Movimientos!F:F, "G5000")-SUMIFS(Movimientos!E:E, Movimientos!D:D, A476, Movimientos!C:C, "Egreso", Movimientos!F:F, "G5000")+SUMIFS(Movimientos!E:E, Movimientos!D:D, A476, Movimientos!C:C, "Ajuste", Movimientos!F:F, "G5000")),"")</f>
        <v/>
      </c>
      <c r="I476" s="6" t="str">
        <f aca="false">IFERROR(IF(A476="","",SUMIFS(Movimientos!E:E, Movimientos!D:D, A476, Movimientos!C:C, "Ingreso", Movimientos!G:G, "G3")+SUMIFS(Movimientos!E:E, Movimientos!D:D, A476, Movimientos!C:C, "Traslado", Movimientos!G:G, "G3")-SUMIFS(Movimientos!E:E, Movimientos!D:D, A476, Movimientos!C:C, "Traslado", Movimientos!F:F, "G3")-SUMIFS(Movimientos!E:E, Movimientos!D:D, A476, Movimientos!C:C, "Egreso", Movimientos!F:F, "G3")+SUMIFS(Movimientos!E:E, Movimientos!D:D, A476, Movimientos!C:C, "Ajuste", Movimientos!F:F, "G3")),"")</f>
        <v/>
      </c>
      <c r="J476" s="6" t="str">
        <f aca="false">IFERROR(IF(A476="","",SUM(E476:I476)),"")</f>
        <v/>
      </c>
      <c r="K476" s="6" t="str">
        <f aca="false">IFERROR(IF(A476="","",SUMIFS(Movimientos!E:E, Movimientos!D:D, A476, Movimientos!C:C, "Reserva")-SUMIFS(Movimientos!E:E, Movimientos!D:D, A476, Movimientos!C:C, "Libera_Reserva")),"")</f>
        <v/>
      </c>
      <c r="L476" s="6" t="str">
        <f aca="false">IFERROR(IF(A476="","",J476-K476),"")</f>
        <v/>
      </c>
      <c r="M476" s="6" t="str">
        <f aca="false">IFERROR(IF(Productos!A476="","",Productos!G476),"")</f>
        <v/>
      </c>
      <c r="N476" s="6" t="str">
        <f aca="false">IFERROR(IF(A476="","",IF(L476&lt;M476,"BAJO STOCK","OK")),"")</f>
        <v/>
      </c>
    </row>
    <row r="477" customFormat="false" ht="15" hidden="false" customHeight="false" outlineLevel="0" collapsed="false">
      <c r="A477" s="0" t="str">
        <f aca="false">IFERROR(IF(Productos!A477="","",Productos!A477),"")</f>
        <v/>
      </c>
      <c r="B477" s="0" t="str">
        <f aca="false">IFERROR(IF(Productos!A477="","",Productos!B477),"")</f>
        <v/>
      </c>
      <c r="C477" s="0" t="str">
        <f aca="false">IFERROR(IF(Productos!A477="","",Productos!C477),"")</f>
        <v/>
      </c>
      <c r="D477" s="0" t="str">
        <f aca="false">IFERROR(IF(Productos!A477="","",Productos!E477),"")</f>
        <v/>
      </c>
      <c r="E477" s="6" t="str">
        <f aca="false">IFERROR(IF(A477="","",SUMIFS(Movimientos!E:E, Movimientos!D:D, A477, Movimientos!C:C, "Ingreso", Movimientos!G:G, "TIN")+SUMIFS(Movimientos!E:E, Movimientos!D:D, A477, Movimientos!C:C, "Traslado", Movimientos!G:G, "TIN")-SUMIFS(Movimientos!E:E, Movimientos!D:D, A477, Movimientos!C:C, "Traslado", Movimientos!F:F, "TIN")-SUMIFS(Movimientos!E:E, Movimientos!D:D, A477, Movimientos!C:C, "Egreso", Movimientos!F:F, "TIN")+SUMIFS(Movimientos!E:E, Movimientos!D:D, A477, Movimientos!C:C, "Ajuste", Movimientos!F:F, "TIN")),"")</f>
        <v/>
      </c>
      <c r="F477" s="6" t="str">
        <f aca="false">IFERROR(IF(A477="","",SUMIFS(Movimientos!E:E, Movimientos!D:D, A477, Movimientos!C:C, "Ingreso", Movimientos!G:G, "G1000")+SUMIFS(Movimientos!E:E, Movimientos!D:D, A477, Movimientos!C:C, "Traslado", Movimientos!G:G, "G1000")-SUMIFS(Movimientos!E:E, Movimientos!D:D, A477, Movimientos!C:C, "Traslado", Movimientos!F:F, "G1000")-SUMIFS(Movimientos!E:E, Movimientos!D:D, A477, Movimientos!C:C, "Egreso", Movimientos!F:F, "G1000")+SUMIFS(Movimientos!E:E, Movimientos!D:D, A477, Movimientos!C:C, "Ajuste", Movimientos!F:F, "G1000")),"")</f>
        <v/>
      </c>
      <c r="G477" s="6" t="str">
        <f aca="false">IFERROR(IF(A477="","",SUMIFS(Movimientos!E:E, Movimientos!D:D, A477, Movimientos!C:C, "Ingreso", Movimientos!G:G, "G710")+SUMIFS(Movimientos!E:E, Movimientos!D:D, A477, Movimientos!C:C, "Traslado", Movimientos!G:G, "G710")-SUMIFS(Movimientos!E:E, Movimientos!D:D, A477, Movimientos!C:C, "Traslado", Movimientos!F:F, "G710")-SUMIFS(Movimientos!E:E, Movimientos!D:D, A477, Movimientos!C:C, "Egreso", Movimientos!F:F, "G710")+SUMIFS(Movimientos!E:E, Movimientos!D:D, A477, Movimientos!C:C, "Ajuste", Movimientos!F:F, "G710")),"")</f>
        <v/>
      </c>
      <c r="H477" s="6" t="str">
        <f aca="false">IFERROR(IF(A477="","",SUMIFS(Movimientos!E:E, Movimientos!D:D, A477, Movimientos!C:C, "Ingreso", Movimientos!G:G, "G5000")+SUMIFS(Movimientos!E:E, Movimientos!D:D, A477, Movimientos!C:C, "Traslado", Movimientos!G:G, "G5000")-SUMIFS(Movimientos!E:E, Movimientos!D:D, A477, Movimientos!C:C, "Traslado", Movimientos!F:F, "G5000")-SUMIFS(Movimientos!E:E, Movimientos!D:D, A477, Movimientos!C:C, "Egreso", Movimientos!F:F, "G5000")+SUMIFS(Movimientos!E:E, Movimientos!D:D, A477, Movimientos!C:C, "Ajuste", Movimientos!F:F, "G5000")),"")</f>
        <v/>
      </c>
      <c r="I477" s="6" t="str">
        <f aca="false">IFERROR(IF(A477="","",SUMIFS(Movimientos!E:E, Movimientos!D:D, A477, Movimientos!C:C, "Ingreso", Movimientos!G:G, "G3")+SUMIFS(Movimientos!E:E, Movimientos!D:D, A477, Movimientos!C:C, "Traslado", Movimientos!G:G, "G3")-SUMIFS(Movimientos!E:E, Movimientos!D:D, A477, Movimientos!C:C, "Traslado", Movimientos!F:F, "G3")-SUMIFS(Movimientos!E:E, Movimientos!D:D, A477, Movimientos!C:C, "Egreso", Movimientos!F:F, "G3")+SUMIFS(Movimientos!E:E, Movimientos!D:D, A477, Movimientos!C:C, "Ajuste", Movimientos!F:F, "G3")),"")</f>
        <v/>
      </c>
      <c r="J477" s="6" t="str">
        <f aca="false">IFERROR(IF(A477="","",SUM(E477:I477)),"")</f>
        <v/>
      </c>
      <c r="K477" s="6" t="str">
        <f aca="false">IFERROR(IF(A477="","",SUMIFS(Movimientos!E:E, Movimientos!D:D, A477, Movimientos!C:C, "Reserva")-SUMIFS(Movimientos!E:E, Movimientos!D:D, A477, Movimientos!C:C, "Libera_Reserva")),"")</f>
        <v/>
      </c>
      <c r="L477" s="6" t="str">
        <f aca="false">IFERROR(IF(A477="","",J477-K477),"")</f>
        <v/>
      </c>
      <c r="M477" s="6" t="str">
        <f aca="false">IFERROR(IF(Productos!A477="","",Productos!G477),"")</f>
        <v/>
      </c>
      <c r="N477" s="6" t="str">
        <f aca="false">IFERROR(IF(A477="","",IF(L477&lt;M477,"BAJO STOCK","OK")),"")</f>
        <v/>
      </c>
    </row>
    <row r="478" customFormat="false" ht="15" hidden="false" customHeight="false" outlineLevel="0" collapsed="false">
      <c r="A478" s="0" t="str">
        <f aca="false">IFERROR(IF(Productos!A478="","",Productos!A478),"")</f>
        <v/>
      </c>
      <c r="B478" s="0" t="str">
        <f aca="false">IFERROR(IF(Productos!A478="","",Productos!B478),"")</f>
        <v/>
      </c>
      <c r="C478" s="0" t="str">
        <f aca="false">IFERROR(IF(Productos!A478="","",Productos!C478),"")</f>
        <v/>
      </c>
      <c r="D478" s="0" t="str">
        <f aca="false">IFERROR(IF(Productos!A478="","",Productos!E478),"")</f>
        <v/>
      </c>
      <c r="E478" s="6" t="str">
        <f aca="false">IFERROR(IF(A478="","",SUMIFS(Movimientos!E:E, Movimientos!D:D, A478, Movimientos!C:C, "Ingreso", Movimientos!G:G, "TIN")+SUMIFS(Movimientos!E:E, Movimientos!D:D, A478, Movimientos!C:C, "Traslado", Movimientos!G:G, "TIN")-SUMIFS(Movimientos!E:E, Movimientos!D:D, A478, Movimientos!C:C, "Traslado", Movimientos!F:F, "TIN")-SUMIFS(Movimientos!E:E, Movimientos!D:D, A478, Movimientos!C:C, "Egreso", Movimientos!F:F, "TIN")+SUMIFS(Movimientos!E:E, Movimientos!D:D, A478, Movimientos!C:C, "Ajuste", Movimientos!F:F, "TIN")),"")</f>
        <v/>
      </c>
      <c r="F478" s="6" t="str">
        <f aca="false">IFERROR(IF(A478="","",SUMIFS(Movimientos!E:E, Movimientos!D:D, A478, Movimientos!C:C, "Ingreso", Movimientos!G:G, "G1000")+SUMIFS(Movimientos!E:E, Movimientos!D:D, A478, Movimientos!C:C, "Traslado", Movimientos!G:G, "G1000")-SUMIFS(Movimientos!E:E, Movimientos!D:D, A478, Movimientos!C:C, "Traslado", Movimientos!F:F, "G1000")-SUMIFS(Movimientos!E:E, Movimientos!D:D, A478, Movimientos!C:C, "Egreso", Movimientos!F:F, "G1000")+SUMIFS(Movimientos!E:E, Movimientos!D:D, A478, Movimientos!C:C, "Ajuste", Movimientos!F:F, "G1000")),"")</f>
        <v/>
      </c>
      <c r="G478" s="6" t="str">
        <f aca="false">IFERROR(IF(A478="","",SUMIFS(Movimientos!E:E, Movimientos!D:D, A478, Movimientos!C:C, "Ingreso", Movimientos!G:G, "G710")+SUMIFS(Movimientos!E:E, Movimientos!D:D, A478, Movimientos!C:C, "Traslado", Movimientos!G:G, "G710")-SUMIFS(Movimientos!E:E, Movimientos!D:D, A478, Movimientos!C:C, "Traslado", Movimientos!F:F, "G710")-SUMIFS(Movimientos!E:E, Movimientos!D:D, A478, Movimientos!C:C, "Egreso", Movimientos!F:F, "G710")+SUMIFS(Movimientos!E:E, Movimientos!D:D, A478, Movimientos!C:C, "Ajuste", Movimientos!F:F, "G710")),"")</f>
        <v/>
      </c>
      <c r="H478" s="6" t="str">
        <f aca="false">IFERROR(IF(A478="","",SUMIFS(Movimientos!E:E, Movimientos!D:D, A478, Movimientos!C:C, "Ingreso", Movimientos!G:G, "G5000")+SUMIFS(Movimientos!E:E, Movimientos!D:D, A478, Movimientos!C:C, "Traslado", Movimientos!G:G, "G5000")-SUMIFS(Movimientos!E:E, Movimientos!D:D, A478, Movimientos!C:C, "Traslado", Movimientos!F:F, "G5000")-SUMIFS(Movimientos!E:E, Movimientos!D:D, A478, Movimientos!C:C, "Egreso", Movimientos!F:F, "G5000")+SUMIFS(Movimientos!E:E, Movimientos!D:D, A478, Movimientos!C:C, "Ajuste", Movimientos!F:F, "G5000")),"")</f>
        <v/>
      </c>
      <c r="I478" s="6" t="str">
        <f aca="false">IFERROR(IF(A478="","",SUMIFS(Movimientos!E:E, Movimientos!D:D, A478, Movimientos!C:C, "Ingreso", Movimientos!G:G, "G3")+SUMIFS(Movimientos!E:E, Movimientos!D:D, A478, Movimientos!C:C, "Traslado", Movimientos!G:G, "G3")-SUMIFS(Movimientos!E:E, Movimientos!D:D, A478, Movimientos!C:C, "Traslado", Movimientos!F:F, "G3")-SUMIFS(Movimientos!E:E, Movimientos!D:D, A478, Movimientos!C:C, "Egreso", Movimientos!F:F, "G3")+SUMIFS(Movimientos!E:E, Movimientos!D:D, A478, Movimientos!C:C, "Ajuste", Movimientos!F:F, "G3")),"")</f>
        <v/>
      </c>
      <c r="J478" s="6" t="str">
        <f aca="false">IFERROR(IF(A478="","",SUM(E478:I478)),"")</f>
        <v/>
      </c>
      <c r="K478" s="6" t="str">
        <f aca="false">IFERROR(IF(A478="","",SUMIFS(Movimientos!E:E, Movimientos!D:D, A478, Movimientos!C:C, "Reserva")-SUMIFS(Movimientos!E:E, Movimientos!D:D, A478, Movimientos!C:C, "Libera_Reserva")),"")</f>
        <v/>
      </c>
      <c r="L478" s="6" t="str">
        <f aca="false">IFERROR(IF(A478="","",J478-K478),"")</f>
        <v/>
      </c>
      <c r="M478" s="6" t="str">
        <f aca="false">IFERROR(IF(Productos!A478="","",Productos!G478),"")</f>
        <v/>
      </c>
      <c r="N478" s="6" t="str">
        <f aca="false">IFERROR(IF(A478="","",IF(L478&lt;M478,"BAJO STOCK","OK")),"")</f>
        <v/>
      </c>
    </row>
    <row r="479" customFormat="false" ht="15" hidden="false" customHeight="false" outlineLevel="0" collapsed="false">
      <c r="A479" s="0" t="str">
        <f aca="false">IFERROR(IF(Productos!A479="","",Productos!A479),"")</f>
        <v/>
      </c>
      <c r="B479" s="0" t="str">
        <f aca="false">IFERROR(IF(Productos!A479="","",Productos!B479),"")</f>
        <v/>
      </c>
      <c r="C479" s="0" t="str">
        <f aca="false">IFERROR(IF(Productos!A479="","",Productos!C479),"")</f>
        <v/>
      </c>
      <c r="D479" s="0" t="str">
        <f aca="false">IFERROR(IF(Productos!A479="","",Productos!E479),"")</f>
        <v/>
      </c>
      <c r="E479" s="6" t="str">
        <f aca="false">IFERROR(IF(A479="","",SUMIFS(Movimientos!E:E, Movimientos!D:D, A479, Movimientos!C:C, "Ingreso", Movimientos!G:G, "TIN")+SUMIFS(Movimientos!E:E, Movimientos!D:D, A479, Movimientos!C:C, "Traslado", Movimientos!G:G, "TIN")-SUMIFS(Movimientos!E:E, Movimientos!D:D, A479, Movimientos!C:C, "Traslado", Movimientos!F:F, "TIN")-SUMIFS(Movimientos!E:E, Movimientos!D:D, A479, Movimientos!C:C, "Egreso", Movimientos!F:F, "TIN")+SUMIFS(Movimientos!E:E, Movimientos!D:D, A479, Movimientos!C:C, "Ajuste", Movimientos!F:F, "TIN")),"")</f>
        <v/>
      </c>
      <c r="F479" s="6" t="str">
        <f aca="false">IFERROR(IF(A479="","",SUMIFS(Movimientos!E:E, Movimientos!D:D, A479, Movimientos!C:C, "Ingreso", Movimientos!G:G, "G1000")+SUMIFS(Movimientos!E:E, Movimientos!D:D, A479, Movimientos!C:C, "Traslado", Movimientos!G:G, "G1000")-SUMIFS(Movimientos!E:E, Movimientos!D:D, A479, Movimientos!C:C, "Traslado", Movimientos!F:F, "G1000")-SUMIFS(Movimientos!E:E, Movimientos!D:D, A479, Movimientos!C:C, "Egreso", Movimientos!F:F, "G1000")+SUMIFS(Movimientos!E:E, Movimientos!D:D, A479, Movimientos!C:C, "Ajuste", Movimientos!F:F, "G1000")),"")</f>
        <v/>
      </c>
      <c r="G479" s="6" t="str">
        <f aca="false">IFERROR(IF(A479="","",SUMIFS(Movimientos!E:E, Movimientos!D:D, A479, Movimientos!C:C, "Ingreso", Movimientos!G:G, "G710")+SUMIFS(Movimientos!E:E, Movimientos!D:D, A479, Movimientos!C:C, "Traslado", Movimientos!G:G, "G710")-SUMIFS(Movimientos!E:E, Movimientos!D:D, A479, Movimientos!C:C, "Traslado", Movimientos!F:F, "G710")-SUMIFS(Movimientos!E:E, Movimientos!D:D, A479, Movimientos!C:C, "Egreso", Movimientos!F:F, "G710")+SUMIFS(Movimientos!E:E, Movimientos!D:D, A479, Movimientos!C:C, "Ajuste", Movimientos!F:F, "G710")),"")</f>
        <v/>
      </c>
      <c r="H479" s="6" t="str">
        <f aca="false">IFERROR(IF(A479="","",SUMIFS(Movimientos!E:E, Movimientos!D:D, A479, Movimientos!C:C, "Ingreso", Movimientos!G:G, "G5000")+SUMIFS(Movimientos!E:E, Movimientos!D:D, A479, Movimientos!C:C, "Traslado", Movimientos!G:G, "G5000")-SUMIFS(Movimientos!E:E, Movimientos!D:D, A479, Movimientos!C:C, "Traslado", Movimientos!F:F, "G5000")-SUMIFS(Movimientos!E:E, Movimientos!D:D, A479, Movimientos!C:C, "Egreso", Movimientos!F:F, "G5000")+SUMIFS(Movimientos!E:E, Movimientos!D:D, A479, Movimientos!C:C, "Ajuste", Movimientos!F:F, "G5000")),"")</f>
        <v/>
      </c>
      <c r="I479" s="6" t="str">
        <f aca="false">IFERROR(IF(A479="","",SUMIFS(Movimientos!E:E, Movimientos!D:D, A479, Movimientos!C:C, "Ingreso", Movimientos!G:G, "G3")+SUMIFS(Movimientos!E:E, Movimientos!D:D, A479, Movimientos!C:C, "Traslado", Movimientos!G:G, "G3")-SUMIFS(Movimientos!E:E, Movimientos!D:D, A479, Movimientos!C:C, "Traslado", Movimientos!F:F, "G3")-SUMIFS(Movimientos!E:E, Movimientos!D:D, A479, Movimientos!C:C, "Egreso", Movimientos!F:F, "G3")+SUMIFS(Movimientos!E:E, Movimientos!D:D, A479, Movimientos!C:C, "Ajuste", Movimientos!F:F, "G3")),"")</f>
        <v/>
      </c>
      <c r="J479" s="6" t="str">
        <f aca="false">IFERROR(IF(A479="","",SUM(E479:I479)),"")</f>
        <v/>
      </c>
      <c r="K479" s="6" t="str">
        <f aca="false">IFERROR(IF(A479="","",SUMIFS(Movimientos!E:E, Movimientos!D:D, A479, Movimientos!C:C, "Reserva")-SUMIFS(Movimientos!E:E, Movimientos!D:D, A479, Movimientos!C:C, "Libera_Reserva")),"")</f>
        <v/>
      </c>
      <c r="L479" s="6" t="str">
        <f aca="false">IFERROR(IF(A479="","",J479-K479),"")</f>
        <v/>
      </c>
      <c r="M479" s="6" t="str">
        <f aca="false">IFERROR(IF(Productos!A479="","",Productos!G479),"")</f>
        <v/>
      </c>
      <c r="N479" s="6" t="str">
        <f aca="false">IFERROR(IF(A479="","",IF(L479&lt;M479,"BAJO STOCK","OK")),"")</f>
        <v/>
      </c>
    </row>
    <row r="480" customFormat="false" ht="15" hidden="false" customHeight="false" outlineLevel="0" collapsed="false">
      <c r="A480" s="0" t="str">
        <f aca="false">IFERROR(IF(Productos!A480="","",Productos!A480),"")</f>
        <v/>
      </c>
      <c r="B480" s="0" t="str">
        <f aca="false">IFERROR(IF(Productos!A480="","",Productos!B480),"")</f>
        <v/>
      </c>
      <c r="C480" s="0" t="str">
        <f aca="false">IFERROR(IF(Productos!A480="","",Productos!C480),"")</f>
        <v/>
      </c>
      <c r="D480" s="0" t="str">
        <f aca="false">IFERROR(IF(Productos!A480="","",Productos!E480),"")</f>
        <v/>
      </c>
      <c r="E480" s="6" t="str">
        <f aca="false">IFERROR(IF(A480="","",SUMIFS(Movimientos!E:E, Movimientos!D:D, A480, Movimientos!C:C, "Ingreso", Movimientos!G:G, "TIN")+SUMIFS(Movimientos!E:E, Movimientos!D:D, A480, Movimientos!C:C, "Traslado", Movimientos!G:G, "TIN")-SUMIFS(Movimientos!E:E, Movimientos!D:D, A480, Movimientos!C:C, "Traslado", Movimientos!F:F, "TIN")-SUMIFS(Movimientos!E:E, Movimientos!D:D, A480, Movimientos!C:C, "Egreso", Movimientos!F:F, "TIN")+SUMIFS(Movimientos!E:E, Movimientos!D:D, A480, Movimientos!C:C, "Ajuste", Movimientos!F:F, "TIN")),"")</f>
        <v/>
      </c>
      <c r="F480" s="6" t="str">
        <f aca="false">IFERROR(IF(A480="","",SUMIFS(Movimientos!E:E, Movimientos!D:D, A480, Movimientos!C:C, "Ingreso", Movimientos!G:G, "G1000")+SUMIFS(Movimientos!E:E, Movimientos!D:D, A480, Movimientos!C:C, "Traslado", Movimientos!G:G, "G1000")-SUMIFS(Movimientos!E:E, Movimientos!D:D, A480, Movimientos!C:C, "Traslado", Movimientos!F:F, "G1000")-SUMIFS(Movimientos!E:E, Movimientos!D:D, A480, Movimientos!C:C, "Egreso", Movimientos!F:F, "G1000")+SUMIFS(Movimientos!E:E, Movimientos!D:D, A480, Movimientos!C:C, "Ajuste", Movimientos!F:F, "G1000")),"")</f>
        <v/>
      </c>
      <c r="G480" s="6" t="str">
        <f aca="false">IFERROR(IF(A480="","",SUMIFS(Movimientos!E:E, Movimientos!D:D, A480, Movimientos!C:C, "Ingreso", Movimientos!G:G, "G710")+SUMIFS(Movimientos!E:E, Movimientos!D:D, A480, Movimientos!C:C, "Traslado", Movimientos!G:G, "G710")-SUMIFS(Movimientos!E:E, Movimientos!D:D, A480, Movimientos!C:C, "Traslado", Movimientos!F:F, "G710")-SUMIFS(Movimientos!E:E, Movimientos!D:D, A480, Movimientos!C:C, "Egreso", Movimientos!F:F, "G710")+SUMIFS(Movimientos!E:E, Movimientos!D:D, A480, Movimientos!C:C, "Ajuste", Movimientos!F:F, "G710")),"")</f>
        <v/>
      </c>
      <c r="H480" s="6" t="str">
        <f aca="false">IFERROR(IF(A480="","",SUMIFS(Movimientos!E:E, Movimientos!D:D, A480, Movimientos!C:C, "Ingreso", Movimientos!G:G, "G5000")+SUMIFS(Movimientos!E:E, Movimientos!D:D, A480, Movimientos!C:C, "Traslado", Movimientos!G:G, "G5000")-SUMIFS(Movimientos!E:E, Movimientos!D:D, A480, Movimientos!C:C, "Traslado", Movimientos!F:F, "G5000")-SUMIFS(Movimientos!E:E, Movimientos!D:D, A480, Movimientos!C:C, "Egreso", Movimientos!F:F, "G5000")+SUMIFS(Movimientos!E:E, Movimientos!D:D, A480, Movimientos!C:C, "Ajuste", Movimientos!F:F, "G5000")),"")</f>
        <v/>
      </c>
      <c r="I480" s="6" t="str">
        <f aca="false">IFERROR(IF(A480="","",SUMIFS(Movimientos!E:E, Movimientos!D:D, A480, Movimientos!C:C, "Ingreso", Movimientos!G:G, "G3")+SUMIFS(Movimientos!E:E, Movimientos!D:D, A480, Movimientos!C:C, "Traslado", Movimientos!G:G, "G3")-SUMIFS(Movimientos!E:E, Movimientos!D:D, A480, Movimientos!C:C, "Traslado", Movimientos!F:F, "G3")-SUMIFS(Movimientos!E:E, Movimientos!D:D, A480, Movimientos!C:C, "Egreso", Movimientos!F:F, "G3")+SUMIFS(Movimientos!E:E, Movimientos!D:D, A480, Movimientos!C:C, "Ajuste", Movimientos!F:F, "G3")),"")</f>
        <v/>
      </c>
      <c r="J480" s="6" t="str">
        <f aca="false">IFERROR(IF(A480="","",SUM(E480:I480)),"")</f>
        <v/>
      </c>
      <c r="K480" s="6" t="str">
        <f aca="false">IFERROR(IF(A480="","",SUMIFS(Movimientos!E:E, Movimientos!D:D, A480, Movimientos!C:C, "Reserva")-SUMIFS(Movimientos!E:E, Movimientos!D:D, A480, Movimientos!C:C, "Libera_Reserva")),"")</f>
        <v/>
      </c>
      <c r="L480" s="6" t="str">
        <f aca="false">IFERROR(IF(A480="","",J480-K480),"")</f>
        <v/>
      </c>
      <c r="M480" s="6" t="str">
        <f aca="false">IFERROR(IF(Productos!A480="","",Productos!G480),"")</f>
        <v/>
      </c>
      <c r="N480" s="6" t="str">
        <f aca="false">IFERROR(IF(A480="","",IF(L480&lt;M480,"BAJO STOCK","OK")),"")</f>
        <v/>
      </c>
    </row>
    <row r="481" customFormat="false" ht="15" hidden="false" customHeight="false" outlineLevel="0" collapsed="false">
      <c r="A481" s="0" t="str">
        <f aca="false">IFERROR(IF(Productos!A481="","",Productos!A481),"")</f>
        <v/>
      </c>
      <c r="B481" s="0" t="str">
        <f aca="false">IFERROR(IF(Productos!A481="","",Productos!B481),"")</f>
        <v/>
      </c>
      <c r="C481" s="0" t="str">
        <f aca="false">IFERROR(IF(Productos!A481="","",Productos!C481),"")</f>
        <v/>
      </c>
      <c r="D481" s="0" t="str">
        <f aca="false">IFERROR(IF(Productos!A481="","",Productos!E481),"")</f>
        <v/>
      </c>
      <c r="E481" s="6" t="str">
        <f aca="false">IFERROR(IF(A481="","",SUMIFS(Movimientos!E:E, Movimientos!D:D, A481, Movimientos!C:C, "Ingreso", Movimientos!G:G, "TIN")+SUMIFS(Movimientos!E:E, Movimientos!D:D, A481, Movimientos!C:C, "Traslado", Movimientos!G:G, "TIN")-SUMIFS(Movimientos!E:E, Movimientos!D:D, A481, Movimientos!C:C, "Traslado", Movimientos!F:F, "TIN")-SUMIFS(Movimientos!E:E, Movimientos!D:D, A481, Movimientos!C:C, "Egreso", Movimientos!F:F, "TIN")+SUMIFS(Movimientos!E:E, Movimientos!D:D, A481, Movimientos!C:C, "Ajuste", Movimientos!F:F, "TIN")),"")</f>
        <v/>
      </c>
      <c r="F481" s="6" t="str">
        <f aca="false">IFERROR(IF(A481="","",SUMIFS(Movimientos!E:E, Movimientos!D:D, A481, Movimientos!C:C, "Ingreso", Movimientos!G:G, "G1000")+SUMIFS(Movimientos!E:E, Movimientos!D:D, A481, Movimientos!C:C, "Traslado", Movimientos!G:G, "G1000")-SUMIFS(Movimientos!E:E, Movimientos!D:D, A481, Movimientos!C:C, "Traslado", Movimientos!F:F, "G1000")-SUMIFS(Movimientos!E:E, Movimientos!D:D, A481, Movimientos!C:C, "Egreso", Movimientos!F:F, "G1000")+SUMIFS(Movimientos!E:E, Movimientos!D:D, A481, Movimientos!C:C, "Ajuste", Movimientos!F:F, "G1000")),"")</f>
        <v/>
      </c>
      <c r="G481" s="6" t="str">
        <f aca="false">IFERROR(IF(A481="","",SUMIFS(Movimientos!E:E, Movimientos!D:D, A481, Movimientos!C:C, "Ingreso", Movimientos!G:G, "G710")+SUMIFS(Movimientos!E:E, Movimientos!D:D, A481, Movimientos!C:C, "Traslado", Movimientos!G:G, "G710")-SUMIFS(Movimientos!E:E, Movimientos!D:D, A481, Movimientos!C:C, "Traslado", Movimientos!F:F, "G710")-SUMIFS(Movimientos!E:E, Movimientos!D:D, A481, Movimientos!C:C, "Egreso", Movimientos!F:F, "G710")+SUMIFS(Movimientos!E:E, Movimientos!D:D, A481, Movimientos!C:C, "Ajuste", Movimientos!F:F, "G710")),"")</f>
        <v/>
      </c>
      <c r="H481" s="6" t="str">
        <f aca="false">IFERROR(IF(A481="","",SUMIFS(Movimientos!E:E, Movimientos!D:D, A481, Movimientos!C:C, "Ingreso", Movimientos!G:G, "G5000")+SUMIFS(Movimientos!E:E, Movimientos!D:D, A481, Movimientos!C:C, "Traslado", Movimientos!G:G, "G5000")-SUMIFS(Movimientos!E:E, Movimientos!D:D, A481, Movimientos!C:C, "Traslado", Movimientos!F:F, "G5000")-SUMIFS(Movimientos!E:E, Movimientos!D:D, A481, Movimientos!C:C, "Egreso", Movimientos!F:F, "G5000")+SUMIFS(Movimientos!E:E, Movimientos!D:D, A481, Movimientos!C:C, "Ajuste", Movimientos!F:F, "G5000")),"")</f>
        <v/>
      </c>
      <c r="I481" s="6" t="str">
        <f aca="false">IFERROR(IF(A481="","",SUMIFS(Movimientos!E:E, Movimientos!D:D, A481, Movimientos!C:C, "Ingreso", Movimientos!G:G, "G3")+SUMIFS(Movimientos!E:E, Movimientos!D:D, A481, Movimientos!C:C, "Traslado", Movimientos!G:G, "G3")-SUMIFS(Movimientos!E:E, Movimientos!D:D, A481, Movimientos!C:C, "Traslado", Movimientos!F:F, "G3")-SUMIFS(Movimientos!E:E, Movimientos!D:D, A481, Movimientos!C:C, "Egreso", Movimientos!F:F, "G3")+SUMIFS(Movimientos!E:E, Movimientos!D:D, A481, Movimientos!C:C, "Ajuste", Movimientos!F:F, "G3")),"")</f>
        <v/>
      </c>
      <c r="J481" s="6" t="str">
        <f aca="false">IFERROR(IF(A481="","",SUM(E481:I481)),"")</f>
        <v/>
      </c>
      <c r="K481" s="6" t="str">
        <f aca="false">IFERROR(IF(A481="","",SUMIFS(Movimientos!E:E, Movimientos!D:D, A481, Movimientos!C:C, "Reserva")-SUMIFS(Movimientos!E:E, Movimientos!D:D, A481, Movimientos!C:C, "Libera_Reserva")),"")</f>
        <v/>
      </c>
      <c r="L481" s="6" t="str">
        <f aca="false">IFERROR(IF(A481="","",J481-K481),"")</f>
        <v/>
      </c>
      <c r="M481" s="6" t="str">
        <f aca="false">IFERROR(IF(Productos!A481="","",Productos!G481),"")</f>
        <v/>
      </c>
      <c r="N481" s="6" t="str">
        <f aca="false">IFERROR(IF(A481="","",IF(L481&lt;M481,"BAJO STOCK","OK")),"")</f>
        <v/>
      </c>
    </row>
    <row r="482" customFormat="false" ht="15" hidden="false" customHeight="false" outlineLevel="0" collapsed="false">
      <c r="A482" s="0" t="str">
        <f aca="false">IFERROR(IF(Productos!A482="","",Productos!A482),"")</f>
        <v/>
      </c>
      <c r="B482" s="0" t="str">
        <f aca="false">IFERROR(IF(Productos!A482="","",Productos!B482),"")</f>
        <v/>
      </c>
      <c r="C482" s="0" t="str">
        <f aca="false">IFERROR(IF(Productos!A482="","",Productos!C482),"")</f>
        <v/>
      </c>
      <c r="D482" s="0" t="str">
        <f aca="false">IFERROR(IF(Productos!A482="","",Productos!E482),"")</f>
        <v/>
      </c>
      <c r="E482" s="6" t="str">
        <f aca="false">IFERROR(IF(A482="","",SUMIFS(Movimientos!E:E, Movimientos!D:D, A482, Movimientos!C:C, "Ingreso", Movimientos!G:G, "TIN")+SUMIFS(Movimientos!E:E, Movimientos!D:D, A482, Movimientos!C:C, "Traslado", Movimientos!G:G, "TIN")-SUMIFS(Movimientos!E:E, Movimientos!D:D, A482, Movimientos!C:C, "Traslado", Movimientos!F:F, "TIN")-SUMIFS(Movimientos!E:E, Movimientos!D:D, A482, Movimientos!C:C, "Egreso", Movimientos!F:F, "TIN")+SUMIFS(Movimientos!E:E, Movimientos!D:D, A482, Movimientos!C:C, "Ajuste", Movimientos!F:F, "TIN")),"")</f>
        <v/>
      </c>
      <c r="F482" s="6" t="str">
        <f aca="false">IFERROR(IF(A482="","",SUMIFS(Movimientos!E:E, Movimientos!D:D, A482, Movimientos!C:C, "Ingreso", Movimientos!G:G, "G1000")+SUMIFS(Movimientos!E:E, Movimientos!D:D, A482, Movimientos!C:C, "Traslado", Movimientos!G:G, "G1000")-SUMIFS(Movimientos!E:E, Movimientos!D:D, A482, Movimientos!C:C, "Traslado", Movimientos!F:F, "G1000")-SUMIFS(Movimientos!E:E, Movimientos!D:D, A482, Movimientos!C:C, "Egreso", Movimientos!F:F, "G1000")+SUMIFS(Movimientos!E:E, Movimientos!D:D, A482, Movimientos!C:C, "Ajuste", Movimientos!F:F, "G1000")),"")</f>
        <v/>
      </c>
      <c r="G482" s="6" t="str">
        <f aca="false">IFERROR(IF(A482="","",SUMIFS(Movimientos!E:E, Movimientos!D:D, A482, Movimientos!C:C, "Ingreso", Movimientos!G:G, "G710")+SUMIFS(Movimientos!E:E, Movimientos!D:D, A482, Movimientos!C:C, "Traslado", Movimientos!G:G, "G710")-SUMIFS(Movimientos!E:E, Movimientos!D:D, A482, Movimientos!C:C, "Traslado", Movimientos!F:F, "G710")-SUMIFS(Movimientos!E:E, Movimientos!D:D, A482, Movimientos!C:C, "Egreso", Movimientos!F:F, "G710")+SUMIFS(Movimientos!E:E, Movimientos!D:D, A482, Movimientos!C:C, "Ajuste", Movimientos!F:F, "G710")),"")</f>
        <v/>
      </c>
      <c r="H482" s="6" t="str">
        <f aca="false">IFERROR(IF(A482="","",SUMIFS(Movimientos!E:E, Movimientos!D:D, A482, Movimientos!C:C, "Ingreso", Movimientos!G:G, "G5000")+SUMIFS(Movimientos!E:E, Movimientos!D:D, A482, Movimientos!C:C, "Traslado", Movimientos!G:G, "G5000")-SUMIFS(Movimientos!E:E, Movimientos!D:D, A482, Movimientos!C:C, "Traslado", Movimientos!F:F, "G5000")-SUMIFS(Movimientos!E:E, Movimientos!D:D, A482, Movimientos!C:C, "Egreso", Movimientos!F:F, "G5000")+SUMIFS(Movimientos!E:E, Movimientos!D:D, A482, Movimientos!C:C, "Ajuste", Movimientos!F:F, "G5000")),"")</f>
        <v/>
      </c>
      <c r="I482" s="6" t="str">
        <f aca="false">IFERROR(IF(A482="","",SUMIFS(Movimientos!E:E, Movimientos!D:D, A482, Movimientos!C:C, "Ingreso", Movimientos!G:G, "G3")+SUMIFS(Movimientos!E:E, Movimientos!D:D, A482, Movimientos!C:C, "Traslado", Movimientos!G:G, "G3")-SUMIFS(Movimientos!E:E, Movimientos!D:D, A482, Movimientos!C:C, "Traslado", Movimientos!F:F, "G3")-SUMIFS(Movimientos!E:E, Movimientos!D:D, A482, Movimientos!C:C, "Egreso", Movimientos!F:F, "G3")+SUMIFS(Movimientos!E:E, Movimientos!D:D, A482, Movimientos!C:C, "Ajuste", Movimientos!F:F, "G3")),"")</f>
        <v/>
      </c>
      <c r="J482" s="6" t="str">
        <f aca="false">IFERROR(IF(A482="","",SUM(E482:I482)),"")</f>
        <v/>
      </c>
      <c r="K482" s="6" t="str">
        <f aca="false">IFERROR(IF(A482="","",SUMIFS(Movimientos!E:E, Movimientos!D:D, A482, Movimientos!C:C, "Reserva")-SUMIFS(Movimientos!E:E, Movimientos!D:D, A482, Movimientos!C:C, "Libera_Reserva")),"")</f>
        <v/>
      </c>
      <c r="L482" s="6" t="str">
        <f aca="false">IFERROR(IF(A482="","",J482-K482),"")</f>
        <v/>
      </c>
      <c r="M482" s="6" t="str">
        <f aca="false">IFERROR(IF(Productos!A482="","",Productos!G482),"")</f>
        <v/>
      </c>
      <c r="N482" s="6" t="str">
        <f aca="false">IFERROR(IF(A482="","",IF(L482&lt;M482,"BAJO STOCK","OK")),"")</f>
        <v/>
      </c>
    </row>
    <row r="483" customFormat="false" ht="15" hidden="false" customHeight="false" outlineLevel="0" collapsed="false">
      <c r="A483" s="0" t="str">
        <f aca="false">IFERROR(IF(Productos!A483="","",Productos!A483),"")</f>
        <v/>
      </c>
      <c r="B483" s="0" t="str">
        <f aca="false">IFERROR(IF(Productos!A483="","",Productos!B483),"")</f>
        <v/>
      </c>
      <c r="C483" s="0" t="str">
        <f aca="false">IFERROR(IF(Productos!A483="","",Productos!C483),"")</f>
        <v/>
      </c>
      <c r="D483" s="0" t="str">
        <f aca="false">IFERROR(IF(Productos!A483="","",Productos!E483),"")</f>
        <v/>
      </c>
      <c r="E483" s="6" t="str">
        <f aca="false">IFERROR(IF(A483="","",SUMIFS(Movimientos!E:E, Movimientos!D:D, A483, Movimientos!C:C, "Ingreso", Movimientos!G:G, "TIN")+SUMIFS(Movimientos!E:E, Movimientos!D:D, A483, Movimientos!C:C, "Traslado", Movimientos!G:G, "TIN")-SUMIFS(Movimientos!E:E, Movimientos!D:D, A483, Movimientos!C:C, "Traslado", Movimientos!F:F, "TIN")-SUMIFS(Movimientos!E:E, Movimientos!D:D, A483, Movimientos!C:C, "Egreso", Movimientos!F:F, "TIN")+SUMIFS(Movimientos!E:E, Movimientos!D:D, A483, Movimientos!C:C, "Ajuste", Movimientos!F:F, "TIN")),"")</f>
        <v/>
      </c>
      <c r="F483" s="6" t="str">
        <f aca="false">IFERROR(IF(A483="","",SUMIFS(Movimientos!E:E, Movimientos!D:D, A483, Movimientos!C:C, "Ingreso", Movimientos!G:G, "G1000")+SUMIFS(Movimientos!E:E, Movimientos!D:D, A483, Movimientos!C:C, "Traslado", Movimientos!G:G, "G1000")-SUMIFS(Movimientos!E:E, Movimientos!D:D, A483, Movimientos!C:C, "Traslado", Movimientos!F:F, "G1000")-SUMIFS(Movimientos!E:E, Movimientos!D:D, A483, Movimientos!C:C, "Egreso", Movimientos!F:F, "G1000")+SUMIFS(Movimientos!E:E, Movimientos!D:D, A483, Movimientos!C:C, "Ajuste", Movimientos!F:F, "G1000")),"")</f>
        <v/>
      </c>
      <c r="G483" s="6" t="str">
        <f aca="false">IFERROR(IF(A483="","",SUMIFS(Movimientos!E:E, Movimientos!D:D, A483, Movimientos!C:C, "Ingreso", Movimientos!G:G, "G710")+SUMIFS(Movimientos!E:E, Movimientos!D:D, A483, Movimientos!C:C, "Traslado", Movimientos!G:G, "G710")-SUMIFS(Movimientos!E:E, Movimientos!D:D, A483, Movimientos!C:C, "Traslado", Movimientos!F:F, "G710")-SUMIFS(Movimientos!E:E, Movimientos!D:D, A483, Movimientos!C:C, "Egreso", Movimientos!F:F, "G710")+SUMIFS(Movimientos!E:E, Movimientos!D:D, A483, Movimientos!C:C, "Ajuste", Movimientos!F:F, "G710")),"")</f>
        <v/>
      </c>
      <c r="H483" s="6" t="str">
        <f aca="false">IFERROR(IF(A483="","",SUMIFS(Movimientos!E:E, Movimientos!D:D, A483, Movimientos!C:C, "Ingreso", Movimientos!G:G, "G5000")+SUMIFS(Movimientos!E:E, Movimientos!D:D, A483, Movimientos!C:C, "Traslado", Movimientos!G:G, "G5000")-SUMIFS(Movimientos!E:E, Movimientos!D:D, A483, Movimientos!C:C, "Traslado", Movimientos!F:F, "G5000")-SUMIFS(Movimientos!E:E, Movimientos!D:D, A483, Movimientos!C:C, "Egreso", Movimientos!F:F, "G5000")+SUMIFS(Movimientos!E:E, Movimientos!D:D, A483, Movimientos!C:C, "Ajuste", Movimientos!F:F, "G5000")),"")</f>
        <v/>
      </c>
      <c r="I483" s="6" t="str">
        <f aca="false">IFERROR(IF(A483="","",SUMIFS(Movimientos!E:E, Movimientos!D:D, A483, Movimientos!C:C, "Ingreso", Movimientos!G:G, "G3")+SUMIFS(Movimientos!E:E, Movimientos!D:D, A483, Movimientos!C:C, "Traslado", Movimientos!G:G, "G3")-SUMIFS(Movimientos!E:E, Movimientos!D:D, A483, Movimientos!C:C, "Traslado", Movimientos!F:F, "G3")-SUMIFS(Movimientos!E:E, Movimientos!D:D, A483, Movimientos!C:C, "Egreso", Movimientos!F:F, "G3")+SUMIFS(Movimientos!E:E, Movimientos!D:D, A483, Movimientos!C:C, "Ajuste", Movimientos!F:F, "G3")),"")</f>
        <v/>
      </c>
      <c r="J483" s="6" t="str">
        <f aca="false">IFERROR(IF(A483="","",SUM(E483:I483)),"")</f>
        <v/>
      </c>
      <c r="K483" s="6" t="str">
        <f aca="false">IFERROR(IF(A483="","",SUMIFS(Movimientos!E:E, Movimientos!D:D, A483, Movimientos!C:C, "Reserva")-SUMIFS(Movimientos!E:E, Movimientos!D:D, A483, Movimientos!C:C, "Libera_Reserva")),"")</f>
        <v/>
      </c>
      <c r="L483" s="6" t="str">
        <f aca="false">IFERROR(IF(A483="","",J483-K483),"")</f>
        <v/>
      </c>
      <c r="M483" s="6" t="str">
        <f aca="false">IFERROR(IF(Productos!A483="","",Productos!G483),"")</f>
        <v/>
      </c>
      <c r="N483" s="6" t="str">
        <f aca="false">IFERROR(IF(A483="","",IF(L483&lt;M483,"BAJO STOCK","OK")),"")</f>
        <v/>
      </c>
    </row>
    <row r="484" customFormat="false" ht="15" hidden="false" customHeight="false" outlineLevel="0" collapsed="false">
      <c r="A484" s="0" t="str">
        <f aca="false">IFERROR(IF(Productos!A484="","",Productos!A484),"")</f>
        <v/>
      </c>
      <c r="B484" s="0" t="str">
        <f aca="false">IFERROR(IF(Productos!A484="","",Productos!B484),"")</f>
        <v/>
      </c>
      <c r="C484" s="0" t="str">
        <f aca="false">IFERROR(IF(Productos!A484="","",Productos!C484),"")</f>
        <v/>
      </c>
      <c r="D484" s="0" t="str">
        <f aca="false">IFERROR(IF(Productos!A484="","",Productos!E484),"")</f>
        <v/>
      </c>
      <c r="E484" s="6" t="str">
        <f aca="false">IFERROR(IF(A484="","",SUMIFS(Movimientos!E:E, Movimientos!D:D, A484, Movimientos!C:C, "Ingreso", Movimientos!G:G, "TIN")+SUMIFS(Movimientos!E:E, Movimientos!D:D, A484, Movimientos!C:C, "Traslado", Movimientos!G:G, "TIN")-SUMIFS(Movimientos!E:E, Movimientos!D:D, A484, Movimientos!C:C, "Traslado", Movimientos!F:F, "TIN")-SUMIFS(Movimientos!E:E, Movimientos!D:D, A484, Movimientos!C:C, "Egreso", Movimientos!F:F, "TIN")+SUMIFS(Movimientos!E:E, Movimientos!D:D, A484, Movimientos!C:C, "Ajuste", Movimientos!F:F, "TIN")),"")</f>
        <v/>
      </c>
      <c r="F484" s="6" t="str">
        <f aca="false">IFERROR(IF(A484="","",SUMIFS(Movimientos!E:E, Movimientos!D:D, A484, Movimientos!C:C, "Ingreso", Movimientos!G:G, "G1000")+SUMIFS(Movimientos!E:E, Movimientos!D:D, A484, Movimientos!C:C, "Traslado", Movimientos!G:G, "G1000")-SUMIFS(Movimientos!E:E, Movimientos!D:D, A484, Movimientos!C:C, "Traslado", Movimientos!F:F, "G1000")-SUMIFS(Movimientos!E:E, Movimientos!D:D, A484, Movimientos!C:C, "Egreso", Movimientos!F:F, "G1000")+SUMIFS(Movimientos!E:E, Movimientos!D:D, A484, Movimientos!C:C, "Ajuste", Movimientos!F:F, "G1000")),"")</f>
        <v/>
      </c>
      <c r="G484" s="6" t="str">
        <f aca="false">IFERROR(IF(A484="","",SUMIFS(Movimientos!E:E, Movimientos!D:D, A484, Movimientos!C:C, "Ingreso", Movimientos!G:G, "G710")+SUMIFS(Movimientos!E:E, Movimientos!D:D, A484, Movimientos!C:C, "Traslado", Movimientos!G:G, "G710")-SUMIFS(Movimientos!E:E, Movimientos!D:D, A484, Movimientos!C:C, "Traslado", Movimientos!F:F, "G710")-SUMIFS(Movimientos!E:E, Movimientos!D:D, A484, Movimientos!C:C, "Egreso", Movimientos!F:F, "G710")+SUMIFS(Movimientos!E:E, Movimientos!D:D, A484, Movimientos!C:C, "Ajuste", Movimientos!F:F, "G710")),"")</f>
        <v/>
      </c>
      <c r="H484" s="6" t="str">
        <f aca="false">IFERROR(IF(A484="","",SUMIFS(Movimientos!E:E, Movimientos!D:D, A484, Movimientos!C:C, "Ingreso", Movimientos!G:G, "G5000")+SUMIFS(Movimientos!E:E, Movimientos!D:D, A484, Movimientos!C:C, "Traslado", Movimientos!G:G, "G5000")-SUMIFS(Movimientos!E:E, Movimientos!D:D, A484, Movimientos!C:C, "Traslado", Movimientos!F:F, "G5000")-SUMIFS(Movimientos!E:E, Movimientos!D:D, A484, Movimientos!C:C, "Egreso", Movimientos!F:F, "G5000")+SUMIFS(Movimientos!E:E, Movimientos!D:D, A484, Movimientos!C:C, "Ajuste", Movimientos!F:F, "G5000")),"")</f>
        <v/>
      </c>
      <c r="I484" s="6" t="str">
        <f aca="false">IFERROR(IF(A484="","",SUMIFS(Movimientos!E:E, Movimientos!D:D, A484, Movimientos!C:C, "Ingreso", Movimientos!G:G, "G3")+SUMIFS(Movimientos!E:E, Movimientos!D:D, A484, Movimientos!C:C, "Traslado", Movimientos!G:G, "G3")-SUMIFS(Movimientos!E:E, Movimientos!D:D, A484, Movimientos!C:C, "Traslado", Movimientos!F:F, "G3")-SUMIFS(Movimientos!E:E, Movimientos!D:D, A484, Movimientos!C:C, "Egreso", Movimientos!F:F, "G3")+SUMIFS(Movimientos!E:E, Movimientos!D:D, A484, Movimientos!C:C, "Ajuste", Movimientos!F:F, "G3")),"")</f>
        <v/>
      </c>
      <c r="J484" s="6" t="str">
        <f aca="false">IFERROR(IF(A484="","",SUM(E484:I484)),"")</f>
        <v/>
      </c>
      <c r="K484" s="6" t="str">
        <f aca="false">IFERROR(IF(A484="","",SUMIFS(Movimientos!E:E, Movimientos!D:D, A484, Movimientos!C:C, "Reserva")-SUMIFS(Movimientos!E:E, Movimientos!D:D, A484, Movimientos!C:C, "Libera_Reserva")),"")</f>
        <v/>
      </c>
      <c r="L484" s="6" t="str">
        <f aca="false">IFERROR(IF(A484="","",J484-K484),"")</f>
        <v/>
      </c>
      <c r="M484" s="6" t="str">
        <f aca="false">IFERROR(IF(Productos!A484="","",Productos!G484),"")</f>
        <v/>
      </c>
      <c r="N484" s="6" t="str">
        <f aca="false">IFERROR(IF(A484="","",IF(L484&lt;M484,"BAJO STOCK","OK")),"")</f>
        <v/>
      </c>
    </row>
    <row r="485" customFormat="false" ht="15" hidden="false" customHeight="false" outlineLevel="0" collapsed="false">
      <c r="A485" s="0" t="str">
        <f aca="false">IFERROR(IF(Productos!A485="","",Productos!A485),"")</f>
        <v/>
      </c>
      <c r="B485" s="0" t="str">
        <f aca="false">IFERROR(IF(Productos!A485="","",Productos!B485),"")</f>
        <v/>
      </c>
      <c r="C485" s="0" t="str">
        <f aca="false">IFERROR(IF(Productos!A485="","",Productos!C485),"")</f>
        <v/>
      </c>
      <c r="D485" s="0" t="str">
        <f aca="false">IFERROR(IF(Productos!A485="","",Productos!E485),"")</f>
        <v/>
      </c>
      <c r="E485" s="6" t="str">
        <f aca="false">IFERROR(IF(A485="","",SUMIFS(Movimientos!E:E, Movimientos!D:D, A485, Movimientos!C:C, "Ingreso", Movimientos!G:G, "TIN")+SUMIFS(Movimientos!E:E, Movimientos!D:D, A485, Movimientos!C:C, "Traslado", Movimientos!G:G, "TIN")-SUMIFS(Movimientos!E:E, Movimientos!D:D, A485, Movimientos!C:C, "Traslado", Movimientos!F:F, "TIN")-SUMIFS(Movimientos!E:E, Movimientos!D:D, A485, Movimientos!C:C, "Egreso", Movimientos!F:F, "TIN")+SUMIFS(Movimientos!E:E, Movimientos!D:D, A485, Movimientos!C:C, "Ajuste", Movimientos!F:F, "TIN")),"")</f>
        <v/>
      </c>
      <c r="F485" s="6" t="str">
        <f aca="false">IFERROR(IF(A485="","",SUMIFS(Movimientos!E:E, Movimientos!D:D, A485, Movimientos!C:C, "Ingreso", Movimientos!G:G, "G1000")+SUMIFS(Movimientos!E:E, Movimientos!D:D, A485, Movimientos!C:C, "Traslado", Movimientos!G:G, "G1000")-SUMIFS(Movimientos!E:E, Movimientos!D:D, A485, Movimientos!C:C, "Traslado", Movimientos!F:F, "G1000")-SUMIFS(Movimientos!E:E, Movimientos!D:D, A485, Movimientos!C:C, "Egreso", Movimientos!F:F, "G1000")+SUMIFS(Movimientos!E:E, Movimientos!D:D, A485, Movimientos!C:C, "Ajuste", Movimientos!F:F, "G1000")),"")</f>
        <v/>
      </c>
      <c r="G485" s="6" t="str">
        <f aca="false">IFERROR(IF(A485="","",SUMIFS(Movimientos!E:E, Movimientos!D:D, A485, Movimientos!C:C, "Ingreso", Movimientos!G:G, "G710")+SUMIFS(Movimientos!E:E, Movimientos!D:D, A485, Movimientos!C:C, "Traslado", Movimientos!G:G, "G710")-SUMIFS(Movimientos!E:E, Movimientos!D:D, A485, Movimientos!C:C, "Traslado", Movimientos!F:F, "G710")-SUMIFS(Movimientos!E:E, Movimientos!D:D, A485, Movimientos!C:C, "Egreso", Movimientos!F:F, "G710")+SUMIFS(Movimientos!E:E, Movimientos!D:D, A485, Movimientos!C:C, "Ajuste", Movimientos!F:F, "G710")),"")</f>
        <v/>
      </c>
      <c r="H485" s="6" t="str">
        <f aca="false">IFERROR(IF(A485="","",SUMIFS(Movimientos!E:E, Movimientos!D:D, A485, Movimientos!C:C, "Ingreso", Movimientos!G:G, "G5000")+SUMIFS(Movimientos!E:E, Movimientos!D:D, A485, Movimientos!C:C, "Traslado", Movimientos!G:G, "G5000")-SUMIFS(Movimientos!E:E, Movimientos!D:D, A485, Movimientos!C:C, "Traslado", Movimientos!F:F, "G5000")-SUMIFS(Movimientos!E:E, Movimientos!D:D, A485, Movimientos!C:C, "Egreso", Movimientos!F:F, "G5000")+SUMIFS(Movimientos!E:E, Movimientos!D:D, A485, Movimientos!C:C, "Ajuste", Movimientos!F:F, "G5000")),"")</f>
        <v/>
      </c>
      <c r="I485" s="6" t="str">
        <f aca="false">IFERROR(IF(A485="","",SUMIFS(Movimientos!E:E, Movimientos!D:D, A485, Movimientos!C:C, "Ingreso", Movimientos!G:G, "G3")+SUMIFS(Movimientos!E:E, Movimientos!D:D, A485, Movimientos!C:C, "Traslado", Movimientos!G:G, "G3")-SUMIFS(Movimientos!E:E, Movimientos!D:D, A485, Movimientos!C:C, "Traslado", Movimientos!F:F, "G3")-SUMIFS(Movimientos!E:E, Movimientos!D:D, A485, Movimientos!C:C, "Egreso", Movimientos!F:F, "G3")+SUMIFS(Movimientos!E:E, Movimientos!D:D, A485, Movimientos!C:C, "Ajuste", Movimientos!F:F, "G3")),"")</f>
        <v/>
      </c>
      <c r="J485" s="6" t="str">
        <f aca="false">IFERROR(IF(A485="","",SUM(E485:I485)),"")</f>
        <v/>
      </c>
      <c r="K485" s="6" t="str">
        <f aca="false">IFERROR(IF(A485="","",SUMIFS(Movimientos!E:E, Movimientos!D:D, A485, Movimientos!C:C, "Reserva")-SUMIFS(Movimientos!E:E, Movimientos!D:D, A485, Movimientos!C:C, "Libera_Reserva")),"")</f>
        <v/>
      </c>
      <c r="L485" s="6" t="str">
        <f aca="false">IFERROR(IF(A485="","",J485-K485),"")</f>
        <v/>
      </c>
      <c r="M485" s="6" t="str">
        <f aca="false">IFERROR(IF(Productos!A485="","",Productos!G485),"")</f>
        <v/>
      </c>
      <c r="N485" s="6" t="str">
        <f aca="false">IFERROR(IF(A485="","",IF(L485&lt;M485,"BAJO STOCK","OK")),"")</f>
        <v/>
      </c>
    </row>
    <row r="486" customFormat="false" ht="15" hidden="false" customHeight="false" outlineLevel="0" collapsed="false">
      <c r="A486" s="0" t="str">
        <f aca="false">IFERROR(IF(Productos!A486="","",Productos!A486),"")</f>
        <v/>
      </c>
      <c r="B486" s="0" t="str">
        <f aca="false">IFERROR(IF(Productos!A486="","",Productos!B486),"")</f>
        <v/>
      </c>
      <c r="C486" s="0" t="str">
        <f aca="false">IFERROR(IF(Productos!A486="","",Productos!C486),"")</f>
        <v/>
      </c>
      <c r="D486" s="0" t="str">
        <f aca="false">IFERROR(IF(Productos!A486="","",Productos!E486),"")</f>
        <v/>
      </c>
      <c r="E486" s="6" t="str">
        <f aca="false">IFERROR(IF(A486="","",SUMIFS(Movimientos!E:E, Movimientos!D:D, A486, Movimientos!C:C, "Ingreso", Movimientos!G:G, "TIN")+SUMIFS(Movimientos!E:E, Movimientos!D:D, A486, Movimientos!C:C, "Traslado", Movimientos!G:G, "TIN")-SUMIFS(Movimientos!E:E, Movimientos!D:D, A486, Movimientos!C:C, "Traslado", Movimientos!F:F, "TIN")-SUMIFS(Movimientos!E:E, Movimientos!D:D, A486, Movimientos!C:C, "Egreso", Movimientos!F:F, "TIN")+SUMIFS(Movimientos!E:E, Movimientos!D:D, A486, Movimientos!C:C, "Ajuste", Movimientos!F:F, "TIN")),"")</f>
        <v/>
      </c>
      <c r="F486" s="6" t="str">
        <f aca="false">IFERROR(IF(A486="","",SUMIFS(Movimientos!E:E, Movimientos!D:D, A486, Movimientos!C:C, "Ingreso", Movimientos!G:G, "G1000")+SUMIFS(Movimientos!E:E, Movimientos!D:D, A486, Movimientos!C:C, "Traslado", Movimientos!G:G, "G1000")-SUMIFS(Movimientos!E:E, Movimientos!D:D, A486, Movimientos!C:C, "Traslado", Movimientos!F:F, "G1000")-SUMIFS(Movimientos!E:E, Movimientos!D:D, A486, Movimientos!C:C, "Egreso", Movimientos!F:F, "G1000")+SUMIFS(Movimientos!E:E, Movimientos!D:D, A486, Movimientos!C:C, "Ajuste", Movimientos!F:F, "G1000")),"")</f>
        <v/>
      </c>
      <c r="G486" s="6" t="str">
        <f aca="false">IFERROR(IF(A486="","",SUMIFS(Movimientos!E:E, Movimientos!D:D, A486, Movimientos!C:C, "Ingreso", Movimientos!G:G, "G710")+SUMIFS(Movimientos!E:E, Movimientos!D:D, A486, Movimientos!C:C, "Traslado", Movimientos!G:G, "G710")-SUMIFS(Movimientos!E:E, Movimientos!D:D, A486, Movimientos!C:C, "Traslado", Movimientos!F:F, "G710")-SUMIFS(Movimientos!E:E, Movimientos!D:D, A486, Movimientos!C:C, "Egreso", Movimientos!F:F, "G710")+SUMIFS(Movimientos!E:E, Movimientos!D:D, A486, Movimientos!C:C, "Ajuste", Movimientos!F:F, "G710")),"")</f>
        <v/>
      </c>
      <c r="H486" s="6" t="str">
        <f aca="false">IFERROR(IF(A486="","",SUMIFS(Movimientos!E:E, Movimientos!D:D, A486, Movimientos!C:C, "Ingreso", Movimientos!G:G, "G5000")+SUMIFS(Movimientos!E:E, Movimientos!D:D, A486, Movimientos!C:C, "Traslado", Movimientos!G:G, "G5000")-SUMIFS(Movimientos!E:E, Movimientos!D:D, A486, Movimientos!C:C, "Traslado", Movimientos!F:F, "G5000")-SUMIFS(Movimientos!E:E, Movimientos!D:D, A486, Movimientos!C:C, "Egreso", Movimientos!F:F, "G5000")+SUMIFS(Movimientos!E:E, Movimientos!D:D, A486, Movimientos!C:C, "Ajuste", Movimientos!F:F, "G5000")),"")</f>
        <v/>
      </c>
      <c r="I486" s="6" t="str">
        <f aca="false">IFERROR(IF(A486="","",SUMIFS(Movimientos!E:E, Movimientos!D:D, A486, Movimientos!C:C, "Ingreso", Movimientos!G:G, "G3")+SUMIFS(Movimientos!E:E, Movimientos!D:D, A486, Movimientos!C:C, "Traslado", Movimientos!G:G, "G3")-SUMIFS(Movimientos!E:E, Movimientos!D:D, A486, Movimientos!C:C, "Traslado", Movimientos!F:F, "G3")-SUMIFS(Movimientos!E:E, Movimientos!D:D, A486, Movimientos!C:C, "Egreso", Movimientos!F:F, "G3")+SUMIFS(Movimientos!E:E, Movimientos!D:D, A486, Movimientos!C:C, "Ajuste", Movimientos!F:F, "G3")),"")</f>
        <v/>
      </c>
      <c r="J486" s="6" t="str">
        <f aca="false">IFERROR(IF(A486="","",SUM(E486:I486)),"")</f>
        <v/>
      </c>
      <c r="K486" s="6" t="str">
        <f aca="false">IFERROR(IF(A486="","",SUMIFS(Movimientos!E:E, Movimientos!D:D, A486, Movimientos!C:C, "Reserva")-SUMIFS(Movimientos!E:E, Movimientos!D:D, A486, Movimientos!C:C, "Libera_Reserva")),"")</f>
        <v/>
      </c>
      <c r="L486" s="6" t="str">
        <f aca="false">IFERROR(IF(A486="","",J486-K486),"")</f>
        <v/>
      </c>
      <c r="M486" s="6" t="str">
        <f aca="false">IFERROR(IF(Productos!A486="","",Productos!G486),"")</f>
        <v/>
      </c>
      <c r="N486" s="6" t="str">
        <f aca="false">IFERROR(IF(A486="","",IF(L486&lt;M486,"BAJO STOCK","OK")),"")</f>
        <v/>
      </c>
    </row>
    <row r="487" customFormat="false" ht="15" hidden="false" customHeight="false" outlineLevel="0" collapsed="false">
      <c r="A487" s="0" t="str">
        <f aca="false">IFERROR(IF(Productos!A487="","",Productos!A487),"")</f>
        <v/>
      </c>
      <c r="B487" s="0" t="str">
        <f aca="false">IFERROR(IF(Productos!A487="","",Productos!B487),"")</f>
        <v/>
      </c>
      <c r="C487" s="0" t="str">
        <f aca="false">IFERROR(IF(Productos!A487="","",Productos!C487),"")</f>
        <v/>
      </c>
      <c r="D487" s="0" t="str">
        <f aca="false">IFERROR(IF(Productos!A487="","",Productos!E487),"")</f>
        <v/>
      </c>
      <c r="E487" s="6" t="str">
        <f aca="false">IFERROR(IF(A487="","",SUMIFS(Movimientos!E:E, Movimientos!D:D, A487, Movimientos!C:C, "Ingreso", Movimientos!G:G, "TIN")+SUMIFS(Movimientos!E:E, Movimientos!D:D, A487, Movimientos!C:C, "Traslado", Movimientos!G:G, "TIN")-SUMIFS(Movimientos!E:E, Movimientos!D:D, A487, Movimientos!C:C, "Traslado", Movimientos!F:F, "TIN")-SUMIFS(Movimientos!E:E, Movimientos!D:D, A487, Movimientos!C:C, "Egreso", Movimientos!F:F, "TIN")+SUMIFS(Movimientos!E:E, Movimientos!D:D, A487, Movimientos!C:C, "Ajuste", Movimientos!F:F, "TIN")),"")</f>
        <v/>
      </c>
      <c r="F487" s="6" t="str">
        <f aca="false">IFERROR(IF(A487="","",SUMIFS(Movimientos!E:E, Movimientos!D:D, A487, Movimientos!C:C, "Ingreso", Movimientos!G:G, "G1000")+SUMIFS(Movimientos!E:E, Movimientos!D:D, A487, Movimientos!C:C, "Traslado", Movimientos!G:G, "G1000")-SUMIFS(Movimientos!E:E, Movimientos!D:D, A487, Movimientos!C:C, "Traslado", Movimientos!F:F, "G1000")-SUMIFS(Movimientos!E:E, Movimientos!D:D, A487, Movimientos!C:C, "Egreso", Movimientos!F:F, "G1000")+SUMIFS(Movimientos!E:E, Movimientos!D:D, A487, Movimientos!C:C, "Ajuste", Movimientos!F:F, "G1000")),"")</f>
        <v/>
      </c>
      <c r="G487" s="6" t="str">
        <f aca="false">IFERROR(IF(A487="","",SUMIFS(Movimientos!E:E, Movimientos!D:D, A487, Movimientos!C:C, "Ingreso", Movimientos!G:G, "G710")+SUMIFS(Movimientos!E:E, Movimientos!D:D, A487, Movimientos!C:C, "Traslado", Movimientos!G:G, "G710")-SUMIFS(Movimientos!E:E, Movimientos!D:D, A487, Movimientos!C:C, "Traslado", Movimientos!F:F, "G710")-SUMIFS(Movimientos!E:E, Movimientos!D:D, A487, Movimientos!C:C, "Egreso", Movimientos!F:F, "G710")+SUMIFS(Movimientos!E:E, Movimientos!D:D, A487, Movimientos!C:C, "Ajuste", Movimientos!F:F, "G710")),"")</f>
        <v/>
      </c>
      <c r="H487" s="6" t="str">
        <f aca="false">IFERROR(IF(A487="","",SUMIFS(Movimientos!E:E, Movimientos!D:D, A487, Movimientos!C:C, "Ingreso", Movimientos!G:G, "G5000")+SUMIFS(Movimientos!E:E, Movimientos!D:D, A487, Movimientos!C:C, "Traslado", Movimientos!G:G, "G5000")-SUMIFS(Movimientos!E:E, Movimientos!D:D, A487, Movimientos!C:C, "Traslado", Movimientos!F:F, "G5000")-SUMIFS(Movimientos!E:E, Movimientos!D:D, A487, Movimientos!C:C, "Egreso", Movimientos!F:F, "G5000")+SUMIFS(Movimientos!E:E, Movimientos!D:D, A487, Movimientos!C:C, "Ajuste", Movimientos!F:F, "G5000")),"")</f>
        <v/>
      </c>
      <c r="I487" s="6" t="str">
        <f aca="false">IFERROR(IF(A487="","",SUMIFS(Movimientos!E:E, Movimientos!D:D, A487, Movimientos!C:C, "Ingreso", Movimientos!G:G, "G3")+SUMIFS(Movimientos!E:E, Movimientos!D:D, A487, Movimientos!C:C, "Traslado", Movimientos!G:G, "G3")-SUMIFS(Movimientos!E:E, Movimientos!D:D, A487, Movimientos!C:C, "Traslado", Movimientos!F:F, "G3")-SUMIFS(Movimientos!E:E, Movimientos!D:D, A487, Movimientos!C:C, "Egreso", Movimientos!F:F, "G3")+SUMIFS(Movimientos!E:E, Movimientos!D:D, A487, Movimientos!C:C, "Ajuste", Movimientos!F:F, "G3")),"")</f>
        <v/>
      </c>
      <c r="J487" s="6" t="str">
        <f aca="false">IFERROR(IF(A487="","",SUM(E487:I487)),"")</f>
        <v/>
      </c>
      <c r="K487" s="6" t="str">
        <f aca="false">IFERROR(IF(A487="","",SUMIFS(Movimientos!E:E, Movimientos!D:D, A487, Movimientos!C:C, "Reserva")-SUMIFS(Movimientos!E:E, Movimientos!D:D, A487, Movimientos!C:C, "Libera_Reserva")),"")</f>
        <v/>
      </c>
      <c r="L487" s="6" t="str">
        <f aca="false">IFERROR(IF(A487="","",J487-K487),"")</f>
        <v/>
      </c>
      <c r="M487" s="6" t="str">
        <f aca="false">IFERROR(IF(Productos!A487="","",Productos!G487),"")</f>
        <v/>
      </c>
      <c r="N487" s="6" t="str">
        <f aca="false">IFERROR(IF(A487="","",IF(L487&lt;M487,"BAJO STOCK","OK")),"")</f>
        <v/>
      </c>
    </row>
    <row r="488" customFormat="false" ht="15" hidden="false" customHeight="false" outlineLevel="0" collapsed="false">
      <c r="A488" s="0" t="str">
        <f aca="false">IFERROR(IF(Productos!A488="","",Productos!A488),"")</f>
        <v/>
      </c>
      <c r="B488" s="0" t="str">
        <f aca="false">IFERROR(IF(Productos!A488="","",Productos!B488),"")</f>
        <v/>
      </c>
      <c r="C488" s="0" t="str">
        <f aca="false">IFERROR(IF(Productos!A488="","",Productos!C488),"")</f>
        <v/>
      </c>
      <c r="D488" s="0" t="str">
        <f aca="false">IFERROR(IF(Productos!A488="","",Productos!E488),"")</f>
        <v/>
      </c>
      <c r="E488" s="6" t="str">
        <f aca="false">IFERROR(IF(A488="","",SUMIFS(Movimientos!E:E, Movimientos!D:D, A488, Movimientos!C:C, "Ingreso", Movimientos!G:G, "TIN")+SUMIFS(Movimientos!E:E, Movimientos!D:D, A488, Movimientos!C:C, "Traslado", Movimientos!G:G, "TIN")-SUMIFS(Movimientos!E:E, Movimientos!D:D, A488, Movimientos!C:C, "Traslado", Movimientos!F:F, "TIN")-SUMIFS(Movimientos!E:E, Movimientos!D:D, A488, Movimientos!C:C, "Egreso", Movimientos!F:F, "TIN")+SUMIFS(Movimientos!E:E, Movimientos!D:D, A488, Movimientos!C:C, "Ajuste", Movimientos!F:F, "TIN")),"")</f>
        <v/>
      </c>
      <c r="F488" s="6" t="str">
        <f aca="false">IFERROR(IF(A488="","",SUMIFS(Movimientos!E:E, Movimientos!D:D, A488, Movimientos!C:C, "Ingreso", Movimientos!G:G, "G1000")+SUMIFS(Movimientos!E:E, Movimientos!D:D, A488, Movimientos!C:C, "Traslado", Movimientos!G:G, "G1000")-SUMIFS(Movimientos!E:E, Movimientos!D:D, A488, Movimientos!C:C, "Traslado", Movimientos!F:F, "G1000")-SUMIFS(Movimientos!E:E, Movimientos!D:D, A488, Movimientos!C:C, "Egreso", Movimientos!F:F, "G1000")+SUMIFS(Movimientos!E:E, Movimientos!D:D, A488, Movimientos!C:C, "Ajuste", Movimientos!F:F, "G1000")),"")</f>
        <v/>
      </c>
      <c r="G488" s="6" t="str">
        <f aca="false">IFERROR(IF(A488="","",SUMIFS(Movimientos!E:E, Movimientos!D:D, A488, Movimientos!C:C, "Ingreso", Movimientos!G:G, "G710")+SUMIFS(Movimientos!E:E, Movimientos!D:D, A488, Movimientos!C:C, "Traslado", Movimientos!G:G, "G710")-SUMIFS(Movimientos!E:E, Movimientos!D:D, A488, Movimientos!C:C, "Traslado", Movimientos!F:F, "G710")-SUMIFS(Movimientos!E:E, Movimientos!D:D, A488, Movimientos!C:C, "Egreso", Movimientos!F:F, "G710")+SUMIFS(Movimientos!E:E, Movimientos!D:D, A488, Movimientos!C:C, "Ajuste", Movimientos!F:F, "G710")),"")</f>
        <v/>
      </c>
      <c r="H488" s="6" t="str">
        <f aca="false">IFERROR(IF(A488="","",SUMIFS(Movimientos!E:E, Movimientos!D:D, A488, Movimientos!C:C, "Ingreso", Movimientos!G:G, "G5000")+SUMIFS(Movimientos!E:E, Movimientos!D:D, A488, Movimientos!C:C, "Traslado", Movimientos!G:G, "G5000")-SUMIFS(Movimientos!E:E, Movimientos!D:D, A488, Movimientos!C:C, "Traslado", Movimientos!F:F, "G5000")-SUMIFS(Movimientos!E:E, Movimientos!D:D, A488, Movimientos!C:C, "Egreso", Movimientos!F:F, "G5000")+SUMIFS(Movimientos!E:E, Movimientos!D:D, A488, Movimientos!C:C, "Ajuste", Movimientos!F:F, "G5000")),"")</f>
        <v/>
      </c>
      <c r="I488" s="6" t="str">
        <f aca="false">IFERROR(IF(A488="","",SUMIFS(Movimientos!E:E, Movimientos!D:D, A488, Movimientos!C:C, "Ingreso", Movimientos!G:G, "G3")+SUMIFS(Movimientos!E:E, Movimientos!D:D, A488, Movimientos!C:C, "Traslado", Movimientos!G:G, "G3")-SUMIFS(Movimientos!E:E, Movimientos!D:D, A488, Movimientos!C:C, "Traslado", Movimientos!F:F, "G3")-SUMIFS(Movimientos!E:E, Movimientos!D:D, A488, Movimientos!C:C, "Egreso", Movimientos!F:F, "G3")+SUMIFS(Movimientos!E:E, Movimientos!D:D, A488, Movimientos!C:C, "Ajuste", Movimientos!F:F, "G3")),"")</f>
        <v/>
      </c>
      <c r="J488" s="6" t="str">
        <f aca="false">IFERROR(IF(A488="","",SUM(E488:I488)),"")</f>
        <v/>
      </c>
      <c r="K488" s="6" t="str">
        <f aca="false">IFERROR(IF(A488="","",SUMIFS(Movimientos!E:E, Movimientos!D:D, A488, Movimientos!C:C, "Reserva")-SUMIFS(Movimientos!E:E, Movimientos!D:D, A488, Movimientos!C:C, "Libera_Reserva")),"")</f>
        <v/>
      </c>
      <c r="L488" s="6" t="str">
        <f aca="false">IFERROR(IF(A488="","",J488-K488),"")</f>
        <v/>
      </c>
      <c r="M488" s="6" t="str">
        <f aca="false">IFERROR(IF(Productos!A488="","",Productos!G488),"")</f>
        <v/>
      </c>
      <c r="N488" s="6" t="str">
        <f aca="false">IFERROR(IF(A488="","",IF(L488&lt;M488,"BAJO STOCK","OK")),"")</f>
        <v/>
      </c>
    </row>
    <row r="489" customFormat="false" ht="15" hidden="false" customHeight="false" outlineLevel="0" collapsed="false">
      <c r="A489" s="0" t="str">
        <f aca="false">IFERROR(IF(Productos!A489="","",Productos!A489),"")</f>
        <v/>
      </c>
      <c r="B489" s="0" t="str">
        <f aca="false">IFERROR(IF(Productos!A489="","",Productos!B489),"")</f>
        <v/>
      </c>
      <c r="C489" s="0" t="str">
        <f aca="false">IFERROR(IF(Productos!A489="","",Productos!C489),"")</f>
        <v/>
      </c>
      <c r="D489" s="0" t="str">
        <f aca="false">IFERROR(IF(Productos!A489="","",Productos!E489),"")</f>
        <v/>
      </c>
      <c r="E489" s="6" t="str">
        <f aca="false">IFERROR(IF(A489="","",SUMIFS(Movimientos!E:E, Movimientos!D:D, A489, Movimientos!C:C, "Ingreso", Movimientos!G:G, "TIN")+SUMIFS(Movimientos!E:E, Movimientos!D:D, A489, Movimientos!C:C, "Traslado", Movimientos!G:G, "TIN")-SUMIFS(Movimientos!E:E, Movimientos!D:D, A489, Movimientos!C:C, "Traslado", Movimientos!F:F, "TIN")-SUMIFS(Movimientos!E:E, Movimientos!D:D, A489, Movimientos!C:C, "Egreso", Movimientos!F:F, "TIN")+SUMIFS(Movimientos!E:E, Movimientos!D:D, A489, Movimientos!C:C, "Ajuste", Movimientos!F:F, "TIN")),"")</f>
        <v/>
      </c>
      <c r="F489" s="6" t="str">
        <f aca="false">IFERROR(IF(A489="","",SUMIFS(Movimientos!E:E, Movimientos!D:D, A489, Movimientos!C:C, "Ingreso", Movimientos!G:G, "G1000")+SUMIFS(Movimientos!E:E, Movimientos!D:D, A489, Movimientos!C:C, "Traslado", Movimientos!G:G, "G1000")-SUMIFS(Movimientos!E:E, Movimientos!D:D, A489, Movimientos!C:C, "Traslado", Movimientos!F:F, "G1000")-SUMIFS(Movimientos!E:E, Movimientos!D:D, A489, Movimientos!C:C, "Egreso", Movimientos!F:F, "G1000")+SUMIFS(Movimientos!E:E, Movimientos!D:D, A489, Movimientos!C:C, "Ajuste", Movimientos!F:F, "G1000")),"")</f>
        <v/>
      </c>
      <c r="G489" s="6" t="str">
        <f aca="false">IFERROR(IF(A489="","",SUMIFS(Movimientos!E:E, Movimientos!D:D, A489, Movimientos!C:C, "Ingreso", Movimientos!G:G, "G710")+SUMIFS(Movimientos!E:E, Movimientos!D:D, A489, Movimientos!C:C, "Traslado", Movimientos!G:G, "G710")-SUMIFS(Movimientos!E:E, Movimientos!D:D, A489, Movimientos!C:C, "Traslado", Movimientos!F:F, "G710")-SUMIFS(Movimientos!E:E, Movimientos!D:D, A489, Movimientos!C:C, "Egreso", Movimientos!F:F, "G710")+SUMIFS(Movimientos!E:E, Movimientos!D:D, A489, Movimientos!C:C, "Ajuste", Movimientos!F:F, "G710")),"")</f>
        <v/>
      </c>
      <c r="H489" s="6" t="str">
        <f aca="false">IFERROR(IF(A489="","",SUMIFS(Movimientos!E:E, Movimientos!D:D, A489, Movimientos!C:C, "Ingreso", Movimientos!G:G, "G5000")+SUMIFS(Movimientos!E:E, Movimientos!D:D, A489, Movimientos!C:C, "Traslado", Movimientos!G:G, "G5000")-SUMIFS(Movimientos!E:E, Movimientos!D:D, A489, Movimientos!C:C, "Traslado", Movimientos!F:F, "G5000")-SUMIFS(Movimientos!E:E, Movimientos!D:D, A489, Movimientos!C:C, "Egreso", Movimientos!F:F, "G5000")+SUMIFS(Movimientos!E:E, Movimientos!D:D, A489, Movimientos!C:C, "Ajuste", Movimientos!F:F, "G5000")),"")</f>
        <v/>
      </c>
      <c r="I489" s="6" t="str">
        <f aca="false">IFERROR(IF(A489="","",SUMIFS(Movimientos!E:E, Movimientos!D:D, A489, Movimientos!C:C, "Ingreso", Movimientos!G:G, "G3")+SUMIFS(Movimientos!E:E, Movimientos!D:D, A489, Movimientos!C:C, "Traslado", Movimientos!G:G, "G3")-SUMIFS(Movimientos!E:E, Movimientos!D:D, A489, Movimientos!C:C, "Traslado", Movimientos!F:F, "G3")-SUMIFS(Movimientos!E:E, Movimientos!D:D, A489, Movimientos!C:C, "Egreso", Movimientos!F:F, "G3")+SUMIFS(Movimientos!E:E, Movimientos!D:D, A489, Movimientos!C:C, "Ajuste", Movimientos!F:F, "G3")),"")</f>
        <v/>
      </c>
      <c r="J489" s="6" t="str">
        <f aca="false">IFERROR(IF(A489="","",SUM(E489:I489)),"")</f>
        <v/>
      </c>
      <c r="K489" s="6" t="str">
        <f aca="false">IFERROR(IF(A489="","",SUMIFS(Movimientos!E:E, Movimientos!D:D, A489, Movimientos!C:C, "Reserva")-SUMIFS(Movimientos!E:E, Movimientos!D:D, A489, Movimientos!C:C, "Libera_Reserva")),"")</f>
        <v/>
      </c>
      <c r="L489" s="6" t="str">
        <f aca="false">IFERROR(IF(A489="","",J489-K489),"")</f>
        <v/>
      </c>
      <c r="M489" s="6" t="str">
        <f aca="false">IFERROR(IF(Productos!A489="","",Productos!G489),"")</f>
        <v/>
      </c>
      <c r="N489" s="6" t="str">
        <f aca="false">IFERROR(IF(A489="","",IF(L489&lt;M489,"BAJO STOCK","OK")),"")</f>
        <v/>
      </c>
    </row>
    <row r="490" customFormat="false" ht="15" hidden="false" customHeight="false" outlineLevel="0" collapsed="false">
      <c r="A490" s="0" t="str">
        <f aca="false">IFERROR(IF(Productos!A490="","",Productos!A490),"")</f>
        <v/>
      </c>
      <c r="B490" s="0" t="str">
        <f aca="false">IFERROR(IF(Productos!A490="","",Productos!B490),"")</f>
        <v/>
      </c>
      <c r="C490" s="0" t="str">
        <f aca="false">IFERROR(IF(Productos!A490="","",Productos!C490),"")</f>
        <v/>
      </c>
      <c r="D490" s="0" t="str">
        <f aca="false">IFERROR(IF(Productos!A490="","",Productos!E490),"")</f>
        <v/>
      </c>
      <c r="E490" s="6" t="str">
        <f aca="false">IFERROR(IF(A490="","",SUMIFS(Movimientos!E:E, Movimientos!D:D, A490, Movimientos!C:C, "Ingreso", Movimientos!G:G, "TIN")+SUMIFS(Movimientos!E:E, Movimientos!D:D, A490, Movimientos!C:C, "Traslado", Movimientos!G:G, "TIN")-SUMIFS(Movimientos!E:E, Movimientos!D:D, A490, Movimientos!C:C, "Traslado", Movimientos!F:F, "TIN")-SUMIFS(Movimientos!E:E, Movimientos!D:D, A490, Movimientos!C:C, "Egreso", Movimientos!F:F, "TIN")+SUMIFS(Movimientos!E:E, Movimientos!D:D, A490, Movimientos!C:C, "Ajuste", Movimientos!F:F, "TIN")),"")</f>
        <v/>
      </c>
      <c r="F490" s="6" t="str">
        <f aca="false">IFERROR(IF(A490="","",SUMIFS(Movimientos!E:E, Movimientos!D:D, A490, Movimientos!C:C, "Ingreso", Movimientos!G:G, "G1000")+SUMIFS(Movimientos!E:E, Movimientos!D:D, A490, Movimientos!C:C, "Traslado", Movimientos!G:G, "G1000")-SUMIFS(Movimientos!E:E, Movimientos!D:D, A490, Movimientos!C:C, "Traslado", Movimientos!F:F, "G1000")-SUMIFS(Movimientos!E:E, Movimientos!D:D, A490, Movimientos!C:C, "Egreso", Movimientos!F:F, "G1000")+SUMIFS(Movimientos!E:E, Movimientos!D:D, A490, Movimientos!C:C, "Ajuste", Movimientos!F:F, "G1000")),"")</f>
        <v/>
      </c>
      <c r="G490" s="6" t="str">
        <f aca="false">IFERROR(IF(A490="","",SUMIFS(Movimientos!E:E, Movimientos!D:D, A490, Movimientos!C:C, "Ingreso", Movimientos!G:G, "G710")+SUMIFS(Movimientos!E:E, Movimientos!D:D, A490, Movimientos!C:C, "Traslado", Movimientos!G:G, "G710")-SUMIFS(Movimientos!E:E, Movimientos!D:D, A490, Movimientos!C:C, "Traslado", Movimientos!F:F, "G710")-SUMIFS(Movimientos!E:E, Movimientos!D:D, A490, Movimientos!C:C, "Egreso", Movimientos!F:F, "G710")+SUMIFS(Movimientos!E:E, Movimientos!D:D, A490, Movimientos!C:C, "Ajuste", Movimientos!F:F, "G710")),"")</f>
        <v/>
      </c>
      <c r="H490" s="6" t="str">
        <f aca="false">IFERROR(IF(A490="","",SUMIFS(Movimientos!E:E, Movimientos!D:D, A490, Movimientos!C:C, "Ingreso", Movimientos!G:G, "G5000")+SUMIFS(Movimientos!E:E, Movimientos!D:D, A490, Movimientos!C:C, "Traslado", Movimientos!G:G, "G5000")-SUMIFS(Movimientos!E:E, Movimientos!D:D, A490, Movimientos!C:C, "Traslado", Movimientos!F:F, "G5000")-SUMIFS(Movimientos!E:E, Movimientos!D:D, A490, Movimientos!C:C, "Egreso", Movimientos!F:F, "G5000")+SUMIFS(Movimientos!E:E, Movimientos!D:D, A490, Movimientos!C:C, "Ajuste", Movimientos!F:F, "G5000")),"")</f>
        <v/>
      </c>
      <c r="I490" s="6" t="str">
        <f aca="false">IFERROR(IF(A490="","",SUMIFS(Movimientos!E:E, Movimientos!D:D, A490, Movimientos!C:C, "Ingreso", Movimientos!G:G, "G3")+SUMIFS(Movimientos!E:E, Movimientos!D:D, A490, Movimientos!C:C, "Traslado", Movimientos!G:G, "G3")-SUMIFS(Movimientos!E:E, Movimientos!D:D, A490, Movimientos!C:C, "Traslado", Movimientos!F:F, "G3")-SUMIFS(Movimientos!E:E, Movimientos!D:D, A490, Movimientos!C:C, "Egreso", Movimientos!F:F, "G3")+SUMIFS(Movimientos!E:E, Movimientos!D:D, A490, Movimientos!C:C, "Ajuste", Movimientos!F:F, "G3")),"")</f>
        <v/>
      </c>
      <c r="J490" s="6" t="str">
        <f aca="false">IFERROR(IF(A490="","",SUM(E490:I490)),"")</f>
        <v/>
      </c>
      <c r="K490" s="6" t="str">
        <f aca="false">IFERROR(IF(A490="","",SUMIFS(Movimientos!E:E, Movimientos!D:D, A490, Movimientos!C:C, "Reserva")-SUMIFS(Movimientos!E:E, Movimientos!D:D, A490, Movimientos!C:C, "Libera_Reserva")),"")</f>
        <v/>
      </c>
      <c r="L490" s="6" t="str">
        <f aca="false">IFERROR(IF(A490="","",J490-K490),"")</f>
        <v/>
      </c>
      <c r="M490" s="6" t="str">
        <f aca="false">IFERROR(IF(Productos!A490="","",Productos!G490),"")</f>
        <v/>
      </c>
      <c r="N490" s="6" t="str">
        <f aca="false">IFERROR(IF(A490="","",IF(L490&lt;M490,"BAJO STOCK","OK")),"")</f>
        <v/>
      </c>
    </row>
    <row r="491" customFormat="false" ht="15" hidden="false" customHeight="false" outlineLevel="0" collapsed="false">
      <c r="A491" s="0" t="str">
        <f aca="false">IFERROR(IF(Productos!A491="","",Productos!A491),"")</f>
        <v/>
      </c>
      <c r="B491" s="0" t="str">
        <f aca="false">IFERROR(IF(Productos!A491="","",Productos!B491),"")</f>
        <v/>
      </c>
      <c r="C491" s="0" t="str">
        <f aca="false">IFERROR(IF(Productos!A491="","",Productos!C491),"")</f>
        <v/>
      </c>
      <c r="D491" s="0" t="str">
        <f aca="false">IFERROR(IF(Productos!A491="","",Productos!E491),"")</f>
        <v/>
      </c>
      <c r="E491" s="6" t="str">
        <f aca="false">IFERROR(IF(A491="","",SUMIFS(Movimientos!E:E, Movimientos!D:D, A491, Movimientos!C:C, "Ingreso", Movimientos!G:G, "TIN")+SUMIFS(Movimientos!E:E, Movimientos!D:D, A491, Movimientos!C:C, "Traslado", Movimientos!G:G, "TIN")-SUMIFS(Movimientos!E:E, Movimientos!D:D, A491, Movimientos!C:C, "Traslado", Movimientos!F:F, "TIN")-SUMIFS(Movimientos!E:E, Movimientos!D:D, A491, Movimientos!C:C, "Egreso", Movimientos!F:F, "TIN")+SUMIFS(Movimientos!E:E, Movimientos!D:D, A491, Movimientos!C:C, "Ajuste", Movimientos!F:F, "TIN")),"")</f>
        <v/>
      </c>
      <c r="F491" s="6" t="str">
        <f aca="false">IFERROR(IF(A491="","",SUMIFS(Movimientos!E:E, Movimientos!D:D, A491, Movimientos!C:C, "Ingreso", Movimientos!G:G, "G1000")+SUMIFS(Movimientos!E:E, Movimientos!D:D, A491, Movimientos!C:C, "Traslado", Movimientos!G:G, "G1000")-SUMIFS(Movimientos!E:E, Movimientos!D:D, A491, Movimientos!C:C, "Traslado", Movimientos!F:F, "G1000")-SUMIFS(Movimientos!E:E, Movimientos!D:D, A491, Movimientos!C:C, "Egreso", Movimientos!F:F, "G1000")+SUMIFS(Movimientos!E:E, Movimientos!D:D, A491, Movimientos!C:C, "Ajuste", Movimientos!F:F, "G1000")),"")</f>
        <v/>
      </c>
      <c r="G491" s="6" t="str">
        <f aca="false">IFERROR(IF(A491="","",SUMIFS(Movimientos!E:E, Movimientos!D:D, A491, Movimientos!C:C, "Ingreso", Movimientos!G:G, "G710")+SUMIFS(Movimientos!E:E, Movimientos!D:D, A491, Movimientos!C:C, "Traslado", Movimientos!G:G, "G710")-SUMIFS(Movimientos!E:E, Movimientos!D:D, A491, Movimientos!C:C, "Traslado", Movimientos!F:F, "G710")-SUMIFS(Movimientos!E:E, Movimientos!D:D, A491, Movimientos!C:C, "Egreso", Movimientos!F:F, "G710")+SUMIFS(Movimientos!E:E, Movimientos!D:D, A491, Movimientos!C:C, "Ajuste", Movimientos!F:F, "G710")),"")</f>
        <v/>
      </c>
      <c r="H491" s="6" t="str">
        <f aca="false">IFERROR(IF(A491="","",SUMIFS(Movimientos!E:E, Movimientos!D:D, A491, Movimientos!C:C, "Ingreso", Movimientos!G:G, "G5000")+SUMIFS(Movimientos!E:E, Movimientos!D:D, A491, Movimientos!C:C, "Traslado", Movimientos!G:G, "G5000")-SUMIFS(Movimientos!E:E, Movimientos!D:D, A491, Movimientos!C:C, "Traslado", Movimientos!F:F, "G5000")-SUMIFS(Movimientos!E:E, Movimientos!D:D, A491, Movimientos!C:C, "Egreso", Movimientos!F:F, "G5000")+SUMIFS(Movimientos!E:E, Movimientos!D:D, A491, Movimientos!C:C, "Ajuste", Movimientos!F:F, "G5000")),"")</f>
        <v/>
      </c>
      <c r="I491" s="6" t="str">
        <f aca="false">IFERROR(IF(A491="","",SUMIFS(Movimientos!E:E, Movimientos!D:D, A491, Movimientos!C:C, "Ingreso", Movimientos!G:G, "G3")+SUMIFS(Movimientos!E:E, Movimientos!D:D, A491, Movimientos!C:C, "Traslado", Movimientos!G:G, "G3")-SUMIFS(Movimientos!E:E, Movimientos!D:D, A491, Movimientos!C:C, "Traslado", Movimientos!F:F, "G3")-SUMIFS(Movimientos!E:E, Movimientos!D:D, A491, Movimientos!C:C, "Egreso", Movimientos!F:F, "G3")+SUMIFS(Movimientos!E:E, Movimientos!D:D, A491, Movimientos!C:C, "Ajuste", Movimientos!F:F, "G3")),"")</f>
        <v/>
      </c>
      <c r="J491" s="6" t="str">
        <f aca="false">IFERROR(IF(A491="","",SUM(E491:I491)),"")</f>
        <v/>
      </c>
      <c r="K491" s="6" t="str">
        <f aca="false">IFERROR(IF(A491="","",SUMIFS(Movimientos!E:E, Movimientos!D:D, A491, Movimientos!C:C, "Reserva")-SUMIFS(Movimientos!E:E, Movimientos!D:D, A491, Movimientos!C:C, "Libera_Reserva")),"")</f>
        <v/>
      </c>
      <c r="L491" s="6" t="str">
        <f aca="false">IFERROR(IF(A491="","",J491-K491),"")</f>
        <v/>
      </c>
      <c r="M491" s="6" t="str">
        <f aca="false">IFERROR(IF(Productos!A491="","",Productos!G491),"")</f>
        <v/>
      </c>
      <c r="N491" s="6" t="str">
        <f aca="false">IFERROR(IF(A491="","",IF(L491&lt;M491,"BAJO STOCK","OK")),"")</f>
        <v/>
      </c>
    </row>
    <row r="492" customFormat="false" ht="15" hidden="false" customHeight="false" outlineLevel="0" collapsed="false">
      <c r="A492" s="0" t="str">
        <f aca="false">IFERROR(IF(Productos!A492="","",Productos!A492),"")</f>
        <v/>
      </c>
      <c r="B492" s="0" t="str">
        <f aca="false">IFERROR(IF(Productos!A492="","",Productos!B492),"")</f>
        <v/>
      </c>
      <c r="C492" s="0" t="str">
        <f aca="false">IFERROR(IF(Productos!A492="","",Productos!C492),"")</f>
        <v/>
      </c>
      <c r="D492" s="0" t="str">
        <f aca="false">IFERROR(IF(Productos!A492="","",Productos!E492),"")</f>
        <v/>
      </c>
      <c r="E492" s="6" t="str">
        <f aca="false">IFERROR(IF(A492="","",SUMIFS(Movimientos!E:E, Movimientos!D:D, A492, Movimientos!C:C, "Ingreso", Movimientos!G:G, "TIN")+SUMIFS(Movimientos!E:E, Movimientos!D:D, A492, Movimientos!C:C, "Traslado", Movimientos!G:G, "TIN")-SUMIFS(Movimientos!E:E, Movimientos!D:D, A492, Movimientos!C:C, "Traslado", Movimientos!F:F, "TIN")-SUMIFS(Movimientos!E:E, Movimientos!D:D, A492, Movimientos!C:C, "Egreso", Movimientos!F:F, "TIN")+SUMIFS(Movimientos!E:E, Movimientos!D:D, A492, Movimientos!C:C, "Ajuste", Movimientos!F:F, "TIN")),"")</f>
        <v/>
      </c>
      <c r="F492" s="6" t="str">
        <f aca="false">IFERROR(IF(A492="","",SUMIFS(Movimientos!E:E, Movimientos!D:D, A492, Movimientos!C:C, "Ingreso", Movimientos!G:G, "G1000")+SUMIFS(Movimientos!E:E, Movimientos!D:D, A492, Movimientos!C:C, "Traslado", Movimientos!G:G, "G1000")-SUMIFS(Movimientos!E:E, Movimientos!D:D, A492, Movimientos!C:C, "Traslado", Movimientos!F:F, "G1000")-SUMIFS(Movimientos!E:E, Movimientos!D:D, A492, Movimientos!C:C, "Egreso", Movimientos!F:F, "G1000")+SUMIFS(Movimientos!E:E, Movimientos!D:D, A492, Movimientos!C:C, "Ajuste", Movimientos!F:F, "G1000")),"")</f>
        <v/>
      </c>
      <c r="G492" s="6" t="str">
        <f aca="false">IFERROR(IF(A492="","",SUMIFS(Movimientos!E:E, Movimientos!D:D, A492, Movimientos!C:C, "Ingreso", Movimientos!G:G, "G710")+SUMIFS(Movimientos!E:E, Movimientos!D:D, A492, Movimientos!C:C, "Traslado", Movimientos!G:G, "G710")-SUMIFS(Movimientos!E:E, Movimientos!D:D, A492, Movimientos!C:C, "Traslado", Movimientos!F:F, "G710")-SUMIFS(Movimientos!E:E, Movimientos!D:D, A492, Movimientos!C:C, "Egreso", Movimientos!F:F, "G710")+SUMIFS(Movimientos!E:E, Movimientos!D:D, A492, Movimientos!C:C, "Ajuste", Movimientos!F:F, "G710")),"")</f>
        <v/>
      </c>
      <c r="H492" s="6" t="str">
        <f aca="false">IFERROR(IF(A492="","",SUMIFS(Movimientos!E:E, Movimientos!D:D, A492, Movimientos!C:C, "Ingreso", Movimientos!G:G, "G5000")+SUMIFS(Movimientos!E:E, Movimientos!D:D, A492, Movimientos!C:C, "Traslado", Movimientos!G:G, "G5000")-SUMIFS(Movimientos!E:E, Movimientos!D:D, A492, Movimientos!C:C, "Traslado", Movimientos!F:F, "G5000")-SUMIFS(Movimientos!E:E, Movimientos!D:D, A492, Movimientos!C:C, "Egreso", Movimientos!F:F, "G5000")+SUMIFS(Movimientos!E:E, Movimientos!D:D, A492, Movimientos!C:C, "Ajuste", Movimientos!F:F, "G5000")),"")</f>
        <v/>
      </c>
      <c r="I492" s="6" t="str">
        <f aca="false">IFERROR(IF(A492="","",SUMIFS(Movimientos!E:E, Movimientos!D:D, A492, Movimientos!C:C, "Ingreso", Movimientos!G:G, "G3")+SUMIFS(Movimientos!E:E, Movimientos!D:D, A492, Movimientos!C:C, "Traslado", Movimientos!G:G, "G3")-SUMIFS(Movimientos!E:E, Movimientos!D:D, A492, Movimientos!C:C, "Traslado", Movimientos!F:F, "G3")-SUMIFS(Movimientos!E:E, Movimientos!D:D, A492, Movimientos!C:C, "Egreso", Movimientos!F:F, "G3")+SUMIFS(Movimientos!E:E, Movimientos!D:D, A492, Movimientos!C:C, "Ajuste", Movimientos!F:F, "G3")),"")</f>
        <v/>
      </c>
      <c r="J492" s="6" t="str">
        <f aca="false">IFERROR(IF(A492="","",SUM(E492:I492)),"")</f>
        <v/>
      </c>
      <c r="K492" s="6" t="str">
        <f aca="false">IFERROR(IF(A492="","",SUMIFS(Movimientos!E:E, Movimientos!D:D, A492, Movimientos!C:C, "Reserva")-SUMIFS(Movimientos!E:E, Movimientos!D:D, A492, Movimientos!C:C, "Libera_Reserva")),"")</f>
        <v/>
      </c>
      <c r="L492" s="6" t="str">
        <f aca="false">IFERROR(IF(A492="","",J492-K492),"")</f>
        <v/>
      </c>
      <c r="M492" s="6" t="str">
        <f aca="false">IFERROR(IF(Productos!A492="","",Productos!G492),"")</f>
        <v/>
      </c>
      <c r="N492" s="6" t="str">
        <f aca="false">IFERROR(IF(A492="","",IF(L492&lt;M492,"BAJO STOCK","OK")),"")</f>
        <v/>
      </c>
    </row>
    <row r="493" customFormat="false" ht="15" hidden="false" customHeight="false" outlineLevel="0" collapsed="false">
      <c r="A493" s="0" t="str">
        <f aca="false">IFERROR(IF(Productos!A493="","",Productos!A493),"")</f>
        <v/>
      </c>
      <c r="B493" s="0" t="str">
        <f aca="false">IFERROR(IF(Productos!A493="","",Productos!B493),"")</f>
        <v/>
      </c>
      <c r="C493" s="0" t="str">
        <f aca="false">IFERROR(IF(Productos!A493="","",Productos!C493),"")</f>
        <v/>
      </c>
      <c r="D493" s="0" t="str">
        <f aca="false">IFERROR(IF(Productos!A493="","",Productos!E493),"")</f>
        <v/>
      </c>
      <c r="E493" s="6" t="str">
        <f aca="false">IFERROR(IF(A493="","",SUMIFS(Movimientos!E:E, Movimientos!D:D, A493, Movimientos!C:C, "Ingreso", Movimientos!G:G, "TIN")+SUMIFS(Movimientos!E:E, Movimientos!D:D, A493, Movimientos!C:C, "Traslado", Movimientos!G:G, "TIN")-SUMIFS(Movimientos!E:E, Movimientos!D:D, A493, Movimientos!C:C, "Traslado", Movimientos!F:F, "TIN")-SUMIFS(Movimientos!E:E, Movimientos!D:D, A493, Movimientos!C:C, "Egreso", Movimientos!F:F, "TIN")+SUMIFS(Movimientos!E:E, Movimientos!D:D, A493, Movimientos!C:C, "Ajuste", Movimientos!F:F, "TIN")),"")</f>
        <v/>
      </c>
      <c r="F493" s="6" t="str">
        <f aca="false">IFERROR(IF(A493="","",SUMIFS(Movimientos!E:E, Movimientos!D:D, A493, Movimientos!C:C, "Ingreso", Movimientos!G:G, "G1000")+SUMIFS(Movimientos!E:E, Movimientos!D:D, A493, Movimientos!C:C, "Traslado", Movimientos!G:G, "G1000")-SUMIFS(Movimientos!E:E, Movimientos!D:D, A493, Movimientos!C:C, "Traslado", Movimientos!F:F, "G1000")-SUMIFS(Movimientos!E:E, Movimientos!D:D, A493, Movimientos!C:C, "Egreso", Movimientos!F:F, "G1000")+SUMIFS(Movimientos!E:E, Movimientos!D:D, A493, Movimientos!C:C, "Ajuste", Movimientos!F:F, "G1000")),"")</f>
        <v/>
      </c>
      <c r="G493" s="6" t="str">
        <f aca="false">IFERROR(IF(A493="","",SUMIFS(Movimientos!E:E, Movimientos!D:D, A493, Movimientos!C:C, "Ingreso", Movimientos!G:G, "G710")+SUMIFS(Movimientos!E:E, Movimientos!D:D, A493, Movimientos!C:C, "Traslado", Movimientos!G:G, "G710")-SUMIFS(Movimientos!E:E, Movimientos!D:D, A493, Movimientos!C:C, "Traslado", Movimientos!F:F, "G710")-SUMIFS(Movimientos!E:E, Movimientos!D:D, A493, Movimientos!C:C, "Egreso", Movimientos!F:F, "G710")+SUMIFS(Movimientos!E:E, Movimientos!D:D, A493, Movimientos!C:C, "Ajuste", Movimientos!F:F, "G710")),"")</f>
        <v/>
      </c>
      <c r="H493" s="6" t="str">
        <f aca="false">IFERROR(IF(A493="","",SUMIFS(Movimientos!E:E, Movimientos!D:D, A493, Movimientos!C:C, "Ingreso", Movimientos!G:G, "G5000")+SUMIFS(Movimientos!E:E, Movimientos!D:D, A493, Movimientos!C:C, "Traslado", Movimientos!G:G, "G5000")-SUMIFS(Movimientos!E:E, Movimientos!D:D, A493, Movimientos!C:C, "Traslado", Movimientos!F:F, "G5000")-SUMIFS(Movimientos!E:E, Movimientos!D:D, A493, Movimientos!C:C, "Egreso", Movimientos!F:F, "G5000")+SUMIFS(Movimientos!E:E, Movimientos!D:D, A493, Movimientos!C:C, "Ajuste", Movimientos!F:F, "G5000")),"")</f>
        <v/>
      </c>
      <c r="I493" s="6" t="str">
        <f aca="false">IFERROR(IF(A493="","",SUMIFS(Movimientos!E:E, Movimientos!D:D, A493, Movimientos!C:C, "Ingreso", Movimientos!G:G, "G3")+SUMIFS(Movimientos!E:E, Movimientos!D:D, A493, Movimientos!C:C, "Traslado", Movimientos!G:G, "G3")-SUMIFS(Movimientos!E:E, Movimientos!D:D, A493, Movimientos!C:C, "Traslado", Movimientos!F:F, "G3")-SUMIFS(Movimientos!E:E, Movimientos!D:D, A493, Movimientos!C:C, "Egreso", Movimientos!F:F, "G3")+SUMIFS(Movimientos!E:E, Movimientos!D:D, A493, Movimientos!C:C, "Ajuste", Movimientos!F:F, "G3")),"")</f>
        <v/>
      </c>
      <c r="J493" s="6" t="str">
        <f aca="false">IFERROR(IF(A493="","",SUM(E493:I493)),"")</f>
        <v/>
      </c>
      <c r="K493" s="6" t="str">
        <f aca="false">IFERROR(IF(A493="","",SUMIFS(Movimientos!E:E, Movimientos!D:D, A493, Movimientos!C:C, "Reserva")-SUMIFS(Movimientos!E:E, Movimientos!D:D, A493, Movimientos!C:C, "Libera_Reserva")),"")</f>
        <v/>
      </c>
      <c r="L493" s="6" t="str">
        <f aca="false">IFERROR(IF(A493="","",J493-K493),"")</f>
        <v/>
      </c>
      <c r="M493" s="6" t="str">
        <f aca="false">IFERROR(IF(Productos!A493="","",Productos!G493),"")</f>
        <v/>
      </c>
      <c r="N493" s="6" t="str">
        <f aca="false">IFERROR(IF(A493="","",IF(L493&lt;M493,"BAJO STOCK","OK")),"")</f>
        <v/>
      </c>
    </row>
    <row r="494" customFormat="false" ht="15" hidden="false" customHeight="false" outlineLevel="0" collapsed="false">
      <c r="A494" s="0" t="str">
        <f aca="false">IFERROR(IF(Productos!A494="","",Productos!A494),"")</f>
        <v/>
      </c>
      <c r="B494" s="0" t="str">
        <f aca="false">IFERROR(IF(Productos!A494="","",Productos!B494),"")</f>
        <v/>
      </c>
      <c r="C494" s="0" t="str">
        <f aca="false">IFERROR(IF(Productos!A494="","",Productos!C494),"")</f>
        <v/>
      </c>
      <c r="D494" s="0" t="str">
        <f aca="false">IFERROR(IF(Productos!A494="","",Productos!E494),"")</f>
        <v/>
      </c>
      <c r="E494" s="6" t="str">
        <f aca="false">IFERROR(IF(A494="","",SUMIFS(Movimientos!E:E, Movimientos!D:D, A494, Movimientos!C:C, "Ingreso", Movimientos!G:G, "TIN")+SUMIFS(Movimientos!E:E, Movimientos!D:D, A494, Movimientos!C:C, "Traslado", Movimientos!G:G, "TIN")-SUMIFS(Movimientos!E:E, Movimientos!D:D, A494, Movimientos!C:C, "Traslado", Movimientos!F:F, "TIN")-SUMIFS(Movimientos!E:E, Movimientos!D:D, A494, Movimientos!C:C, "Egreso", Movimientos!F:F, "TIN")+SUMIFS(Movimientos!E:E, Movimientos!D:D, A494, Movimientos!C:C, "Ajuste", Movimientos!F:F, "TIN")),"")</f>
        <v/>
      </c>
      <c r="F494" s="6" t="str">
        <f aca="false">IFERROR(IF(A494="","",SUMIFS(Movimientos!E:E, Movimientos!D:D, A494, Movimientos!C:C, "Ingreso", Movimientos!G:G, "G1000")+SUMIFS(Movimientos!E:E, Movimientos!D:D, A494, Movimientos!C:C, "Traslado", Movimientos!G:G, "G1000")-SUMIFS(Movimientos!E:E, Movimientos!D:D, A494, Movimientos!C:C, "Traslado", Movimientos!F:F, "G1000")-SUMIFS(Movimientos!E:E, Movimientos!D:D, A494, Movimientos!C:C, "Egreso", Movimientos!F:F, "G1000")+SUMIFS(Movimientos!E:E, Movimientos!D:D, A494, Movimientos!C:C, "Ajuste", Movimientos!F:F, "G1000")),"")</f>
        <v/>
      </c>
      <c r="G494" s="6" t="str">
        <f aca="false">IFERROR(IF(A494="","",SUMIFS(Movimientos!E:E, Movimientos!D:D, A494, Movimientos!C:C, "Ingreso", Movimientos!G:G, "G710")+SUMIFS(Movimientos!E:E, Movimientos!D:D, A494, Movimientos!C:C, "Traslado", Movimientos!G:G, "G710")-SUMIFS(Movimientos!E:E, Movimientos!D:D, A494, Movimientos!C:C, "Traslado", Movimientos!F:F, "G710")-SUMIFS(Movimientos!E:E, Movimientos!D:D, A494, Movimientos!C:C, "Egreso", Movimientos!F:F, "G710")+SUMIFS(Movimientos!E:E, Movimientos!D:D, A494, Movimientos!C:C, "Ajuste", Movimientos!F:F, "G710")),"")</f>
        <v/>
      </c>
      <c r="H494" s="6" t="str">
        <f aca="false">IFERROR(IF(A494="","",SUMIFS(Movimientos!E:E, Movimientos!D:D, A494, Movimientos!C:C, "Ingreso", Movimientos!G:G, "G5000")+SUMIFS(Movimientos!E:E, Movimientos!D:D, A494, Movimientos!C:C, "Traslado", Movimientos!G:G, "G5000")-SUMIFS(Movimientos!E:E, Movimientos!D:D, A494, Movimientos!C:C, "Traslado", Movimientos!F:F, "G5000")-SUMIFS(Movimientos!E:E, Movimientos!D:D, A494, Movimientos!C:C, "Egreso", Movimientos!F:F, "G5000")+SUMIFS(Movimientos!E:E, Movimientos!D:D, A494, Movimientos!C:C, "Ajuste", Movimientos!F:F, "G5000")),"")</f>
        <v/>
      </c>
      <c r="I494" s="6" t="str">
        <f aca="false">IFERROR(IF(A494="","",SUMIFS(Movimientos!E:E, Movimientos!D:D, A494, Movimientos!C:C, "Ingreso", Movimientos!G:G, "G3")+SUMIFS(Movimientos!E:E, Movimientos!D:D, A494, Movimientos!C:C, "Traslado", Movimientos!G:G, "G3")-SUMIFS(Movimientos!E:E, Movimientos!D:D, A494, Movimientos!C:C, "Traslado", Movimientos!F:F, "G3")-SUMIFS(Movimientos!E:E, Movimientos!D:D, A494, Movimientos!C:C, "Egreso", Movimientos!F:F, "G3")+SUMIFS(Movimientos!E:E, Movimientos!D:D, A494, Movimientos!C:C, "Ajuste", Movimientos!F:F, "G3")),"")</f>
        <v/>
      </c>
      <c r="J494" s="6" t="str">
        <f aca="false">IFERROR(IF(A494="","",SUM(E494:I494)),"")</f>
        <v/>
      </c>
      <c r="K494" s="6" t="str">
        <f aca="false">IFERROR(IF(A494="","",SUMIFS(Movimientos!E:E, Movimientos!D:D, A494, Movimientos!C:C, "Reserva")-SUMIFS(Movimientos!E:E, Movimientos!D:D, A494, Movimientos!C:C, "Libera_Reserva")),"")</f>
        <v/>
      </c>
      <c r="L494" s="6" t="str">
        <f aca="false">IFERROR(IF(A494="","",J494-K494),"")</f>
        <v/>
      </c>
      <c r="M494" s="6" t="str">
        <f aca="false">IFERROR(IF(Productos!A494="","",Productos!G494),"")</f>
        <v/>
      </c>
      <c r="N494" s="6" t="str">
        <f aca="false">IFERROR(IF(A494="","",IF(L494&lt;M494,"BAJO STOCK","OK")),"")</f>
        <v/>
      </c>
    </row>
    <row r="495" customFormat="false" ht="15" hidden="false" customHeight="false" outlineLevel="0" collapsed="false">
      <c r="A495" s="0" t="str">
        <f aca="false">IFERROR(IF(Productos!A495="","",Productos!A495),"")</f>
        <v/>
      </c>
      <c r="B495" s="0" t="str">
        <f aca="false">IFERROR(IF(Productos!A495="","",Productos!B495),"")</f>
        <v/>
      </c>
      <c r="C495" s="0" t="str">
        <f aca="false">IFERROR(IF(Productos!A495="","",Productos!C495),"")</f>
        <v/>
      </c>
      <c r="D495" s="0" t="str">
        <f aca="false">IFERROR(IF(Productos!A495="","",Productos!E495),"")</f>
        <v/>
      </c>
      <c r="E495" s="6" t="str">
        <f aca="false">IFERROR(IF(A495="","",SUMIFS(Movimientos!E:E, Movimientos!D:D, A495, Movimientos!C:C, "Ingreso", Movimientos!G:G, "TIN")+SUMIFS(Movimientos!E:E, Movimientos!D:D, A495, Movimientos!C:C, "Traslado", Movimientos!G:G, "TIN")-SUMIFS(Movimientos!E:E, Movimientos!D:D, A495, Movimientos!C:C, "Traslado", Movimientos!F:F, "TIN")-SUMIFS(Movimientos!E:E, Movimientos!D:D, A495, Movimientos!C:C, "Egreso", Movimientos!F:F, "TIN")+SUMIFS(Movimientos!E:E, Movimientos!D:D, A495, Movimientos!C:C, "Ajuste", Movimientos!F:F, "TIN")),"")</f>
        <v/>
      </c>
      <c r="F495" s="6" t="str">
        <f aca="false">IFERROR(IF(A495="","",SUMIFS(Movimientos!E:E, Movimientos!D:D, A495, Movimientos!C:C, "Ingreso", Movimientos!G:G, "G1000")+SUMIFS(Movimientos!E:E, Movimientos!D:D, A495, Movimientos!C:C, "Traslado", Movimientos!G:G, "G1000")-SUMIFS(Movimientos!E:E, Movimientos!D:D, A495, Movimientos!C:C, "Traslado", Movimientos!F:F, "G1000")-SUMIFS(Movimientos!E:E, Movimientos!D:D, A495, Movimientos!C:C, "Egreso", Movimientos!F:F, "G1000")+SUMIFS(Movimientos!E:E, Movimientos!D:D, A495, Movimientos!C:C, "Ajuste", Movimientos!F:F, "G1000")),"")</f>
        <v/>
      </c>
      <c r="G495" s="6" t="str">
        <f aca="false">IFERROR(IF(A495="","",SUMIFS(Movimientos!E:E, Movimientos!D:D, A495, Movimientos!C:C, "Ingreso", Movimientos!G:G, "G710")+SUMIFS(Movimientos!E:E, Movimientos!D:D, A495, Movimientos!C:C, "Traslado", Movimientos!G:G, "G710")-SUMIFS(Movimientos!E:E, Movimientos!D:D, A495, Movimientos!C:C, "Traslado", Movimientos!F:F, "G710")-SUMIFS(Movimientos!E:E, Movimientos!D:D, A495, Movimientos!C:C, "Egreso", Movimientos!F:F, "G710")+SUMIFS(Movimientos!E:E, Movimientos!D:D, A495, Movimientos!C:C, "Ajuste", Movimientos!F:F, "G710")),"")</f>
        <v/>
      </c>
      <c r="H495" s="6" t="str">
        <f aca="false">IFERROR(IF(A495="","",SUMIFS(Movimientos!E:E, Movimientos!D:D, A495, Movimientos!C:C, "Ingreso", Movimientos!G:G, "G5000")+SUMIFS(Movimientos!E:E, Movimientos!D:D, A495, Movimientos!C:C, "Traslado", Movimientos!G:G, "G5000")-SUMIFS(Movimientos!E:E, Movimientos!D:D, A495, Movimientos!C:C, "Traslado", Movimientos!F:F, "G5000")-SUMIFS(Movimientos!E:E, Movimientos!D:D, A495, Movimientos!C:C, "Egreso", Movimientos!F:F, "G5000")+SUMIFS(Movimientos!E:E, Movimientos!D:D, A495, Movimientos!C:C, "Ajuste", Movimientos!F:F, "G5000")),"")</f>
        <v/>
      </c>
      <c r="I495" s="6" t="str">
        <f aca="false">IFERROR(IF(A495="","",SUMIFS(Movimientos!E:E, Movimientos!D:D, A495, Movimientos!C:C, "Ingreso", Movimientos!G:G, "G3")+SUMIFS(Movimientos!E:E, Movimientos!D:D, A495, Movimientos!C:C, "Traslado", Movimientos!G:G, "G3")-SUMIFS(Movimientos!E:E, Movimientos!D:D, A495, Movimientos!C:C, "Traslado", Movimientos!F:F, "G3")-SUMIFS(Movimientos!E:E, Movimientos!D:D, A495, Movimientos!C:C, "Egreso", Movimientos!F:F, "G3")+SUMIFS(Movimientos!E:E, Movimientos!D:D, A495, Movimientos!C:C, "Ajuste", Movimientos!F:F, "G3")),"")</f>
        <v/>
      </c>
      <c r="J495" s="6" t="str">
        <f aca="false">IFERROR(IF(A495="","",SUM(E495:I495)),"")</f>
        <v/>
      </c>
      <c r="K495" s="6" t="str">
        <f aca="false">IFERROR(IF(A495="","",SUMIFS(Movimientos!E:E, Movimientos!D:D, A495, Movimientos!C:C, "Reserva")-SUMIFS(Movimientos!E:E, Movimientos!D:D, A495, Movimientos!C:C, "Libera_Reserva")),"")</f>
        <v/>
      </c>
      <c r="L495" s="6" t="str">
        <f aca="false">IFERROR(IF(A495="","",J495-K495),"")</f>
        <v/>
      </c>
      <c r="M495" s="6" t="str">
        <f aca="false">IFERROR(IF(Productos!A495="","",Productos!G495),"")</f>
        <v/>
      </c>
      <c r="N495" s="6" t="str">
        <f aca="false">IFERROR(IF(A495="","",IF(L495&lt;M495,"BAJO STOCK","OK")),"")</f>
        <v/>
      </c>
    </row>
    <row r="496" customFormat="false" ht="15" hidden="false" customHeight="false" outlineLevel="0" collapsed="false">
      <c r="A496" s="0" t="str">
        <f aca="false">IFERROR(IF(Productos!A496="","",Productos!A496),"")</f>
        <v/>
      </c>
      <c r="B496" s="0" t="str">
        <f aca="false">IFERROR(IF(Productos!A496="","",Productos!B496),"")</f>
        <v/>
      </c>
      <c r="C496" s="0" t="str">
        <f aca="false">IFERROR(IF(Productos!A496="","",Productos!C496),"")</f>
        <v/>
      </c>
      <c r="D496" s="0" t="str">
        <f aca="false">IFERROR(IF(Productos!A496="","",Productos!E496),"")</f>
        <v/>
      </c>
      <c r="E496" s="6" t="str">
        <f aca="false">IFERROR(IF(A496="","",SUMIFS(Movimientos!E:E, Movimientos!D:D, A496, Movimientos!C:C, "Ingreso", Movimientos!G:G, "TIN")+SUMIFS(Movimientos!E:E, Movimientos!D:D, A496, Movimientos!C:C, "Traslado", Movimientos!G:G, "TIN")-SUMIFS(Movimientos!E:E, Movimientos!D:D, A496, Movimientos!C:C, "Traslado", Movimientos!F:F, "TIN")-SUMIFS(Movimientos!E:E, Movimientos!D:D, A496, Movimientos!C:C, "Egreso", Movimientos!F:F, "TIN")+SUMIFS(Movimientos!E:E, Movimientos!D:D, A496, Movimientos!C:C, "Ajuste", Movimientos!F:F, "TIN")),"")</f>
        <v/>
      </c>
      <c r="F496" s="6" t="str">
        <f aca="false">IFERROR(IF(A496="","",SUMIFS(Movimientos!E:E, Movimientos!D:D, A496, Movimientos!C:C, "Ingreso", Movimientos!G:G, "G1000")+SUMIFS(Movimientos!E:E, Movimientos!D:D, A496, Movimientos!C:C, "Traslado", Movimientos!G:G, "G1000")-SUMIFS(Movimientos!E:E, Movimientos!D:D, A496, Movimientos!C:C, "Traslado", Movimientos!F:F, "G1000")-SUMIFS(Movimientos!E:E, Movimientos!D:D, A496, Movimientos!C:C, "Egreso", Movimientos!F:F, "G1000")+SUMIFS(Movimientos!E:E, Movimientos!D:D, A496, Movimientos!C:C, "Ajuste", Movimientos!F:F, "G1000")),"")</f>
        <v/>
      </c>
      <c r="G496" s="6" t="str">
        <f aca="false">IFERROR(IF(A496="","",SUMIFS(Movimientos!E:E, Movimientos!D:D, A496, Movimientos!C:C, "Ingreso", Movimientos!G:G, "G710")+SUMIFS(Movimientos!E:E, Movimientos!D:D, A496, Movimientos!C:C, "Traslado", Movimientos!G:G, "G710")-SUMIFS(Movimientos!E:E, Movimientos!D:D, A496, Movimientos!C:C, "Traslado", Movimientos!F:F, "G710")-SUMIFS(Movimientos!E:E, Movimientos!D:D, A496, Movimientos!C:C, "Egreso", Movimientos!F:F, "G710")+SUMIFS(Movimientos!E:E, Movimientos!D:D, A496, Movimientos!C:C, "Ajuste", Movimientos!F:F, "G710")),"")</f>
        <v/>
      </c>
      <c r="H496" s="6" t="str">
        <f aca="false">IFERROR(IF(A496="","",SUMIFS(Movimientos!E:E, Movimientos!D:D, A496, Movimientos!C:C, "Ingreso", Movimientos!G:G, "G5000")+SUMIFS(Movimientos!E:E, Movimientos!D:D, A496, Movimientos!C:C, "Traslado", Movimientos!G:G, "G5000")-SUMIFS(Movimientos!E:E, Movimientos!D:D, A496, Movimientos!C:C, "Traslado", Movimientos!F:F, "G5000")-SUMIFS(Movimientos!E:E, Movimientos!D:D, A496, Movimientos!C:C, "Egreso", Movimientos!F:F, "G5000")+SUMIFS(Movimientos!E:E, Movimientos!D:D, A496, Movimientos!C:C, "Ajuste", Movimientos!F:F, "G5000")),"")</f>
        <v/>
      </c>
      <c r="I496" s="6" t="str">
        <f aca="false">IFERROR(IF(A496="","",SUMIFS(Movimientos!E:E, Movimientos!D:D, A496, Movimientos!C:C, "Ingreso", Movimientos!G:G, "G3")+SUMIFS(Movimientos!E:E, Movimientos!D:D, A496, Movimientos!C:C, "Traslado", Movimientos!G:G, "G3")-SUMIFS(Movimientos!E:E, Movimientos!D:D, A496, Movimientos!C:C, "Traslado", Movimientos!F:F, "G3")-SUMIFS(Movimientos!E:E, Movimientos!D:D, A496, Movimientos!C:C, "Egreso", Movimientos!F:F, "G3")+SUMIFS(Movimientos!E:E, Movimientos!D:D, A496, Movimientos!C:C, "Ajuste", Movimientos!F:F, "G3")),"")</f>
        <v/>
      </c>
      <c r="J496" s="6" t="str">
        <f aca="false">IFERROR(IF(A496="","",SUM(E496:I496)),"")</f>
        <v/>
      </c>
      <c r="K496" s="6" t="str">
        <f aca="false">IFERROR(IF(A496="","",SUMIFS(Movimientos!E:E, Movimientos!D:D, A496, Movimientos!C:C, "Reserva")-SUMIFS(Movimientos!E:E, Movimientos!D:D, A496, Movimientos!C:C, "Libera_Reserva")),"")</f>
        <v/>
      </c>
      <c r="L496" s="6" t="str">
        <f aca="false">IFERROR(IF(A496="","",J496-K496),"")</f>
        <v/>
      </c>
      <c r="M496" s="6" t="str">
        <f aca="false">IFERROR(IF(Productos!A496="","",Productos!G496),"")</f>
        <v/>
      </c>
      <c r="N496" s="6" t="str">
        <f aca="false">IFERROR(IF(A496="","",IF(L496&lt;M496,"BAJO STOCK","OK")),"")</f>
        <v/>
      </c>
    </row>
    <row r="497" customFormat="false" ht="15" hidden="false" customHeight="false" outlineLevel="0" collapsed="false">
      <c r="A497" s="0" t="str">
        <f aca="false">IFERROR(IF(Productos!A497="","",Productos!A497),"")</f>
        <v/>
      </c>
      <c r="B497" s="0" t="str">
        <f aca="false">IFERROR(IF(Productos!A497="","",Productos!B497),"")</f>
        <v/>
      </c>
      <c r="C497" s="0" t="str">
        <f aca="false">IFERROR(IF(Productos!A497="","",Productos!C497),"")</f>
        <v/>
      </c>
      <c r="D497" s="0" t="str">
        <f aca="false">IFERROR(IF(Productos!A497="","",Productos!E497),"")</f>
        <v/>
      </c>
      <c r="E497" s="6" t="str">
        <f aca="false">IFERROR(IF(A497="","",SUMIFS(Movimientos!E:E, Movimientos!D:D, A497, Movimientos!C:C, "Ingreso", Movimientos!G:G, "TIN")+SUMIFS(Movimientos!E:E, Movimientos!D:D, A497, Movimientos!C:C, "Traslado", Movimientos!G:G, "TIN")-SUMIFS(Movimientos!E:E, Movimientos!D:D, A497, Movimientos!C:C, "Traslado", Movimientos!F:F, "TIN")-SUMIFS(Movimientos!E:E, Movimientos!D:D, A497, Movimientos!C:C, "Egreso", Movimientos!F:F, "TIN")+SUMIFS(Movimientos!E:E, Movimientos!D:D, A497, Movimientos!C:C, "Ajuste", Movimientos!F:F, "TIN")),"")</f>
        <v/>
      </c>
      <c r="F497" s="6" t="str">
        <f aca="false">IFERROR(IF(A497="","",SUMIFS(Movimientos!E:E, Movimientos!D:D, A497, Movimientos!C:C, "Ingreso", Movimientos!G:G, "G1000")+SUMIFS(Movimientos!E:E, Movimientos!D:D, A497, Movimientos!C:C, "Traslado", Movimientos!G:G, "G1000")-SUMIFS(Movimientos!E:E, Movimientos!D:D, A497, Movimientos!C:C, "Traslado", Movimientos!F:F, "G1000")-SUMIFS(Movimientos!E:E, Movimientos!D:D, A497, Movimientos!C:C, "Egreso", Movimientos!F:F, "G1000")+SUMIFS(Movimientos!E:E, Movimientos!D:D, A497, Movimientos!C:C, "Ajuste", Movimientos!F:F, "G1000")),"")</f>
        <v/>
      </c>
      <c r="G497" s="6" t="str">
        <f aca="false">IFERROR(IF(A497="","",SUMIFS(Movimientos!E:E, Movimientos!D:D, A497, Movimientos!C:C, "Ingreso", Movimientos!G:G, "G710")+SUMIFS(Movimientos!E:E, Movimientos!D:D, A497, Movimientos!C:C, "Traslado", Movimientos!G:G, "G710")-SUMIFS(Movimientos!E:E, Movimientos!D:D, A497, Movimientos!C:C, "Traslado", Movimientos!F:F, "G710")-SUMIFS(Movimientos!E:E, Movimientos!D:D, A497, Movimientos!C:C, "Egreso", Movimientos!F:F, "G710")+SUMIFS(Movimientos!E:E, Movimientos!D:D, A497, Movimientos!C:C, "Ajuste", Movimientos!F:F, "G710")),"")</f>
        <v/>
      </c>
      <c r="H497" s="6" t="str">
        <f aca="false">IFERROR(IF(A497="","",SUMIFS(Movimientos!E:E, Movimientos!D:D, A497, Movimientos!C:C, "Ingreso", Movimientos!G:G, "G5000")+SUMIFS(Movimientos!E:E, Movimientos!D:D, A497, Movimientos!C:C, "Traslado", Movimientos!G:G, "G5000")-SUMIFS(Movimientos!E:E, Movimientos!D:D, A497, Movimientos!C:C, "Traslado", Movimientos!F:F, "G5000")-SUMIFS(Movimientos!E:E, Movimientos!D:D, A497, Movimientos!C:C, "Egreso", Movimientos!F:F, "G5000")+SUMIFS(Movimientos!E:E, Movimientos!D:D, A497, Movimientos!C:C, "Ajuste", Movimientos!F:F, "G5000")),"")</f>
        <v/>
      </c>
      <c r="I497" s="6" t="str">
        <f aca="false">IFERROR(IF(A497="","",SUMIFS(Movimientos!E:E, Movimientos!D:D, A497, Movimientos!C:C, "Ingreso", Movimientos!G:G, "G3")+SUMIFS(Movimientos!E:E, Movimientos!D:D, A497, Movimientos!C:C, "Traslado", Movimientos!G:G, "G3")-SUMIFS(Movimientos!E:E, Movimientos!D:D, A497, Movimientos!C:C, "Traslado", Movimientos!F:F, "G3")-SUMIFS(Movimientos!E:E, Movimientos!D:D, A497, Movimientos!C:C, "Egreso", Movimientos!F:F, "G3")+SUMIFS(Movimientos!E:E, Movimientos!D:D, A497, Movimientos!C:C, "Ajuste", Movimientos!F:F, "G3")),"")</f>
        <v/>
      </c>
      <c r="J497" s="6" t="str">
        <f aca="false">IFERROR(IF(A497="","",SUM(E497:I497)),"")</f>
        <v/>
      </c>
      <c r="K497" s="6" t="str">
        <f aca="false">IFERROR(IF(A497="","",SUMIFS(Movimientos!E:E, Movimientos!D:D, A497, Movimientos!C:C, "Reserva")-SUMIFS(Movimientos!E:E, Movimientos!D:D, A497, Movimientos!C:C, "Libera_Reserva")),"")</f>
        <v/>
      </c>
      <c r="L497" s="6" t="str">
        <f aca="false">IFERROR(IF(A497="","",J497-K497),"")</f>
        <v/>
      </c>
      <c r="M497" s="6" t="str">
        <f aca="false">IFERROR(IF(Productos!A497="","",Productos!G497),"")</f>
        <v/>
      </c>
      <c r="N497" s="6" t="str">
        <f aca="false">IFERROR(IF(A497="","",IF(L497&lt;M497,"BAJO STOCK","OK")),"")</f>
        <v/>
      </c>
    </row>
    <row r="498" customFormat="false" ht="15" hidden="false" customHeight="false" outlineLevel="0" collapsed="false">
      <c r="A498" s="0" t="str">
        <f aca="false">IFERROR(IF(Productos!A498="","",Productos!A498),"")</f>
        <v/>
      </c>
      <c r="B498" s="0" t="str">
        <f aca="false">IFERROR(IF(Productos!A498="","",Productos!B498),"")</f>
        <v/>
      </c>
      <c r="C498" s="0" t="str">
        <f aca="false">IFERROR(IF(Productos!A498="","",Productos!C498),"")</f>
        <v/>
      </c>
      <c r="D498" s="0" t="str">
        <f aca="false">IFERROR(IF(Productos!A498="","",Productos!E498),"")</f>
        <v/>
      </c>
      <c r="E498" s="6" t="str">
        <f aca="false">IFERROR(IF(A498="","",SUMIFS(Movimientos!E:E, Movimientos!D:D, A498, Movimientos!C:C, "Ingreso", Movimientos!G:G, "TIN")+SUMIFS(Movimientos!E:E, Movimientos!D:D, A498, Movimientos!C:C, "Traslado", Movimientos!G:G, "TIN")-SUMIFS(Movimientos!E:E, Movimientos!D:D, A498, Movimientos!C:C, "Traslado", Movimientos!F:F, "TIN")-SUMIFS(Movimientos!E:E, Movimientos!D:D, A498, Movimientos!C:C, "Egreso", Movimientos!F:F, "TIN")+SUMIFS(Movimientos!E:E, Movimientos!D:D, A498, Movimientos!C:C, "Ajuste", Movimientos!F:F, "TIN")),"")</f>
        <v/>
      </c>
      <c r="F498" s="6" t="str">
        <f aca="false">IFERROR(IF(A498="","",SUMIFS(Movimientos!E:E, Movimientos!D:D, A498, Movimientos!C:C, "Ingreso", Movimientos!G:G, "G1000")+SUMIFS(Movimientos!E:E, Movimientos!D:D, A498, Movimientos!C:C, "Traslado", Movimientos!G:G, "G1000")-SUMIFS(Movimientos!E:E, Movimientos!D:D, A498, Movimientos!C:C, "Traslado", Movimientos!F:F, "G1000")-SUMIFS(Movimientos!E:E, Movimientos!D:D, A498, Movimientos!C:C, "Egreso", Movimientos!F:F, "G1000")+SUMIFS(Movimientos!E:E, Movimientos!D:D, A498, Movimientos!C:C, "Ajuste", Movimientos!F:F, "G1000")),"")</f>
        <v/>
      </c>
      <c r="G498" s="6" t="str">
        <f aca="false">IFERROR(IF(A498="","",SUMIFS(Movimientos!E:E, Movimientos!D:D, A498, Movimientos!C:C, "Ingreso", Movimientos!G:G, "G710")+SUMIFS(Movimientos!E:E, Movimientos!D:D, A498, Movimientos!C:C, "Traslado", Movimientos!G:G, "G710")-SUMIFS(Movimientos!E:E, Movimientos!D:D, A498, Movimientos!C:C, "Traslado", Movimientos!F:F, "G710")-SUMIFS(Movimientos!E:E, Movimientos!D:D, A498, Movimientos!C:C, "Egreso", Movimientos!F:F, "G710")+SUMIFS(Movimientos!E:E, Movimientos!D:D, A498, Movimientos!C:C, "Ajuste", Movimientos!F:F, "G710")),"")</f>
        <v/>
      </c>
      <c r="H498" s="6" t="str">
        <f aca="false">IFERROR(IF(A498="","",SUMIFS(Movimientos!E:E, Movimientos!D:D, A498, Movimientos!C:C, "Ingreso", Movimientos!G:G, "G5000")+SUMIFS(Movimientos!E:E, Movimientos!D:D, A498, Movimientos!C:C, "Traslado", Movimientos!G:G, "G5000")-SUMIFS(Movimientos!E:E, Movimientos!D:D, A498, Movimientos!C:C, "Traslado", Movimientos!F:F, "G5000")-SUMIFS(Movimientos!E:E, Movimientos!D:D, A498, Movimientos!C:C, "Egreso", Movimientos!F:F, "G5000")+SUMIFS(Movimientos!E:E, Movimientos!D:D, A498, Movimientos!C:C, "Ajuste", Movimientos!F:F, "G5000")),"")</f>
        <v/>
      </c>
      <c r="I498" s="6" t="str">
        <f aca="false">IFERROR(IF(A498="","",SUMIFS(Movimientos!E:E, Movimientos!D:D, A498, Movimientos!C:C, "Ingreso", Movimientos!G:G, "G3")+SUMIFS(Movimientos!E:E, Movimientos!D:D, A498, Movimientos!C:C, "Traslado", Movimientos!G:G, "G3")-SUMIFS(Movimientos!E:E, Movimientos!D:D, A498, Movimientos!C:C, "Traslado", Movimientos!F:F, "G3")-SUMIFS(Movimientos!E:E, Movimientos!D:D, A498, Movimientos!C:C, "Egreso", Movimientos!F:F, "G3")+SUMIFS(Movimientos!E:E, Movimientos!D:D, A498, Movimientos!C:C, "Ajuste", Movimientos!F:F, "G3")),"")</f>
        <v/>
      </c>
      <c r="J498" s="6" t="str">
        <f aca="false">IFERROR(IF(A498="","",SUM(E498:I498)),"")</f>
        <v/>
      </c>
      <c r="K498" s="6" t="str">
        <f aca="false">IFERROR(IF(A498="","",SUMIFS(Movimientos!E:E, Movimientos!D:D, A498, Movimientos!C:C, "Reserva")-SUMIFS(Movimientos!E:E, Movimientos!D:D, A498, Movimientos!C:C, "Libera_Reserva")),"")</f>
        <v/>
      </c>
      <c r="L498" s="6" t="str">
        <f aca="false">IFERROR(IF(A498="","",J498-K498),"")</f>
        <v/>
      </c>
      <c r="M498" s="6" t="str">
        <f aca="false">IFERROR(IF(Productos!A498="","",Productos!G498),"")</f>
        <v/>
      </c>
      <c r="N498" s="6" t="str">
        <f aca="false">IFERROR(IF(A498="","",IF(L498&lt;M498,"BAJO STOCK","OK")),"")</f>
        <v/>
      </c>
    </row>
    <row r="499" customFormat="false" ht="15" hidden="false" customHeight="false" outlineLevel="0" collapsed="false">
      <c r="A499" s="0" t="str">
        <f aca="false">IFERROR(IF(Productos!A499="","",Productos!A499),"")</f>
        <v/>
      </c>
      <c r="B499" s="0" t="str">
        <f aca="false">IFERROR(IF(Productos!A499="","",Productos!B499),"")</f>
        <v/>
      </c>
      <c r="C499" s="0" t="str">
        <f aca="false">IFERROR(IF(Productos!A499="","",Productos!C499),"")</f>
        <v/>
      </c>
      <c r="D499" s="0" t="str">
        <f aca="false">IFERROR(IF(Productos!A499="","",Productos!E499),"")</f>
        <v/>
      </c>
      <c r="E499" s="6" t="str">
        <f aca="false">IFERROR(IF(A499="","",SUMIFS(Movimientos!E:E, Movimientos!D:D, A499, Movimientos!C:C, "Ingreso", Movimientos!G:G, "TIN")+SUMIFS(Movimientos!E:E, Movimientos!D:D, A499, Movimientos!C:C, "Traslado", Movimientos!G:G, "TIN")-SUMIFS(Movimientos!E:E, Movimientos!D:D, A499, Movimientos!C:C, "Traslado", Movimientos!F:F, "TIN")-SUMIFS(Movimientos!E:E, Movimientos!D:D, A499, Movimientos!C:C, "Egreso", Movimientos!F:F, "TIN")+SUMIFS(Movimientos!E:E, Movimientos!D:D, A499, Movimientos!C:C, "Ajuste", Movimientos!F:F, "TIN")),"")</f>
        <v/>
      </c>
      <c r="F499" s="6" t="str">
        <f aca="false">IFERROR(IF(A499="","",SUMIFS(Movimientos!E:E, Movimientos!D:D, A499, Movimientos!C:C, "Ingreso", Movimientos!G:G, "G1000")+SUMIFS(Movimientos!E:E, Movimientos!D:D, A499, Movimientos!C:C, "Traslado", Movimientos!G:G, "G1000")-SUMIFS(Movimientos!E:E, Movimientos!D:D, A499, Movimientos!C:C, "Traslado", Movimientos!F:F, "G1000")-SUMIFS(Movimientos!E:E, Movimientos!D:D, A499, Movimientos!C:C, "Egreso", Movimientos!F:F, "G1000")+SUMIFS(Movimientos!E:E, Movimientos!D:D, A499, Movimientos!C:C, "Ajuste", Movimientos!F:F, "G1000")),"")</f>
        <v/>
      </c>
      <c r="G499" s="6" t="str">
        <f aca="false">IFERROR(IF(A499="","",SUMIFS(Movimientos!E:E, Movimientos!D:D, A499, Movimientos!C:C, "Ingreso", Movimientos!G:G, "G710")+SUMIFS(Movimientos!E:E, Movimientos!D:D, A499, Movimientos!C:C, "Traslado", Movimientos!G:G, "G710")-SUMIFS(Movimientos!E:E, Movimientos!D:D, A499, Movimientos!C:C, "Traslado", Movimientos!F:F, "G710")-SUMIFS(Movimientos!E:E, Movimientos!D:D, A499, Movimientos!C:C, "Egreso", Movimientos!F:F, "G710")+SUMIFS(Movimientos!E:E, Movimientos!D:D, A499, Movimientos!C:C, "Ajuste", Movimientos!F:F, "G710")),"")</f>
        <v/>
      </c>
      <c r="H499" s="6" t="str">
        <f aca="false">IFERROR(IF(A499="","",SUMIFS(Movimientos!E:E, Movimientos!D:D, A499, Movimientos!C:C, "Ingreso", Movimientos!G:G, "G5000")+SUMIFS(Movimientos!E:E, Movimientos!D:D, A499, Movimientos!C:C, "Traslado", Movimientos!G:G, "G5000")-SUMIFS(Movimientos!E:E, Movimientos!D:D, A499, Movimientos!C:C, "Traslado", Movimientos!F:F, "G5000")-SUMIFS(Movimientos!E:E, Movimientos!D:D, A499, Movimientos!C:C, "Egreso", Movimientos!F:F, "G5000")+SUMIFS(Movimientos!E:E, Movimientos!D:D, A499, Movimientos!C:C, "Ajuste", Movimientos!F:F, "G5000")),"")</f>
        <v/>
      </c>
      <c r="I499" s="6" t="str">
        <f aca="false">IFERROR(IF(A499="","",SUMIFS(Movimientos!E:E, Movimientos!D:D, A499, Movimientos!C:C, "Ingreso", Movimientos!G:G, "G3")+SUMIFS(Movimientos!E:E, Movimientos!D:D, A499, Movimientos!C:C, "Traslado", Movimientos!G:G, "G3")-SUMIFS(Movimientos!E:E, Movimientos!D:D, A499, Movimientos!C:C, "Traslado", Movimientos!F:F, "G3")-SUMIFS(Movimientos!E:E, Movimientos!D:D, A499, Movimientos!C:C, "Egreso", Movimientos!F:F, "G3")+SUMIFS(Movimientos!E:E, Movimientos!D:D, A499, Movimientos!C:C, "Ajuste", Movimientos!F:F, "G3")),"")</f>
        <v/>
      </c>
      <c r="J499" s="6" t="str">
        <f aca="false">IFERROR(IF(A499="","",SUM(E499:I499)),"")</f>
        <v/>
      </c>
      <c r="K499" s="6" t="str">
        <f aca="false">IFERROR(IF(A499="","",SUMIFS(Movimientos!E:E, Movimientos!D:D, A499, Movimientos!C:C, "Reserva")-SUMIFS(Movimientos!E:E, Movimientos!D:D, A499, Movimientos!C:C, "Libera_Reserva")),"")</f>
        <v/>
      </c>
      <c r="L499" s="6" t="str">
        <f aca="false">IFERROR(IF(A499="","",J499-K499),"")</f>
        <v/>
      </c>
      <c r="M499" s="6" t="str">
        <f aca="false">IFERROR(IF(Productos!A499="","",Productos!G499),"")</f>
        <v/>
      </c>
      <c r="N499" s="6" t="str">
        <f aca="false">IFERROR(IF(A499="","",IF(L499&lt;M499,"BAJO STOCK","OK")),"")</f>
        <v/>
      </c>
    </row>
    <row r="500" customFormat="false" ht="15" hidden="false" customHeight="false" outlineLevel="0" collapsed="false">
      <c r="A500" s="0" t="str">
        <f aca="false">IFERROR(IF(Productos!A500="","",Productos!A500),"")</f>
        <v/>
      </c>
      <c r="B500" s="0" t="str">
        <f aca="false">IFERROR(IF(Productos!A500="","",Productos!B500),"")</f>
        <v/>
      </c>
      <c r="C500" s="0" t="str">
        <f aca="false">IFERROR(IF(Productos!A500="","",Productos!C500),"")</f>
        <v/>
      </c>
      <c r="D500" s="0" t="str">
        <f aca="false">IFERROR(IF(Productos!A500="","",Productos!E500),"")</f>
        <v/>
      </c>
      <c r="E500" s="6" t="str">
        <f aca="false">IFERROR(IF(A500="","",SUMIFS(Movimientos!E:E, Movimientos!D:D, A500, Movimientos!C:C, "Ingreso", Movimientos!G:G, "TIN")+SUMIFS(Movimientos!E:E, Movimientos!D:D, A500, Movimientos!C:C, "Traslado", Movimientos!G:G, "TIN")-SUMIFS(Movimientos!E:E, Movimientos!D:D, A500, Movimientos!C:C, "Traslado", Movimientos!F:F, "TIN")-SUMIFS(Movimientos!E:E, Movimientos!D:D, A500, Movimientos!C:C, "Egreso", Movimientos!F:F, "TIN")+SUMIFS(Movimientos!E:E, Movimientos!D:D, A500, Movimientos!C:C, "Ajuste", Movimientos!F:F, "TIN")),"")</f>
        <v/>
      </c>
      <c r="F500" s="6" t="str">
        <f aca="false">IFERROR(IF(A500="","",SUMIFS(Movimientos!E:E, Movimientos!D:D, A500, Movimientos!C:C, "Ingreso", Movimientos!G:G, "G1000")+SUMIFS(Movimientos!E:E, Movimientos!D:D, A500, Movimientos!C:C, "Traslado", Movimientos!G:G, "G1000")-SUMIFS(Movimientos!E:E, Movimientos!D:D, A500, Movimientos!C:C, "Traslado", Movimientos!F:F, "G1000")-SUMIFS(Movimientos!E:E, Movimientos!D:D, A500, Movimientos!C:C, "Egreso", Movimientos!F:F, "G1000")+SUMIFS(Movimientos!E:E, Movimientos!D:D, A500, Movimientos!C:C, "Ajuste", Movimientos!F:F, "G1000")),"")</f>
        <v/>
      </c>
      <c r="G500" s="6" t="str">
        <f aca="false">IFERROR(IF(A500="","",SUMIFS(Movimientos!E:E, Movimientos!D:D, A500, Movimientos!C:C, "Ingreso", Movimientos!G:G, "G710")+SUMIFS(Movimientos!E:E, Movimientos!D:D, A500, Movimientos!C:C, "Traslado", Movimientos!G:G, "G710")-SUMIFS(Movimientos!E:E, Movimientos!D:D, A500, Movimientos!C:C, "Traslado", Movimientos!F:F, "G710")-SUMIFS(Movimientos!E:E, Movimientos!D:D, A500, Movimientos!C:C, "Egreso", Movimientos!F:F, "G710")+SUMIFS(Movimientos!E:E, Movimientos!D:D, A500, Movimientos!C:C, "Ajuste", Movimientos!F:F, "G710")),"")</f>
        <v/>
      </c>
      <c r="H500" s="6" t="str">
        <f aca="false">IFERROR(IF(A500="","",SUMIFS(Movimientos!E:E, Movimientos!D:D, A500, Movimientos!C:C, "Ingreso", Movimientos!G:G, "G5000")+SUMIFS(Movimientos!E:E, Movimientos!D:D, A500, Movimientos!C:C, "Traslado", Movimientos!G:G, "G5000")-SUMIFS(Movimientos!E:E, Movimientos!D:D, A500, Movimientos!C:C, "Traslado", Movimientos!F:F, "G5000")-SUMIFS(Movimientos!E:E, Movimientos!D:D, A500, Movimientos!C:C, "Egreso", Movimientos!F:F, "G5000")+SUMIFS(Movimientos!E:E, Movimientos!D:D, A500, Movimientos!C:C, "Ajuste", Movimientos!F:F, "G5000")),"")</f>
        <v/>
      </c>
      <c r="I500" s="6" t="str">
        <f aca="false">IFERROR(IF(A500="","",SUMIFS(Movimientos!E:E, Movimientos!D:D, A500, Movimientos!C:C, "Ingreso", Movimientos!G:G, "G3")+SUMIFS(Movimientos!E:E, Movimientos!D:D, A500, Movimientos!C:C, "Traslado", Movimientos!G:G, "G3")-SUMIFS(Movimientos!E:E, Movimientos!D:D, A500, Movimientos!C:C, "Traslado", Movimientos!F:F, "G3")-SUMIFS(Movimientos!E:E, Movimientos!D:D, A500, Movimientos!C:C, "Egreso", Movimientos!F:F, "G3")+SUMIFS(Movimientos!E:E, Movimientos!D:D, A500, Movimientos!C:C, "Ajuste", Movimientos!F:F, "G3")),"")</f>
        <v/>
      </c>
      <c r="J500" s="6" t="str">
        <f aca="false">IFERROR(IF(A500="","",SUM(E500:I500)),"")</f>
        <v/>
      </c>
      <c r="K500" s="6" t="str">
        <f aca="false">IFERROR(IF(A500="","",SUMIFS(Movimientos!E:E, Movimientos!D:D, A500, Movimientos!C:C, "Reserva")-SUMIFS(Movimientos!E:E, Movimientos!D:D, A500, Movimientos!C:C, "Libera_Reserva")),"")</f>
        <v/>
      </c>
      <c r="L500" s="6" t="str">
        <f aca="false">IFERROR(IF(A500="","",J500-K500),"")</f>
        <v/>
      </c>
      <c r="M500" s="6" t="str">
        <f aca="false">IFERROR(IF(Productos!A500="","",Productos!G500),"")</f>
        <v/>
      </c>
      <c r="N500" s="6" t="str">
        <f aca="false">IFERROR(IF(A500="","",IF(L500&lt;M500,"BAJO STOCK","OK")),"")</f>
        <v/>
      </c>
    </row>
    <row r="501" customFormat="false" ht="15" hidden="false" customHeight="false" outlineLevel="0" collapsed="false">
      <c r="A501" s="0" t="str">
        <f aca="false">IFERROR(IF(Productos!A501="","",Productos!A501),"")</f>
        <v/>
      </c>
      <c r="B501" s="0" t="str">
        <f aca="false">IFERROR(IF(Productos!A501="","",Productos!B501),"")</f>
        <v/>
      </c>
      <c r="C501" s="0" t="str">
        <f aca="false">IFERROR(IF(Productos!A501="","",Productos!C501),"")</f>
        <v/>
      </c>
      <c r="D501" s="0" t="str">
        <f aca="false">IFERROR(IF(Productos!A501="","",Productos!E501),"")</f>
        <v/>
      </c>
      <c r="E501" s="6" t="str">
        <f aca="false">IFERROR(IF(A501="","",SUMIFS(Movimientos!E:E, Movimientos!D:D, A501, Movimientos!C:C, "Ingreso", Movimientos!G:G, "TIN")+SUMIFS(Movimientos!E:E, Movimientos!D:D, A501, Movimientos!C:C, "Traslado", Movimientos!G:G, "TIN")-SUMIFS(Movimientos!E:E, Movimientos!D:D, A501, Movimientos!C:C, "Traslado", Movimientos!F:F, "TIN")-SUMIFS(Movimientos!E:E, Movimientos!D:D, A501, Movimientos!C:C, "Egreso", Movimientos!F:F, "TIN")+SUMIFS(Movimientos!E:E, Movimientos!D:D, A501, Movimientos!C:C, "Ajuste", Movimientos!F:F, "TIN")),"")</f>
        <v/>
      </c>
      <c r="F501" s="6" t="str">
        <f aca="false">IFERROR(IF(A501="","",SUMIFS(Movimientos!E:E, Movimientos!D:D, A501, Movimientos!C:C, "Ingreso", Movimientos!G:G, "G1000")+SUMIFS(Movimientos!E:E, Movimientos!D:D, A501, Movimientos!C:C, "Traslado", Movimientos!G:G, "G1000")-SUMIFS(Movimientos!E:E, Movimientos!D:D, A501, Movimientos!C:C, "Traslado", Movimientos!F:F, "G1000")-SUMIFS(Movimientos!E:E, Movimientos!D:D, A501, Movimientos!C:C, "Egreso", Movimientos!F:F, "G1000")+SUMIFS(Movimientos!E:E, Movimientos!D:D, A501, Movimientos!C:C, "Ajuste", Movimientos!F:F, "G1000")),"")</f>
        <v/>
      </c>
      <c r="G501" s="6" t="str">
        <f aca="false">IFERROR(IF(A501="","",SUMIFS(Movimientos!E:E, Movimientos!D:D, A501, Movimientos!C:C, "Ingreso", Movimientos!G:G, "G710")+SUMIFS(Movimientos!E:E, Movimientos!D:D, A501, Movimientos!C:C, "Traslado", Movimientos!G:G, "G710")-SUMIFS(Movimientos!E:E, Movimientos!D:D, A501, Movimientos!C:C, "Traslado", Movimientos!F:F, "G710")-SUMIFS(Movimientos!E:E, Movimientos!D:D, A501, Movimientos!C:C, "Egreso", Movimientos!F:F, "G710")+SUMIFS(Movimientos!E:E, Movimientos!D:D, A501, Movimientos!C:C, "Ajuste", Movimientos!F:F, "G710")),"")</f>
        <v/>
      </c>
      <c r="H501" s="6" t="str">
        <f aca="false">IFERROR(IF(A501="","",SUMIFS(Movimientos!E:E, Movimientos!D:D, A501, Movimientos!C:C, "Ingreso", Movimientos!G:G, "G5000")+SUMIFS(Movimientos!E:E, Movimientos!D:D, A501, Movimientos!C:C, "Traslado", Movimientos!G:G, "G5000")-SUMIFS(Movimientos!E:E, Movimientos!D:D, A501, Movimientos!C:C, "Traslado", Movimientos!F:F, "G5000")-SUMIFS(Movimientos!E:E, Movimientos!D:D, A501, Movimientos!C:C, "Egreso", Movimientos!F:F, "G5000")+SUMIFS(Movimientos!E:E, Movimientos!D:D, A501, Movimientos!C:C, "Ajuste", Movimientos!F:F, "G5000")),"")</f>
        <v/>
      </c>
      <c r="I501" s="6" t="str">
        <f aca="false">IFERROR(IF(A501="","",SUMIFS(Movimientos!E:E, Movimientos!D:D, A501, Movimientos!C:C, "Ingreso", Movimientos!G:G, "G3")+SUMIFS(Movimientos!E:E, Movimientos!D:D, A501, Movimientos!C:C, "Traslado", Movimientos!G:G, "G3")-SUMIFS(Movimientos!E:E, Movimientos!D:D, A501, Movimientos!C:C, "Traslado", Movimientos!F:F, "G3")-SUMIFS(Movimientos!E:E, Movimientos!D:D, A501, Movimientos!C:C, "Egreso", Movimientos!F:F, "G3")+SUMIFS(Movimientos!E:E, Movimientos!D:D, A501, Movimientos!C:C, "Ajuste", Movimientos!F:F, "G3")),"")</f>
        <v/>
      </c>
      <c r="J501" s="6" t="str">
        <f aca="false">IFERROR(IF(A501="","",SUM(E501:I501)),"")</f>
        <v/>
      </c>
      <c r="K501" s="6" t="str">
        <f aca="false">IFERROR(IF(A501="","",SUMIFS(Movimientos!E:E, Movimientos!D:D, A501, Movimientos!C:C, "Reserva")-SUMIFS(Movimientos!E:E, Movimientos!D:D, A501, Movimientos!C:C, "Libera_Reserva")),"")</f>
        <v/>
      </c>
      <c r="L501" s="6" t="str">
        <f aca="false">IFERROR(IF(A501="","",J501-K501),"")</f>
        <v/>
      </c>
      <c r="M501" s="6" t="str">
        <f aca="false">IFERROR(IF(Productos!A501="","",Productos!G501),"")</f>
        <v/>
      </c>
      <c r="N501" s="6" t="str">
        <f aca="false">IFERROR(IF(A501="","",IF(L501&lt;M501,"BAJO STOCK","OK")),"")</f>
        <v/>
      </c>
    </row>
  </sheetData>
  <conditionalFormatting sqref="N2:N501">
    <cfRule type="cellIs" priority="2" operator="equal" aboveAverage="0" equalAverage="0" bottom="0" percent="0" rank="0" text="" dxfId="0">
      <formula>"BAJO STOCK"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2026-04-22T14:49:28Z</dcterms:created>
  <dc:creator>openpyxl</dc:creator>
  <dc:description/>
  <dc:language>en-US</dc:language>
  <cp:lastModifiedBy/>
  <dcterms:modified xsi:type="dcterms:W3CDTF">2026-04-22T14:49:29Z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